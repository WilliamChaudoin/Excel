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e6f6154abacb4a/Documents/Game Plan/Portfolio/Staging/"/>
    </mc:Choice>
  </mc:AlternateContent>
  <xr:revisionPtr revIDLastSave="2060" documentId="13_ncr:1_{629C8487-B3D5-4955-B4E9-08AE516BFD37}" xr6:coauthVersionLast="47" xr6:coauthVersionMax="47" xr10:uidLastSave="{07D8F08A-558C-4DD8-B987-92CB05B880EF}"/>
  <bookViews>
    <workbookView xWindow="-20520" yWindow="1830" windowWidth="20640" windowHeight="11160" tabRatio="758" activeTab="3" xr2:uid="{4E399AA5-57FA-492B-9997-72AF04A75C99}"/>
  </bookViews>
  <sheets>
    <sheet name="Conversion" sheetId="27" r:id="rId1"/>
    <sheet name="Spice" sheetId="1" r:id="rId2"/>
    <sheet name="Index" sheetId="32" r:id="rId3"/>
    <sheet name="Log" sheetId="34" r:id="rId4"/>
    <sheet name="Mexican" sheetId="9" r:id="rId5"/>
    <sheet name="Pasta Sauce" sheetId="46" r:id="rId6"/>
    <sheet name="Pasta Dish" sheetId="50" r:id="rId7"/>
    <sheet name="Pizza" sheetId="11" r:id="rId8"/>
    <sheet name="Roman Chicken" sheetId="49" r:id="rId9"/>
    <sheet name="Buffalo Chicken" sheetId="7" r:id="rId10"/>
    <sheet name="Roast" sheetId="6" r:id="rId11"/>
    <sheet name="Chicken Casserole" sheetId="48" r:id="rId12"/>
    <sheet name="BBQ Pizza" sheetId="47" r:id="rId13"/>
    <sheet name="Fried Rice" sheetId="24" r:id="rId14"/>
    <sheet name="Sesame Chicken" sheetId="43" r:id="rId15"/>
    <sheet name="Char Siu" sheetId="40" r:id="rId16"/>
    <sheet name="Chow Mein" sheetId="39" r:id="rId17"/>
    <sheet name="Black Pepper Chicken" sheetId="45" r:id="rId18"/>
    <sheet name="General Tso" sheetId="41" r:id="rId19"/>
    <sheet name="Kung Poa" sheetId="37" r:id="rId20"/>
    <sheet name="Soba" sheetId="42" r:id="rId21"/>
    <sheet name="Salad" sheetId="13" r:id="rId22"/>
    <sheet name="Burgers" sheetId="8" r:id="rId2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3" i="11" l="1"/>
  <c r="J27" i="7"/>
  <c r="G27" i="7"/>
  <c r="F27" i="7"/>
  <c r="E27" i="7"/>
  <c r="D27" i="7"/>
  <c r="C27" i="7"/>
  <c r="B27" i="7"/>
  <c r="G129" i="32" l="1"/>
  <c r="F129" i="32"/>
  <c r="E129" i="32"/>
  <c r="D129" i="32"/>
  <c r="M129" i="32" s="1"/>
  <c r="C129" i="32"/>
  <c r="B129" i="32"/>
  <c r="G128" i="32"/>
  <c r="F128" i="32"/>
  <c r="E128" i="32"/>
  <c r="D128" i="32"/>
  <c r="M128" i="32" s="1"/>
  <c r="C128" i="32"/>
  <c r="B128" i="32"/>
  <c r="G127" i="32"/>
  <c r="F127" i="32"/>
  <c r="E127" i="32"/>
  <c r="D127" i="32"/>
  <c r="M127" i="32" s="1"/>
  <c r="C127" i="32"/>
  <c r="B127" i="32"/>
  <c r="G159" i="32"/>
  <c r="F159" i="32"/>
  <c r="E159" i="32"/>
  <c r="D159" i="32"/>
  <c r="M159" i="32" s="1"/>
  <c r="C159" i="32"/>
  <c r="B159" i="32"/>
  <c r="I5" i="32"/>
  <c r="I5" i="34"/>
  <c r="N5" i="34"/>
  <c r="G15" i="49"/>
  <c r="F15" i="49"/>
  <c r="E15" i="49"/>
  <c r="D15" i="49"/>
  <c r="C15" i="49"/>
  <c r="B15" i="49"/>
  <c r="G20" i="50"/>
  <c r="F20" i="50"/>
  <c r="E20" i="50"/>
  <c r="D20" i="50"/>
  <c r="C20" i="50"/>
  <c r="B20" i="50"/>
  <c r="G14" i="46"/>
  <c r="F14" i="46"/>
  <c r="E14" i="46"/>
  <c r="D14" i="46"/>
  <c r="C14" i="46"/>
  <c r="B14" i="46"/>
  <c r="G36" i="9"/>
  <c r="F36" i="9"/>
  <c r="E36" i="9"/>
  <c r="D36" i="9"/>
  <c r="C36" i="9"/>
  <c r="B36" i="9"/>
  <c r="J15" i="49"/>
  <c r="J20" i="50"/>
  <c r="J14" i="46"/>
  <c r="J36" i="9"/>
  <c r="G68" i="32"/>
  <c r="F68" i="32"/>
  <c r="E68" i="32"/>
  <c r="D68" i="32"/>
  <c r="M68" i="32" s="1"/>
  <c r="B68" i="32"/>
  <c r="C68" i="32"/>
  <c r="G9" i="50"/>
  <c r="F9" i="50"/>
  <c r="E9" i="50"/>
  <c r="D9" i="50"/>
  <c r="C9" i="50"/>
  <c r="B9" i="50"/>
  <c r="J9" i="50"/>
  <c r="G8" i="50"/>
  <c r="F8" i="50"/>
  <c r="E8" i="50"/>
  <c r="D8" i="50"/>
  <c r="C8" i="50"/>
  <c r="B8" i="50"/>
  <c r="J8" i="50"/>
  <c r="J3" i="50"/>
  <c r="D5" i="50"/>
  <c r="E5" i="50"/>
  <c r="F5" i="50"/>
  <c r="G5" i="50"/>
  <c r="G4" i="50"/>
  <c r="G3" i="50"/>
  <c r="F4" i="50"/>
  <c r="F3" i="50"/>
  <c r="E4" i="50"/>
  <c r="E3" i="50"/>
  <c r="D4" i="50"/>
  <c r="D3" i="50"/>
  <c r="C3" i="50"/>
  <c r="C4" i="50"/>
  <c r="C5" i="50"/>
  <c r="B5" i="50"/>
  <c r="B4" i="50"/>
  <c r="B3" i="50"/>
  <c r="J4" i="50"/>
  <c r="J5" i="50"/>
  <c r="H69" i="50"/>
  <c r="H39" i="50" s="1"/>
  <c r="J68" i="50"/>
  <c r="G68" i="50"/>
  <c r="F68" i="50"/>
  <c r="E68" i="50"/>
  <c r="D68" i="50"/>
  <c r="C68" i="50"/>
  <c r="B68" i="50"/>
  <c r="J67" i="50"/>
  <c r="G67" i="50"/>
  <c r="F67" i="50"/>
  <c r="E67" i="50"/>
  <c r="D67" i="50"/>
  <c r="C67" i="50"/>
  <c r="B67" i="50"/>
  <c r="J66" i="50"/>
  <c r="G66" i="50"/>
  <c r="F66" i="50"/>
  <c r="E66" i="50"/>
  <c r="D66" i="50"/>
  <c r="C66" i="50"/>
  <c r="B66" i="50"/>
  <c r="J65" i="50"/>
  <c r="G65" i="50"/>
  <c r="F65" i="50"/>
  <c r="E65" i="50"/>
  <c r="D65" i="50"/>
  <c r="C65" i="50"/>
  <c r="B65" i="50"/>
  <c r="J64" i="50"/>
  <c r="G64" i="50"/>
  <c r="F64" i="50"/>
  <c r="E64" i="50"/>
  <c r="D64" i="50"/>
  <c r="C64" i="50"/>
  <c r="B64" i="50"/>
  <c r="J63" i="50"/>
  <c r="G63" i="50"/>
  <c r="F63" i="50"/>
  <c r="E63" i="50"/>
  <c r="D63" i="50"/>
  <c r="C63" i="50"/>
  <c r="B63" i="50"/>
  <c r="J62" i="50"/>
  <c r="G62" i="50"/>
  <c r="F62" i="50"/>
  <c r="E62" i="50"/>
  <c r="D62" i="50"/>
  <c r="C62" i="50"/>
  <c r="B62" i="50"/>
  <c r="J61" i="50"/>
  <c r="G61" i="50"/>
  <c r="F61" i="50"/>
  <c r="E61" i="50"/>
  <c r="D61" i="50"/>
  <c r="C61" i="50"/>
  <c r="B61" i="50"/>
  <c r="J60" i="50"/>
  <c r="G60" i="50"/>
  <c r="F60" i="50"/>
  <c r="E60" i="50"/>
  <c r="D60" i="50"/>
  <c r="C60" i="50"/>
  <c r="B60" i="50"/>
  <c r="J59" i="50"/>
  <c r="G59" i="50"/>
  <c r="F59" i="50"/>
  <c r="E59" i="50"/>
  <c r="D59" i="50"/>
  <c r="C59" i="50"/>
  <c r="B59" i="50"/>
  <c r="J58" i="50"/>
  <c r="G58" i="50"/>
  <c r="F58" i="50"/>
  <c r="E58" i="50"/>
  <c r="D58" i="50"/>
  <c r="C58" i="50"/>
  <c r="B58" i="50"/>
  <c r="J57" i="50"/>
  <c r="G57" i="50"/>
  <c r="F57" i="50"/>
  <c r="E57" i="50"/>
  <c r="D57" i="50"/>
  <c r="C57" i="50"/>
  <c r="B57" i="50"/>
  <c r="J56" i="50"/>
  <c r="G56" i="50"/>
  <c r="F56" i="50"/>
  <c r="E56" i="50"/>
  <c r="D56" i="50"/>
  <c r="C56" i="50"/>
  <c r="B56" i="50"/>
  <c r="J55" i="50"/>
  <c r="G55" i="50"/>
  <c r="F55" i="50"/>
  <c r="E55" i="50"/>
  <c r="D55" i="50"/>
  <c r="C55" i="50"/>
  <c r="B55" i="50"/>
  <c r="J54" i="50"/>
  <c r="G54" i="50"/>
  <c r="F54" i="50"/>
  <c r="E54" i="50"/>
  <c r="D54" i="50"/>
  <c r="C54" i="50"/>
  <c r="B54" i="50"/>
  <c r="J53" i="50"/>
  <c r="G53" i="50"/>
  <c r="F53" i="50"/>
  <c r="E53" i="50"/>
  <c r="D53" i="50"/>
  <c r="C53" i="50"/>
  <c r="B53" i="50"/>
  <c r="J52" i="50"/>
  <c r="G52" i="50"/>
  <c r="F52" i="50"/>
  <c r="E52" i="50"/>
  <c r="D52" i="50"/>
  <c r="C52" i="50"/>
  <c r="B52" i="50"/>
  <c r="J51" i="50"/>
  <c r="G51" i="50"/>
  <c r="F51" i="50"/>
  <c r="E51" i="50"/>
  <c r="D51" i="50"/>
  <c r="C51" i="50"/>
  <c r="B51" i="50"/>
  <c r="J50" i="50"/>
  <c r="G50" i="50"/>
  <c r="F50" i="50"/>
  <c r="E50" i="50"/>
  <c r="D50" i="50"/>
  <c r="C50" i="50"/>
  <c r="B50" i="50"/>
  <c r="J49" i="50"/>
  <c r="G49" i="50"/>
  <c r="F49" i="50"/>
  <c r="E49" i="50"/>
  <c r="D49" i="50"/>
  <c r="C49" i="50"/>
  <c r="B49" i="50"/>
  <c r="J48" i="50"/>
  <c r="G48" i="50"/>
  <c r="F48" i="50"/>
  <c r="E48" i="50"/>
  <c r="D48" i="50"/>
  <c r="C48" i="50"/>
  <c r="B48" i="50"/>
  <c r="J47" i="50"/>
  <c r="G47" i="50"/>
  <c r="F47" i="50"/>
  <c r="E47" i="50"/>
  <c r="D47" i="50"/>
  <c r="C47" i="50"/>
  <c r="B47" i="50"/>
  <c r="J46" i="50"/>
  <c r="G46" i="50"/>
  <c r="F46" i="50"/>
  <c r="E46" i="50"/>
  <c r="D46" i="50"/>
  <c r="C46" i="50"/>
  <c r="B46" i="50"/>
  <c r="J45" i="50"/>
  <c r="G45" i="50"/>
  <c r="F45" i="50"/>
  <c r="E45" i="50"/>
  <c r="D45" i="50"/>
  <c r="C45" i="50"/>
  <c r="B45" i="50"/>
  <c r="J44" i="50"/>
  <c r="G44" i="50"/>
  <c r="F44" i="50"/>
  <c r="E44" i="50"/>
  <c r="D44" i="50"/>
  <c r="C44" i="50"/>
  <c r="B44" i="50"/>
  <c r="J39" i="50"/>
  <c r="J38" i="50"/>
  <c r="G38" i="50"/>
  <c r="F38" i="50"/>
  <c r="E38" i="50"/>
  <c r="D38" i="50"/>
  <c r="C38" i="50"/>
  <c r="B38" i="50"/>
  <c r="J37" i="50"/>
  <c r="G37" i="50"/>
  <c r="F37" i="50"/>
  <c r="E37" i="50"/>
  <c r="D37" i="50"/>
  <c r="C37" i="50"/>
  <c r="B37" i="50"/>
  <c r="J36" i="50"/>
  <c r="G36" i="50"/>
  <c r="F36" i="50"/>
  <c r="E36" i="50"/>
  <c r="D36" i="50"/>
  <c r="C36" i="50"/>
  <c r="B36" i="50"/>
  <c r="J35" i="50"/>
  <c r="G35" i="50"/>
  <c r="F35" i="50"/>
  <c r="E35" i="50"/>
  <c r="D35" i="50"/>
  <c r="C35" i="50"/>
  <c r="B35" i="50"/>
  <c r="J34" i="50"/>
  <c r="G34" i="50"/>
  <c r="F34" i="50"/>
  <c r="E34" i="50"/>
  <c r="D34" i="50"/>
  <c r="C34" i="50"/>
  <c r="B34" i="50"/>
  <c r="J33" i="50"/>
  <c r="G33" i="50"/>
  <c r="F33" i="50"/>
  <c r="E33" i="50"/>
  <c r="D33" i="50"/>
  <c r="C33" i="50"/>
  <c r="B33" i="50"/>
  <c r="J32" i="50"/>
  <c r="G32" i="50"/>
  <c r="F32" i="50"/>
  <c r="E32" i="50"/>
  <c r="D32" i="50"/>
  <c r="C32" i="50"/>
  <c r="B32" i="50"/>
  <c r="J31" i="50"/>
  <c r="G31" i="50"/>
  <c r="F31" i="50"/>
  <c r="E31" i="50"/>
  <c r="D31" i="50"/>
  <c r="C31" i="50"/>
  <c r="B31" i="50"/>
  <c r="J30" i="50"/>
  <c r="G30" i="50"/>
  <c r="F30" i="50"/>
  <c r="E30" i="50"/>
  <c r="D30" i="50"/>
  <c r="C30" i="50"/>
  <c r="B30" i="50"/>
  <c r="J29" i="50"/>
  <c r="G29" i="50"/>
  <c r="F29" i="50"/>
  <c r="E29" i="50"/>
  <c r="D29" i="50"/>
  <c r="C29" i="50"/>
  <c r="B29" i="50"/>
  <c r="J28" i="50"/>
  <c r="G28" i="50"/>
  <c r="F28" i="50"/>
  <c r="E28" i="50"/>
  <c r="D28" i="50"/>
  <c r="C28" i="50"/>
  <c r="B28" i="50"/>
  <c r="J27" i="50"/>
  <c r="F27" i="50"/>
  <c r="D27" i="50"/>
  <c r="J26" i="50"/>
  <c r="G26" i="50"/>
  <c r="F26" i="50"/>
  <c r="E26" i="50"/>
  <c r="D26" i="50"/>
  <c r="C26" i="50"/>
  <c r="B26" i="50"/>
  <c r="J25" i="50"/>
  <c r="G25" i="50"/>
  <c r="F25" i="50"/>
  <c r="E25" i="50"/>
  <c r="D25" i="50"/>
  <c r="C25" i="50"/>
  <c r="B25" i="50"/>
  <c r="J24" i="50"/>
  <c r="G24" i="50"/>
  <c r="F24" i="50"/>
  <c r="E24" i="50"/>
  <c r="D24" i="50"/>
  <c r="C24" i="50"/>
  <c r="B24" i="50"/>
  <c r="J23" i="50"/>
  <c r="G23" i="50"/>
  <c r="F23" i="50"/>
  <c r="E23" i="50"/>
  <c r="D23" i="50"/>
  <c r="C23" i="50"/>
  <c r="B23" i="50"/>
  <c r="J22" i="50"/>
  <c r="G22" i="50"/>
  <c r="F22" i="50"/>
  <c r="E22" i="50"/>
  <c r="D22" i="50"/>
  <c r="C22" i="50"/>
  <c r="B22" i="50"/>
  <c r="J21" i="50"/>
  <c r="G21" i="50"/>
  <c r="F21" i="50"/>
  <c r="E21" i="50"/>
  <c r="D21" i="50"/>
  <c r="C21" i="50"/>
  <c r="B21" i="50"/>
  <c r="J19" i="50"/>
  <c r="G19" i="50"/>
  <c r="F19" i="50"/>
  <c r="E19" i="50"/>
  <c r="D19" i="50"/>
  <c r="C19" i="50"/>
  <c r="B19" i="50"/>
  <c r="J18" i="50"/>
  <c r="G18" i="50"/>
  <c r="F18" i="50"/>
  <c r="E18" i="50"/>
  <c r="D18" i="50"/>
  <c r="C18" i="50"/>
  <c r="B18" i="50"/>
  <c r="J17" i="50"/>
  <c r="G17" i="50"/>
  <c r="F17" i="50"/>
  <c r="E17" i="50"/>
  <c r="D17" i="50"/>
  <c r="C17" i="50"/>
  <c r="B17" i="50"/>
  <c r="J16" i="50"/>
  <c r="G16" i="50"/>
  <c r="F16" i="50"/>
  <c r="E16" i="50"/>
  <c r="D16" i="50"/>
  <c r="C16" i="50"/>
  <c r="B16" i="50"/>
  <c r="J15" i="50"/>
  <c r="G15" i="50"/>
  <c r="F15" i="50"/>
  <c r="E15" i="50"/>
  <c r="D15" i="50"/>
  <c r="C15" i="50"/>
  <c r="B15" i="50"/>
  <c r="J2" i="50"/>
  <c r="J14" i="50"/>
  <c r="G14" i="50"/>
  <c r="F14" i="50"/>
  <c r="E14" i="50"/>
  <c r="D14" i="50"/>
  <c r="C14" i="50"/>
  <c r="B14" i="50"/>
  <c r="J13" i="50"/>
  <c r="G13" i="50"/>
  <c r="F13" i="50"/>
  <c r="E13" i="50"/>
  <c r="D13" i="50"/>
  <c r="C13" i="50"/>
  <c r="B13" i="50"/>
  <c r="J12" i="50"/>
  <c r="G12" i="50"/>
  <c r="F12" i="50"/>
  <c r="E12" i="50"/>
  <c r="D12" i="50"/>
  <c r="C12" i="50"/>
  <c r="B12" i="50"/>
  <c r="J11" i="50"/>
  <c r="G11" i="50"/>
  <c r="F11" i="50"/>
  <c r="E11" i="50"/>
  <c r="D11" i="50"/>
  <c r="C11" i="50"/>
  <c r="B11" i="50"/>
  <c r="J10" i="50"/>
  <c r="G10" i="50"/>
  <c r="F10" i="50"/>
  <c r="E10" i="50"/>
  <c r="D10" i="50"/>
  <c r="C10" i="50"/>
  <c r="B10" i="50"/>
  <c r="J7" i="50"/>
  <c r="G7" i="50"/>
  <c r="F7" i="50"/>
  <c r="E7" i="50"/>
  <c r="D7" i="50"/>
  <c r="C7" i="50"/>
  <c r="B7" i="50"/>
  <c r="J6" i="50"/>
  <c r="G6" i="50"/>
  <c r="F6" i="50"/>
  <c r="E6" i="50"/>
  <c r="D6" i="50"/>
  <c r="C6" i="50"/>
  <c r="B6" i="50"/>
  <c r="G71" i="34"/>
  <c r="F71" i="34"/>
  <c r="E71" i="34"/>
  <c r="D71" i="34"/>
  <c r="M71" i="34" s="1"/>
  <c r="C71" i="34"/>
  <c r="B71" i="34"/>
  <c r="N71" i="34"/>
  <c r="L127" i="32" l="1"/>
  <c r="L129" i="32"/>
  <c r="L128" i="32"/>
  <c r="L68" i="32"/>
  <c r="L159" i="32"/>
  <c r="B69" i="50"/>
  <c r="B39" i="50" s="1"/>
  <c r="F69" i="50"/>
  <c r="F39" i="50" s="1"/>
  <c r="C69" i="50"/>
  <c r="C39" i="50" s="1"/>
  <c r="D69" i="50"/>
  <c r="D39" i="50" s="1"/>
  <c r="G69" i="50"/>
  <c r="G39" i="50" s="1"/>
  <c r="E69" i="50"/>
  <c r="E39" i="50" s="1"/>
  <c r="E27" i="50"/>
  <c r="C27" i="50"/>
  <c r="G27" i="50"/>
  <c r="H40" i="50"/>
  <c r="B27" i="50"/>
  <c r="L71" i="34"/>
  <c r="G77" i="32"/>
  <c r="F77" i="32"/>
  <c r="E77" i="32"/>
  <c r="D77" i="32"/>
  <c r="M77" i="32" s="1"/>
  <c r="C77" i="32"/>
  <c r="B77" i="32"/>
  <c r="B43" i="9"/>
  <c r="C43" i="9"/>
  <c r="D43" i="9"/>
  <c r="E43" i="9"/>
  <c r="F43" i="9"/>
  <c r="G43" i="9"/>
  <c r="J43" i="9"/>
  <c r="G83" i="11"/>
  <c r="F83" i="11"/>
  <c r="E83" i="11"/>
  <c r="D83" i="11"/>
  <c r="C83" i="11"/>
  <c r="B83" i="11"/>
  <c r="H22" i="49"/>
  <c r="E22" i="49" s="1"/>
  <c r="G285" i="32"/>
  <c r="F285" i="32"/>
  <c r="E285" i="32"/>
  <c r="D285" i="32"/>
  <c r="M285" i="32" s="1"/>
  <c r="C285" i="32"/>
  <c r="B285" i="32"/>
  <c r="G141" i="34"/>
  <c r="C141" i="34"/>
  <c r="B141" i="34"/>
  <c r="D141" i="34"/>
  <c r="M141" i="34" s="1"/>
  <c r="L141" i="34" s="1"/>
  <c r="E141" i="34"/>
  <c r="F141" i="34"/>
  <c r="N141" i="34"/>
  <c r="G389" i="32"/>
  <c r="F389" i="32"/>
  <c r="E389" i="32"/>
  <c r="D389" i="32"/>
  <c r="M389" i="32" s="1"/>
  <c r="C389" i="32"/>
  <c r="B389" i="32"/>
  <c r="G343" i="32"/>
  <c r="F343" i="32"/>
  <c r="E343" i="32"/>
  <c r="D343" i="32"/>
  <c r="M343" i="32" s="1"/>
  <c r="C343" i="32"/>
  <c r="B343" i="32"/>
  <c r="G220" i="34"/>
  <c r="F220" i="34"/>
  <c r="E220" i="34"/>
  <c r="D220" i="34"/>
  <c r="M220" i="34" s="1"/>
  <c r="C220" i="34"/>
  <c r="B220" i="34"/>
  <c r="N220" i="34"/>
  <c r="G218" i="34"/>
  <c r="F218" i="34"/>
  <c r="E218" i="34"/>
  <c r="D218" i="34"/>
  <c r="M218" i="34" s="1"/>
  <c r="C218" i="34"/>
  <c r="B218" i="34"/>
  <c r="N218" i="34"/>
  <c r="I18" i="32"/>
  <c r="F18" i="32"/>
  <c r="E18" i="32"/>
  <c r="I19" i="34"/>
  <c r="N19" i="34"/>
  <c r="H6" i="7"/>
  <c r="C6" i="7" s="1"/>
  <c r="G346" i="32"/>
  <c r="F346" i="32"/>
  <c r="E346" i="32"/>
  <c r="D346" i="32"/>
  <c r="M346" i="32" s="1"/>
  <c r="C346" i="32"/>
  <c r="B346" i="32"/>
  <c r="G345" i="32"/>
  <c r="F345" i="32"/>
  <c r="E345" i="32"/>
  <c r="D345" i="32"/>
  <c r="M345" i="32" s="1"/>
  <c r="C345" i="32"/>
  <c r="B345" i="32"/>
  <c r="G61" i="32"/>
  <c r="F61" i="32"/>
  <c r="E61" i="32"/>
  <c r="D61" i="32"/>
  <c r="M61" i="32" s="1"/>
  <c r="C61" i="32"/>
  <c r="B61" i="32"/>
  <c r="G146" i="32"/>
  <c r="F146" i="32"/>
  <c r="E146" i="32"/>
  <c r="D146" i="32"/>
  <c r="M146" i="32"/>
  <c r="C146" i="32"/>
  <c r="B146" i="32"/>
  <c r="G145" i="32"/>
  <c r="F145" i="32"/>
  <c r="E145" i="32"/>
  <c r="D145" i="32"/>
  <c r="M145" i="32" s="1"/>
  <c r="C145" i="32"/>
  <c r="B145" i="32"/>
  <c r="B147" i="32"/>
  <c r="C147" i="32"/>
  <c r="D147" i="32"/>
  <c r="M147" i="32"/>
  <c r="E147" i="32"/>
  <c r="F147" i="32"/>
  <c r="G147" i="32"/>
  <c r="G7" i="49"/>
  <c r="F7" i="49"/>
  <c r="E7" i="49"/>
  <c r="D7" i="49"/>
  <c r="C7" i="49"/>
  <c r="B7" i="49"/>
  <c r="G6" i="49"/>
  <c r="F6" i="49"/>
  <c r="E6" i="49"/>
  <c r="D6" i="49"/>
  <c r="C6" i="49"/>
  <c r="B6" i="49"/>
  <c r="J7" i="49"/>
  <c r="G20" i="7"/>
  <c r="D20" i="7"/>
  <c r="C20" i="7"/>
  <c r="B20" i="7"/>
  <c r="J20" i="7"/>
  <c r="F20" i="7"/>
  <c r="E20" i="7"/>
  <c r="G8" i="7"/>
  <c r="E8" i="7"/>
  <c r="D8" i="7"/>
  <c r="C8" i="7"/>
  <c r="B8" i="7"/>
  <c r="J8" i="7"/>
  <c r="G78" i="34"/>
  <c r="E78" i="34"/>
  <c r="D78" i="34"/>
  <c r="M78" i="34" s="1"/>
  <c r="C78" i="34"/>
  <c r="B78" i="34"/>
  <c r="N78" i="34"/>
  <c r="F78" i="34"/>
  <c r="B79" i="34"/>
  <c r="D77" i="34"/>
  <c r="M77" i="34" s="1"/>
  <c r="G222" i="34"/>
  <c r="E222" i="34"/>
  <c r="D222" i="34"/>
  <c r="M222" i="34" s="1"/>
  <c r="C222" i="34"/>
  <c r="B222" i="34"/>
  <c r="G221" i="34"/>
  <c r="F221" i="34"/>
  <c r="E221" i="34"/>
  <c r="D221" i="34"/>
  <c r="M221" i="34" s="1"/>
  <c r="C221" i="34"/>
  <c r="B221" i="34"/>
  <c r="F222" i="34"/>
  <c r="N221" i="34"/>
  <c r="N222" i="34"/>
  <c r="G367" i="32"/>
  <c r="F367" i="32"/>
  <c r="E367" i="32"/>
  <c r="D367" i="32"/>
  <c r="M367" i="32" s="1"/>
  <c r="L367" i="32" s="1"/>
  <c r="C367" i="32"/>
  <c r="B367" i="32"/>
  <c r="G360" i="32"/>
  <c r="F360" i="32"/>
  <c r="E360" i="32"/>
  <c r="D360" i="32"/>
  <c r="M360" i="32" s="1"/>
  <c r="C360" i="32"/>
  <c r="B360" i="32"/>
  <c r="F197" i="34"/>
  <c r="D197" i="34"/>
  <c r="M197" i="34" s="1"/>
  <c r="B197" i="34"/>
  <c r="C197" i="34"/>
  <c r="E197" i="34"/>
  <c r="G197" i="34"/>
  <c r="G190" i="34"/>
  <c r="F190" i="34"/>
  <c r="E190" i="34"/>
  <c r="D190" i="34"/>
  <c r="M190" i="34" s="1"/>
  <c r="C190" i="34"/>
  <c r="B190" i="34"/>
  <c r="N190" i="34"/>
  <c r="N197" i="34"/>
  <c r="M411" i="32"/>
  <c r="L411" i="32" s="1"/>
  <c r="G86" i="32"/>
  <c r="F86" i="32"/>
  <c r="E86" i="32"/>
  <c r="D86" i="32"/>
  <c r="M86" i="32" s="1"/>
  <c r="C86" i="32"/>
  <c r="B86" i="32"/>
  <c r="J75" i="39"/>
  <c r="J76" i="39"/>
  <c r="J87" i="43"/>
  <c r="J68" i="24"/>
  <c r="J69" i="24"/>
  <c r="G82" i="32"/>
  <c r="F82" i="32"/>
  <c r="E82" i="32"/>
  <c r="D82" i="32"/>
  <c r="M82" i="32" s="1"/>
  <c r="C82" i="32"/>
  <c r="B82" i="32"/>
  <c r="J61" i="46"/>
  <c r="J62" i="46"/>
  <c r="J63" i="46"/>
  <c r="J82" i="11"/>
  <c r="J84" i="11"/>
  <c r="J83" i="47"/>
  <c r="J84" i="47"/>
  <c r="G57" i="32"/>
  <c r="F57" i="32"/>
  <c r="E57" i="32"/>
  <c r="D57" i="32"/>
  <c r="M57" i="32"/>
  <c r="L57" i="32" s="1"/>
  <c r="C57" i="32"/>
  <c r="B57" i="32"/>
  <c r="G56" i="32"/>
  <c r="F56" i="32"/>
  <c r="E56" i="32"/>
  <c r="D56" i="32"/>
  <c r="M56" i="32" s="1"/>
  <c r="C56" i="32"/>
  <c r="B56" i="32"/>
  <c r="G55" i="32"/>
  <c r="F55" i="32"/>
  <c r="E55" i="32"/>
  <c r="D55" i="32"/>
  <c r="M55" i="32" s="1"/>
  <c r="C55" i="32"/>
  <c r="B55" i="32"/>
  <c r="G250" i="32"/>
  <c r="F250" i="32"/>
  <c r="E250" i="32"/>
  <c r="D250" i="32"/>
  <c r="M250" i="32" s="1"/>
  <c r="C250" i="32"/>
  <c r="B250" i="32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39" i="6"/>
  <c r="J40" i="49"/>
  <c r="J28" i="6"/>
  <c r="J29" i="6"/>
  <c r="J30" i="6"/>
  <c r="J31" i="6"/>
  <c r="J32" i="6"/>
  <c r="J33" i="6"/>
  <c r="J34" i="6"/>
  <c r="J35" i="6"/>
  <c r="J27" i="6"/>
  <c r="J23" i="6"/>
  <c r="G76" i="32"/>
  <c r="F76" i="32"/>
  <c r="E76" i="32"/>
  <c r="D76" i="32"/>
  <c r="M76" i="32" s="1"/>
  <c r="C76" i="32"/>
  <c r="B76" i="32"/>
  <c r="G83" i="32"/>
  <c r="F83" i="32"/>
  <c r="E83" i="32"/>
  <c r="D83" i="32"/>
  <c r="M83" i="32" s="1"/>
  <c r="C83" i="32"/>
  <c r="B83" i="32"/>
  <c r="G152" i="32"/>
  <c r="F152" i="32"/>
  <c r="E152" i="32"/>
  <c r="D152" i="32"/>
  <c r="M152" i="32" s="1"/>
  <c r="C152" i="32"/>
  <c r="B152" i="32"/>
  <c r="G141" i="32"/>
  <c r="F141" i="32"/>
  <c r="E141" i="32"/>
  <c r="D141" i="32"/>
  <c r="M141" i="32" s="1"/>
  <c r="C141" i="32"/>
  <c r="B141" i="32"/>
  <c r="J26" i="1"/>
  <c r="G26" i="1"/>
  <c r="F26" i="1"/>
  <c r="E26" i="1"/>
  <c r="D26" i="1"/>
  <c r="C26" i="1"/>
  <c r="B26" i="1"/>
  <c r="J63" i="49"/>
  <c r="G81" i="32"/>
  <c r="F81" i="32"/>
  <c r="E81" i="32"/>
  <c r="D81" i="32"/>
  <c r="M81" i="32" s="1"/>
  <c r="C81" i="32"/>
  <c r="B81" i="32"/>
  <c r="G62" i="32"/>
  <c r="F62" i="32"/>
  <c r="E62" i="32"/>
  <c r="D62" i="32"/>
  <c r="M62" i="32" s="1"/>
  <c r="C62" i="32"/>
  <c r="B62" i="32"/>
  <c r="G412" i="32"/>
  <c r="F412" i="32"/>
  <c r="E412" i="32"/>
  <c r="D412" i="32"/>
  <c r="M412" i="32" s="1"/>
  <c r="C412" i="32"/>
  <c r="B412" i="32"/>
  <c r="G400" i="32"/>
  <c r="F400" i="32"/>
  <c r="E400" i="32"/>
  <c r="D400" i="32"/>
  <c r="M400" i="32" s="1"/>
  <c r="C400" i="32"/>
  <c r="B400" i="32"/>
  <c r="L400" i="32" s="1"/>
  <c r="G344" i="32"/>
  <c r="F344" i="32"/>
  <c r="E344" i="32"/>
  <c r="D344" i="32"/>
  <c r="M344" i="32" s="1"/>
  <c r="C344" i="32"/>
  <c r="B344" i="32"/>
  <c r="G342" i="32"/>
  <c r="F342" i="32"/>
  <c r="E342" i="32"/>
  <c r="D342" i="32"/>
  <c r="M342" i="32" s="1"/>
  <c r="C342" i="32"/>
  <c r="B342" i="32"/>
  <c r="G366" i="32"/>
  <c r="F366" i="32"/>
  <c r="E366" i="32"/>
  <c r="D366" i="32"/>
  <c r="M366" i="32" s="1"/>
  <c r="C366" i="32"/>
  <c r="B366" i="32"/>
  <c r="G365" i="32"/>
  <c r="F365" i="32"/>
  <c r="E365" i="32"/>
  <c r="D365" i="32"/>
  <c r="M365" i="32" s="1"/>
  <c r="C365" i="32"/>
  <c r="B365" i="32"/>
  <c r="G364" i="32"/>
  <c r="F364" i="32"/>
  <c r="E364" i="32"/>
  <c r="D364" i="32"/>
  <c r="M364" i="32" s="1"/>
  <c r="C364" i="32"/>
  <c r="B364" i="32"/>
  <c r="G363" i="32"/>
  <c r="F363" i="32"/>
  <c r="E363" i="32"/>
  <c r="D363" i="32"/>
  <c r="M363" i="32" s="1"/>
  <c r="C363" i="32"/>
  <c r="B363" i="32"/>
  <c r="G362" i="32"/>
  <c r="F362" i="32"/>
  <c r="E362" i="32"/>
  <c r="D362" i="32"/>
  <c r="M362" i="32" s="1"/>
  <c r="C362" i="32"/>
  <c r="B362" i="32"/>
  <c r="G361" i="32"/>
  <c r="F361" i="32"/>
  <c r="E361" i="32"/>
  <c r="D361" i="32"/>
  <c r="M361" i="32" s="1"/>
  <c r="C361" i="32"/>
  <c r="B361" i="32"/>
  <c r="G359" i="32"/>
  <c r="F359" i="32"/>
  <c r="E359" i="32"/>
  <c r="D359" i="32"/>
  <c r="M359" i="32" s="1"/>
  <c r="C359" i="32"/>
  <c r="B359" i="32"/>
  <c r="G358" i="32"/>
  <c r="F358" i="32"/>
  <c r="E358" i="32"/>
  <c r="D358" i="32"/>
  <c r="M358" i="32" s="1"/>
  <c r="C358" i="32"/>
  <c r="B358" i="32"/>
  <c r="G357" i="32"/>
  <c r="F357" i="32"/>
  <c r="E357" i="32"/>
  <c r="D357" i="32"/>
  <c r="M357" i="32" s="1"/>
  <c r="C357" i="32"/>
  <c r="B357" i="32"/>
  <c r="G356" i="32"/>
  <c r="F356" i="32"/>
  <c r="E356" i="32"/>
  <c r="D356" i="32"/>
  <c r="M356" i="32" s="1"/>
  <c r="C356" i="32"/>
  <c r="B356" i="32"/>
  <c r="G355" i="32"/>
  <c r="F355" i="32"/>
  <c r="E355" i="32"/>
  <c r="D355" i="32"/>
  <c r="M355" i="32" s="1"/>
  <c r="C355" i="32"/>
  <c r="B355" i="32"/>
  <c r="G354" i="32"/>
  <c r="F354" i="32"/>
  <c r="E354" i="32"/>
  <c r="D354" i="32"/>
  <c r="M354" i="32" s="1"/>
  <c r="C354" i="32"/>
  <c r="B354" i="32"/>
  <c r="G353" i="32"/>
  <c r="F353" i="32"/>
  <c r="E353" i="32"/>
  <c r="D353" i="32"/>
  <c r="M353" i="32" s="1"/>
  <c r="C353" i="32"/>
  <c r="B353" i="32"/>
  <c r="G352" i="32"/>
  <c r="F352" i="32"/>
  <c r="E352" i="32"/>
  <c r="D352" i="32"/>
  <c r="M352" i="32" s="1"/>
  <c r="C352" i="32"/>
  <c r="B352" i="32"/>
  <c r="G351" i="32"/>
  <c r="F351" i="32"/>
  <c r="E351" i="32"/>
  <c r="D351" i="32"/>
  <c r="M351" i="32" s="1"/>
  <c r="C351" i="32"/>
  <c r="B351" i="32"/>
  <c r="G350" i="32"/>
  <c r="F350" i="32"/>
  <c r="E350" i="32"/>
  <c r="D350" i="32"/>
  <c r="M350" i="32" s="1"/>
  <c r="C350" i="32"/>
  <c r="B350" i="32"/>
  <c r="G349" i="32"/>
  <c r="F349" i="32"/>
  <c r="E349" i="32"/>
  <c r="D349" i="32"/>
  <c r="M349" i="32" s="1"/>
  <c r="C349" i="32"/>
  <c r="B349" i="32"/>
  <c r="G348" i="32"/>
  <c r="F348" i="32"/>
  <c r="E348" i="32"/>
  <c r="D348" i="32"/>
  <c r="M348" i="32" s="1"/>
  <c r="C348" i="32"/>
  <c r="B348" i="32"/>
  <c r="G303" i="32"/>
  <c r="F303" i="32"/>
  <c r="E303" i="32"/>
  <c r="D303" i="32"/>
  <c r="M303" i="32" s="1"/>
  <c r="C303" i="32"/>
  <c r="B303" i="32"/>
  <c r="G302" i="32"/>
  <c r="F302" i="32"/>
  <c r="E302" i="32"/>
  <c r="D302" i="32"/>
  <c r="M302" i="32" s="1"/>
  <c r="C302" i="32"/>
  <c r="B302" i="32"/>
  <c r="G301" i="32"/>
  <c r="F301" i="32"/>
  <c r="E301" i="32"/>
  <c r="D301" i="32"/>
  <c r="M301" i="32" s="1"/>
  <c r="C301" i="32"/>
  <c r="B301" i="32"/>
  <c r="G300" i="32"/>
  <c r="F300" i="32"/>
  <c r="E300" i="32"/>
  <c r="D300" i="32"/>
  <c r="M300" i="32" s="1"/>
  <c r="C300" i="32"/>
  <c r="B300" i="32"/>
  <c r="G294" i="32"/>
  <c r="F294" i="32"/>
  <c r="E294" i="32"/>
  <c r="D294" i="32"/>
  <c r="M294" i="32" s="1"/>
  <c r="C294" i="32"/>
  <c r="B294" i="32"/>
  <c r="G293" i="32"/>
  <c r="F293" i="32"/>
  <c r="E293" i="32"/>
  <c r="D293" i="32"/>
  <c r="M293" i="32" s="1"/>
  <c r="C293" i="32"/>
  <c r="B293" i="32"/>
  <c r="G292" i="32"/>
  <c r="F292" i="32"/>
  <c r="E292" i="32"/>
  <c r="D292" i="32"/>
  <c r="M292" i="32" s="1"/>
  <c r="C292" i="32"/>
  <c r="B292" i="32"/>
  <c r="G274" i="32"/>
  <c r="F274" i="32"/>
  <c r="E274" i="32"/>
  <c r="D274" i="32"/>
  <c r="M274" i="32" s="1"/>
  <c r="C274" i="32"/>
  <c r="B274" i="32"/>
  <c r="G273" i="32"/>
  <c r="F273" i="32"/>
  <c r="E273" i="32"/>
  <c r="D273" i="32"/>
  <c r="M273" i="32" s="1"/>
  <c r="C273" i="32"/>
  <c r="B273" i="32"/>
  <c r="G272" i="32"/>
  <c r="F272" i="32"/>
  <c r="E272" i="32"/>
  <c r="D272" i="32"/>
  <c r="M272" i="32" s="1"/>
  <c r="C272" i="32"/>
  <c r="B272" i="32"/>
  <c r="G126" i="32"/>
  <c r="F126" i="32"/>
  <c r="E126" i="32"/>
  <c r="D126" i="32"/>
  <c r="M126" i="32" s="1"/>
  <c r="C126" i="32"/>
  <c r="B126" i="32"/>
  <c r="G115" i="32"/>
  <c r="F115" i="32"/>
  <c r="E115" i="32"/>
  <c r="D115" i="32"/>
  <c r="M115" i="32" s="1"/>
  <c r="C115" i="32"/>
  <c r="B115" i="32"/>
  <c r="G54" i="32"/>
  <c r="F54" i="32"/>
  <c r="E54" i="32"/>
  <c r="D54" i="32"/>
  <c r="M54" i="32" s="1"/>
  <c r="C54" i="32"/>
  <c r="B54" i="32"/>
  <c r="G53" i="32"/>
  <c r="F53" i="32"/>
  <c r="E53" i="32"/>
  <c r="D53" i="32"/>
  <c r="M53" i="32" s="1"/>
  <c r="C53" i="32"/>
  <c r="B53" i="32"/>
  <c r="G52" i="32"/>
  <c r="F52" i="32"/>
  <c r="E52" i="32"/>
  <c r="D52" i="32"/>
  <c r="M52" i="32" s="1"/>
  <c r="C52" i="32"/>
  <c r="B52" i="32"/>
  <c r="G51" i="32"/>
  <c r="F51" i="32"/>
  <c r="E51" i="32"/>
  <c r="D51" i="32"/>
  <c r="M51" i="32" s="1"/>
  <c r="C51" i="32"/>
  <c r="B51" i="32"/>
  <c r="G50" i="32"/>
  <c r="F50" i="32"/>
  <c r="E50" i="32"/>
  <c r="D50" i="32"/>
  <c r="M50" i="32" s="1"/>
  <c r="C50" i="32"/>
  <c r="B50" i="32"/>
  <c r="G49" i="32"/>
  <c r="F49" i="32"/>
  <c r="E49" i="32"/>
  <c r="D49" i="32"/>
  <c r="M49" i="32" s="1"/>
  <c r="C49" i="32"/>
  <c r="B49" i="32"/>
  <c r="G58" i="32"/>
  <c r="F58" i="32"/>
  <c r="E58" i="32"/>
  <c r="D58" i="32"/>
  <c r="M58" i="32" s="1"/>
  <c r="C58" i="32"/>
  <c r="B58" i="32"/>
  <c r="I17" i="32"/>
  <c r="I7" i="32"/>
  <c r="I6" i="32"/>
  <c r="G73" i="34"/>
  <c r="F73" i="34"/>
  <c r="E73" i="34"/>
  <c r="D73" i="34"/>
  <c r="M73" i="34" s="1"/>
  <c r="C73" i="34"/>
  <c r="B73" i="34"/>
  <c r="N73" i="34"/>
  <c r="F8" i="7"/>
  <c r="G41" i="34"/>
  <c r="D41" i="34"/>
  <c r="M41" i="34" s="1"/>
  <c r="C41" i="34"/>
  <c r="B41" i="34"/>
  <c r="E41" i="34"/>
  <c r="F41" i="34"/>
  <c r="N41" i="34"/>
  <c r="G62" i="46"/>
  <c r="F62" i="46"/>
  <c r="E62" i="46"/>
  <c r="D62" i="46"/>
  <c r="C62" i="46"/>
  <c r="B62" i="46"/>
  <c r="G8" i="46"/>
  <c r="F8" i="46"/>
  <c r="E8" i="46"/>
  <c r="D8" i="46"/>
  <c r="B8" i="46"/>
  <c r="J8" i="46"/>
  <c r="J9" i="49"/>
  <c r="C8" i="46"/>
  <c r="G8" i="49"/>
  <c r="F8" i="49"/>
  <c r="E8" i="49"/>
  <c r="D8" i="49"/>
  <c r="C8" i="49"/>
  <c r="B8" i="49"/>
  <c r="G5" i="49"/>
  <c r="F5" i="49"/>
  <c r="E5" i="49"/>
  <c r="D5" i="49"/>
  <c r="C5" i="49"/>
  <c r="B5" i="49"/>
  <c r="G4" i="49"/>
  <c r="F4" i="49"/>
  <c r="E4" i="49"/>
  <c r="D4" i="49"/>
  <c r="C4" i="49"/>
  <c r="B4" i="49"/>
  <c r="J4" i="49"/>
  <c r="J5" i="49"/>
  <c r="J6" i="49"/>
  <c r="J8" i="49"/>
  <c r="G24" i="49"/>
  <c r="E24" i="49"/>
  <c r="C24" i="49"/>
  <c r="B24" i="49"/>
  <c r="D24" i="49"/>
  <c r="F24" i="49"/>
  <c r="J24" i="49"/>
  <c r="F63" i="49"/>
  <c r="E63" i="49"/>
  <c r="D63" i="49"/>
  <c r="C63" i="49"/>
  <c r="B63" i="49"/>
  <c r="G63" i="49"/>
  <c r="I7" i="34"/>
  <c r="N7" i="34"/>
  <c r="H65" i="49"/>
  <c r="H35" i="49" s="1"/>
  <c r="H36" i="49" s="1"/>
  <c r="J64" i="49"/>
  <c r="G64" i="49"/>
  <c r="F64" i="49"/>
  <c r="E64" i="49"/>
  <c r="D64" i="49"/>
  <c r="C64" i="49"/>
  <c r="B64" i="49"/>
  <c r="J62" i="49"/>
  <c r="G62" i="49"/>
  <c r="F62" i="49"/>
  <c r="E62" i="49"/>
  <c r="D62" i="49"/>
  <c r="C62" i="49"/>
  <c r="B62" i="49"/>
  <c r="J61" i="49"/>
  <c r="G61" i="49"/>
  <c r="F61" i="49"/>
  <c r="E61" i="49"/>
  <c r="D61" i="49"/>
  <c r="C61" i="49"/>
  <c r="B61" i="49"/>
  <c r="J60" i="49"/>
  <c r="G60" i="49"/>
  <c r="F60" i="49"/>
  <c r="E60" i="49"/>
  <c r="D60" i="49"/>
  <c r="C60" i="49"/>
  <c r="B60" i="49"/>
  <c r="J59" i="49"/>
  <c r="G59" i="49"/>
  <c r="F59" i="49"/>
  <c r="E59" i="49"/>
  <c r="D59" i="49"/>
  <c r="D46" i="49"/>
  <c r="C59" i="49"/>
  <c r="B59" i="49"/>
  <c r="J58" i="49"/>
  <c r="G58" i="49"/>
  <c r="F58" i="49"/>
  <c r="E58" i="49"/>
  <c r="D58" i="49"/>
  <c r="C58" i="49"/>
  <c r="B58" i="49"/>
  <c r="J57" i="49"/>
  <c r="G57" i="49"/>
  <c r="F57" i="49"/>
  <c r="E57" i="49"/>
  <c r="D57" i="49"/>
  <c r="C57" i="49"/>
  <c r="B57" i="49"/>
  <c r="J56" i="49"/>
  <c r="G56" i="49"/>
  <c r="F56" i="49"/>
  <c r="E56" i="49"/>
  <c r="D56" i="49"/>
  <c r="C56" i="49"/>
  <c r="B56" i="49"/>
  <c r="J55" i="49"/>
  <c r="G55" i="49"/>
  <c r="F55" i="49"/>
  <c r="E55" i="49"/>
  <c r="D55" i="49"/>
  <c r="C55" i="49"/>
  <c r="B55" i="49"/>
  <c r="J54" i="49"/>
  <c r="G54" i="49"/>
  <c r="F54" i="49"/>
  <c r="E54" i="49"/>
  <c r="D54" i="49"/>
  <c r="C54" i="49"/>
  <c r="B54" i="49"/>
  <c r="J53" i="49"/>
  <c r="G53" i="49"/>
  <c r="F53" i="49"/>
  <c r="E53" i="49"/>
  <c r="D53" i="49"/>
  <c r="C53" i="49"/>
  <c r="B53" i="49"/>
  <c r="J52" i="49"/>
  <c r="G52" i="49"/>
  <c r="F52" i="49"/>
  <c r="E52" i="49"/>
  <c r="D52" i="49"/>
  <c r="C52" i="49"/>
  <c r="B52" i="49"/>
  <c r="J51" i="49"/>
  <c r="G51" i="49"/>
  <c r="F51" i="49"/>
  <c r="E51" i="49"/>
  <c r="D51" i="49"/>
  <c r="C51" i="49"/>
  <c r="B51" i="49"/>
  <c r="J50" i="49"/>
  <c r="G50" i="49"/>
  <c r="F50" i="49"/>
  <c r="E50" i="49"/>
  <c r="D50" i="49"/>
  <c r="C50" i="49"/>
  <c r="B50" i="49"/>
  <c r="J49" i="49"/>
  <c r="G49" i="49"/>
  <c r="F49" i="49"/>
  <c r="E49" i="49"/>
  <c r="E46" i="49"/>
  <c r="D49" i="49"/>
  <c r="C49" i="49"/>
  <c r="B49" i="49"/>
  <c r="J48" i="49"/>
  <c r="G48" i="49"/>
  <c r="F48" i="49"/>
  <c r="E48" i="49"/>
  <c r="D48" i="49"/>
  <c r="C48" i="49"/>
  <c r="B48" i="49"/>
  <c r="J47" i="49"/>
  <c r="G47" i="49"/>
  <c r="F47" i="49"/>
  <c r="E47" i="49"/>
  <c r="D47" i="49"/>
  <c r="C47" i="49"/>
  <c r="B47" i="49"/>
  <c r="J46" i="49"/>
  <c r="G46" i="49"/>
  <c r="F46" i="49"/>
  <c r="C46" i="49"/>
  <c r="B46" i="49"/>
  <c r="J45" i="49"/>
  <c r="G45" i="49"/>
  <c r="F45" i="49"/>
  <c r="E45" i="49"/>
  <c r="D45" i="49"/>
  <c r="C45" i="49"/>
  <c r="B45" i="49"/>
  <c r="J44" i="49"/>
  <c r="G44" i="49"/>
  <c r="F44" i="49"/>
  <c r="E44" i="49"/>
  <c r="D44" i="49"/>
  <c r="C44" i="49"/>
  <c r="B44" i="49"/>
  <c r="J43" i="49"/>
  <c r="G43" i="49"/>
  <c r="F43" i="49"/>
  <c r="E43" i="49"/>
  <c r="D43" i="49"/>
  <c r="C43" i="49"/>
  <c r="B43" i="49"/>
  <c r="J42" i="49"/>
  <c r="G42" i="49"/>
  <c r="F42" i="49"/>
  <c r="E42" i="49"/>
  <c r="D42" i="49"/>
  <c r="C42" i="49"/>
  <c r="B42" i="49"/>
  <c r="J41" i="49"/>
  <c r="G41" i="49"/>
  <c r="F41" i="49"/>
  <c r="E41" i="49"/>
  <c r="D41" i="49"/>
  <c r="C41" i="49"/>
  <c r="B41" i="49"/>
  <c r="G40" i="49"/>
  <c r="F40" i="49"/>
  <c r="E40" i="49"/>
  <c r="D40" i="49"/>
  <c r="C40" i="49"/>
  <c r="B40" i="49"/>
  <c r="J35" i="49"/>
  <c r="J34" i="49"/>
  <c r="G34" i="49"/>
  <c r="F34" i="49"/>
  <c r="E34" i="49"/>
  <c r="D34" i="49"/>
  <c r="C34" i="49"/>
  <c r="B34" i="49"/>
  <c r="J33" i="49"/>
  <c r="G33" i="49"/>
  <c r="F33" i="49"/>
  <c r="E33" i="49"/>
  <c r="D33" i="49"/>
  <c r="C33" i="49"/>
  <c r="B33" i="49"/>
  <c r="J32" i="49"/>
  <c r="G32" i="49"/>
  <c r="F32" i="49"/>
  <c r="E32" i="49"/>
  <c r="D32" i="49"/>
  <c r="C32" i="49"/>
  <c r="B32" i="49"/>
  <c r="J31" i="49"/>
  <c r="G31" i="49"/>
  <c r="F31" i="49"/>
  <c r="E31" i="49"/>
  <c r="D31" i="49"/>
  <c r="C31" i="49"/>
  <c r="B31" i="49"/>
  <c r="J30" i="49"/>
  <c r="G30" i="49"/>
  <c r="F30" i="49"/>
  <c r="E30" i="49"/>
  <c r="D30" i="49"/>
  <c r="C30" i="49"/>
  <c r="B30" i="49"/>
  <c r="J29" i="49"/>
  <c r="G29" i="49"/>
  <c r="F29" i="49"/>
  <c r="E29" i="49"/>
  <c r="D29" i="49"/>
  <c r="C29" i="49"/>
  <c r="B29" i="49"/>
  <c r="J28" i="49"/>
  <c r="G28" i="49"/>
  <c r="F28" i="49"/>
  <c r="E28" i="49"/>
  <c r="D28" i="49"/>
  <c r="C28" i="49"/>
  <c r="B28" i="49"/>
  <c r="J27" i="49"/>
  <c r="G27" i="49"/>
  <c r="F27" i="49"/>
  <c r="E27" i="49"/>
  <c r="D27" i="49"/>
  <c r="C27" i="49"/>
  <c r="B27" i="49"/>
  <c r="J26" i="49"/>
  <c r="G26" i="49"/>
  <c r="F26" i="49"/>
  <c r="E26" i="49"/>
  <c r="D26" i="49"/>
  <c r="C26" i="49"/>
  <c r="B26" i="49"/>
  <c r="J25" i="49"/>
  <c r="G25" i="49"/>
  <c r="F25" i="49"/>
  <c r="E25" i="49"/>
  <c r="D25" i="49"/>
  <c r="C25" i="49"/>
  <c r="B25" i="49"/>
  <c r="J23" i="49"/>
  <c r="G23" i="49"/>
  <c r="F23" i="49"/>
  <c r="E23" i="49"/>
  <c r="D23" i="49"/>
  <c r="C23" i="49"/>
  <c r="B23" i="49"/>
  <c r="J22" i="49"/>
  <c r="F22" i="49"/>
  <c r="B22" i="49"/>
  <c r="J21" i="49"/>
  <c r="G21" i="49"/>
  <c r="F21" i="49"/>
  <c r="E21" i="49"/>
  <c r="D21" i="49"/>
  <c r="C21" i="49"/>
  <c r="B21" i="49"/>
  <c r="J20" i="49"/>
  <c r="G20" i="49"/>
  <c r="F20" i="49"/>
  <c r="E20" i="49"/>
  <c r="D20" i="49"/>
  <c r="C20" i="49"/>
  <c r="B20" i="49"/>
  <c r="J19" i="49"/>
  <c r="G19" i="49"/>
  <c r="F19" i="49"/>
  <c r="E19" i="49"/>
  <c r="D19" i="49"/>
  <c r="C19" i="49"/>
  <c r="B19" i="49"/>
  <c r="J18" i="49"/>
  <c r="G18" i="49"/>
  <c r="F18" i="49"/>
  <c r="E18" i="49"/>
  <c r="D18" i="49"/>
  <c r="C18" i="49"/>
  <c r="B18" i="49"/>
  <c r="J17" i="49"/>
  <c r="G17" i="49"/>
  <c r="F17" i="49"/>
  <c r="E17" i="49"/>
  <c r="D17" i="49"/>
  <c r="C17" i="49"/>
  <c r="B17" i="49"/>
  <c r="J16" i="49"/>
  <c r="G16" i="49"/>
  <c r="F16" i="49"/>
  <c r="E16" i="49"/>
  <c r="D16" i="49"/>
  <c r="C16" i="49"/>
  <c r="B16" i="49"/>
  <c r="J14" i="49"/>
  <c r="G14" i="49"/>
  <c r="F14" i="49"/>
  <c r="E14" i="49"/>
  <c r="D14" i="49"/>
  <c r="C14" i="49"/>
  <c r="B14" i="49"/>
  <c r="J13" i="49"/>
  <c r="G13" i="49"/>
  <c r="F13" i="49"/>
  <c r="E13" i="49"/>
  <c r="D13" i="49"/>
  <c r="C13" i="49"/>
  <c r="B13" i="49"/>
  <c r="J12" i="49"/>
  <c r="G12" i="49"/>
  <c r="F12" i="49"/>
  <c r="E12" i="49"/>
  <c r="D12" i="49"/>
  <c r="C12" i="49"/>
  <c r="B12" i="49"/>
  <c r="J11" i="49"/>
  <c r="G11" i="49"/>
  <c r="F11" i="49"/>
  <c r="E11" i="49"/>
  <c r="D11" i="49"/>
  <c r="C11" i="49"/>
  <c r="B11" i="49"/>
  <c r="J10" i="49"/>
  <c r="G10" i="49"/>
  <c r="F10" i="49"/>
  <c r="E10" i="49"/>
  <c r="D10" i="49"/>
  <c r="C10" i="49"/>
  <c r="B10" i="49"/>
  <c r="J3" i="49"/>
  <c r="F3" i="49"/>
  <c r="E3" i="49"/>
  <c r="D3" i="49"/>
  <c r="B3" i="49"/>
  <c r="J2" i="49"/>
  <c r="G2" i="49"/>
  <c r="F2" i="49"/>
  <c r="E2" i="49"/>
  <c r="D2" i="49"/>
  <c r="C2" i="49"/>
  <c r="B2" i="49"/>
  <c r="D247" i="34"/>
  <c r="M247" i="34" s="1"/>
  <c r="G48" i="34"/>
  <c r="F48" i="34"/>
  <c r="E48" i="34"/>
  <c r="D48" i="34"/>
  <c r="M48" i="34" s="1"/>
  <c r="C48" i="34"/>
  <c r="B48" i="34"/>
  <c r="N48" i="34"/>
  <c r="G47" i="34"/>
  <c r="F47" i="34"/>
  <c r="E47" i="34"/>
  <c r="D47" i="34"/>
  <c r="M47" i="34" s="1"/>
  <c r="C47" i="34"/>
  <c r="B47" i="34"/>
  <c r="G46" i="34"/>
  <c r="F46" i="34"/>
  <c r="E46" i="34"/>
  <c r="D46" i="34"/>
  <c r="M46" i="34" s="1"/>
  <c r="C46" i="34"/>
  <c r="B46" i="34"/>
  <c r="N46" i="34"/>
  <c r="N47" i="34"/>
  <c r="H22" i="6"/>
  <c r="B22" i="6" s="1"/>
  <c r="J22" i="6"/>
  <c r="H8" i="48"/>
  <c r="H11" i="6"/>
  <c r="H2" i="6"/>
  <c r="G2" i="6" s="1"/>
  <c r="G9" i="6"/>
  <c r="F9" i="6"/>
  <c r="E9" i="6"/>
  <c r="D9" i="6"/>
  <c r="C9" i="6"/>
  <c r="B9" i="6"/>
  <c r="J9" i="6"/>
  <c r="G11" i="7"/>
  <c r="F11" i="7"/>
  <c r="E11" i="7"/>
  <c r="D11" i="7"/>
  <c r="C11" i="7"/>
  <c r="B11" i="7"/>
  <c r="J11" i="7"/>
  <c r="G86" i="34"/>
  <c r="F86" i="34"/>
  <c r="E86" i="34"/>
  <c r="D86" i="34"/>
  <c r="M86" i="34" s="1"/>
  <c r="C86" i="34"/>
  <c r="B86" i="34"/>
  <c r="N86" i="34"/>
  <c r="D45" i="34"/>
  <c r="M45" i="34" s="1"/>
  <c r="C45" i="34"/>
  <c r="B45" i="34"/>
  <c r="N45" i="34"/>
  <c r="G45" i="34"/>
  <c r="F45" i="34"/>
  <c r="E45" i="34"/>
  <c r="G188" i="34"/>
  <c r="F188" i="34"/>
  <c r="E188" i="34"/>
  <c r="D188" i="34"/>
  <c r="M188" i="34" s="1"/>
  <c r="C188" i="34"/>
  <c r="B188" i="34"/>
  <c r="N188" i="34"/>
  <c r="M177" i="34"/>
  <c r="L177" i="34"/>
  <c r="F195" i="34"/>
  <c r="D195" i="34"/>
  <c r="M195" i="34" s="1"/>
  <c r="C195" i="34"/>
  <c r="C196" i="34"/>
  <c r="D196" i="34"/>
  <c r="M196" i="34" s="1"/>
  <c r="E196" i="34"/>
  <c r="F196" i="34"/>
  <c r="G196" i="34"/>
  <c r="G195" i="34"/>
  <c r="E195" i="34"/>
  <c r="G194" i="34"/>
  <c r="F194" i="34"/>
  <c r="E194" i="34"/>
  <c r="D194" i="34"/>
  <c r="M194" i="34" s="1"/>
  <c r="C194" i="34"/>
  <c r="G193" i="34"/>
  <c r="F193" i="34"/>
  <c r="E193" i="34"/>
  <c r="D193" i="34"/>
  <c r="M193" i="34" s="1"/>
  <c r="C193" i="34"/>
  <c r="G192" i="34"/>
  <c r="F192" i="34"/>
  <c r="E192" i="34"/>
  <c r="D192" i="34"/>
  <c r="M192" i="34" s="1"/>
  <c r="C192" i="34"/>
  <c r="G191" i="34"/>
  <c r="F191" i="34"/>
  <c r="E191" i="34"/>
  <c r="D191" i="34"/>
  <c r="M191" i="34" s="1"/>
  <c r="C191" i="34"/>
  <c r="G189" i="34"/>
  <c r="F189" i="34"/>
  <c r="E189" i="34"/>
  <c r="D189" i="34"/>
  <c r="M189" i="34" s="1"/>
  <c r="C189" i="34"/>
  <c r="B196" i="34"/>
  <c r="B195" i="34"/>
  <c r="B194" i="34"/>
  <c r="B193" i="34"/>
  <c r="B192" i="34"/>
  <c r="B191" i="34"/>
  <c r="B189" i="34"/>
  <c r="N189" i="34"/>
  <c r="N191" i="34"/>
  <c r="N192" i="34"/>
  <c r="N193" i="34"/>
  <c r="N194" i="34"/>
  <c r="N195" i="34"/>
  <c r="N196" i="34"/>
  <c r="G233" i="34"/>
  <c r="D233" i="34"/>
  <c r="M233" i="34" s="1"/>
  <c r="C233" i="34"/>
  <c r="B233" i="34"/>
  <c r="E233" i="34"/>
  <c r="F233" i="34"/>
  <c r="N233" i="34"/>
  <c r="D147" i="34"/>
  <c r="M147" i="34" s="1"/>
  <c r="E147" i="34"/>
  <c r="F147" i="34"/>
  <c r="G147" i="34"/>
  <c r="C147" i="34"/>
  <c r="B147" i="34"/>
  <c r="N147" i="34"/>
  <c r="F178" i="34"/>
  <c r="G178" i="34"/>
  <c r="E178" i="34"/>
  <c r="D178" i="34"/>
  <c r="M178" i="34" s="1"/>
  <c r="C178" i="34"/>
  <c r="B178" i="34"/>
  <c r="G179" i="34"/>
  <c r="F179" i="34"/>
  <c r="E179" i="34"/>
  <c r="D179" i="34"/>
  <c r="M179" i="34" s="1"/>
  <c r="C179" i="34"/>
  <c r="B179" i="34"/>
  <c r="G180" i="34"/>
  <c r="F180" i="34"/>
  <c r="E180" i="34"/>
  <c r="D180" i="34"/>
  <c r="M180" i="34" s="1"/>
  <c r="C180" i="34"/>
  <c r="B180" i="34"/>
  <c r="G181" i="34"/>
  <c r="F181" i="34"/>
  <c r="E181" i="34"/>
  <c r="D181" i="34"/>
  <c r="M181" i="34" s="1"/>
  <c r="C181" i="34"/>
  <c r="B181" i="34"/>
  <c r="C3" i="49"/>
  <c r="G3" i="49"/>
  <c r="F22" i="6"/>
  <c r="G182" i="34"/>
  <c r="F182" i="34"/>
  <c r="E182" i="34"/>
  <c r="D182" i="34"/>
  <c r="M182" i="34" s="1"/>
  <c r="C182" i="34"/>
  <c r="B182" i="34"/>
  <c r="G185" i="34"/>
  <c r="F185" i="34"/>
  <c r="E185" i="34"/>
  <c r="D185" i="34"/>
  <c r="M185" i="34" s="1"/>
  <c r="C185" i="34"/>
  <c r="B185" i="34"/>
  <c r="G183" i="34"/>
  <c r="F183" i="34"/>
  <c r="E183" i="34"/>
  <c r="D183" i="34"/>
  <c r="M183" i="34" s="1"/>
  <c r="C183" i="34"/>
  <c r="B183" i="34"/>
  <c r="G186" i="34"/>
  <c r="E186" i="34"/>
  <c r="D186" i="34"/>
  <c r="M186" i="34" s="1"/>
  <c r="C186" i="34"/>
  <c r="B186" i="34"/>
  <c r="G184" i="34"/>
  <c r="F184" i="34"/>
  <c r="E184" i="34"/>
  <c r="D184" i="34"/>
  <c r="M184" i="34" s="1"/>
  <c r="C184" i="34"/>
  <c r="B184" i="34"/>
  <c r="G187" i="34"/>
  <c r="F187" i="34"/>
  <c r="E187" i="34"/>
  <c r="D187" i="34"/>
  <c r="M187" i="34" s="1"/>
  <c r="C187" i="34"/>
  <c r="B187" i="34"/>
  <c r="F186" i="34"/>
  <c r="N178" i="34"/>
  <c r="N179" i="34"/>
  <c r="N180" i="34"/>
  <c r="N181" i="34"/>
  <c r="N182" i="34"/>
  <c r="N183" i="34"/>
  <c r="N184" i="34"/>
  <c r="N185" i="34"/>
  <c r="N186" i="34"/>
  <c r="N187" i="34"/>
  <c r="G245" i="34"/>
  <c r="D245" i="34"/>
  <c r="M245" i="34" s="1"/>
  <c r="C245" i="34"/>
  <c r="B245" i="34"/>
  <c r="F245" i="34"/>
  <c r="E245" i="34"/>
  <c r="N245" i="34"/>
  <c r="E145" i="34"/>
  <c r="C145" i="34"/>
  <c r="B145" i="34"/>
  <c r="G145" i="34"/>
  <c r="F145" i="34"/>
  <c r="D145" i="34"/>
  <c r="M145" i="34" s="1"/>
  <c r="N145" i="34"/>
  <c r="G20" i="48"/>
  <c r="F20" i="48"/>
  <c r="E20" i="48"/>
  <c r="D20" i="48"/>
  <c r="C20" i="48"/>
  <c r="B20" i="48"/>
  <c r="J20" i="48"/>
  <c r="I6" i="34"/>
  <c r="D37" i="48"/>
  <c r="G21" i="48"/>
  <c r="F21" i="48"/>
  <c r="E21" i="48"/>
  <c r="D21" i="48"/>
  <c r="C21" i="48"/>
  <c r="B21" i="48"/>
  <c r="J21" i="48"/>
  <c r="F2" i="7"/>
  <c r="C37" i="48"/>
  <c r="B37" i="48"/>
  <c r="D36" i="48"/>
  <c r="C36" i="48"/>
  <c r="B36" i="48"/>
  <c r="D35" i="48"/>
  <c r="C35" i="48"/>
  <c r="B35" i="48"/>
  <c r="G37" i="48"/>
  <c r="F37" i="48"/>
  <c r="E37" i="48"/>
  <c r="G36" i="48"/>
  <c r="F36" i="48"/>
  <c r="E36" i="48"/>
  <c r="G35" i="48"/>
  <c r="F35" i="48"/>
  <c r="E35" i="48"/>
  <c r="G34" i="48"/>
  <c r="F34" i="48"/>
  <c r="E34" i="48"/>
  <c r="D34" i="48"/>
  <c r="C34" i="48"/>
  <c r="B34" i="48"/>
  <c r="G33" i="48"/>
  <c r="F33" i="48"/>
  <c r="E33" i="48"/>
  <c r="D33" i="48"/>
  <c r="C33" i="48"/>
  <c r="B33" i="48"/>
  <c r="G32" i="48"/>
  <c r="F32" i="48"/>
  <c r="E32" i="48"/>
  <c r="D32" i="48"/>
  <c r="C32" i="48"/>
  <c r="B32" i="48"/>
  <c r="G31" i="48"/>
  <c r="F31" i="48"/>
  <c r="E31" i="48"/>
  <c r="D31" i="48"/>
  <c r="C31" i="48"/>
  <c r="B31" i="48"/>
  <c r="G30" i="48"/>
  <c r="F30" i="48"/>
  <c r="E30" i="48"/>
  <c r="D30" i="48"/>
  <c r="C30" i="48"/>
  <c r="B30" i="48"/>
  <c r="G29" i="48"/>
  <c r="F29" i="48"/>
  <c r="E29" i="48"/>
  <c r="D29" i="48"/>
  <c r="C29" i="48"/>
  <c r="B29" i="48"/>
  <c r="G28" i="48"/>
  <c r="F28" i="48"/>
  <c r="E28" i="48"/>
  <c r="D28" i="48"/>
  <c r="C28" i="48"/>
  <c r="B28" i="48"/>
  <c r="J28" i="48"/>
  <c r="J29" i="48"/>
  <c r="J30" i="48"/>
  <c r="J31" i="48"/>
  <c r="J32" i="48"/>
  <c r="J33" i="48"/>
  <c r="J34" i="48"/>
  <c r="J35" i="48"/>
  <c r="J36" i="48"/>
  <c r="J37" i="48"/>
  <c r="G8" i="48"/>
  <c r="F8" i="48"/>
  <c r="E8" i="48"/>
  <c r="D8" i="48"/>
  <c r="C8" i="48"/>
  <c r="B8" i="48"/>
  <c r="J8" i="48"/>
  <c r="B155" i="32"/>
  <c r="B156" i="32"/>
  <c r="G10" i="48"/>
  <c r="F10" i="48"/>
  <c r="E10" i="48"/>
  <c r="D10" i="48"/>
  <c r="C10" i="48"/>
  <c r="B10" i="48"/>
  <c r="G9" i="48"/>
  <c r="F9" i="48"/>
  <c r="E9" i="48"/>
  <c r="D9" i="48"/>
  <c r="C9" i="48"/>
  <c r="B9" i="48"/>
  <c r="J9" i="48"/>
  <c r="J10" i="48"/>
  <c r="N6" i="34"/>
  <c r="H67" i="48"/>
  <c r="H38" i="48"/>
  <c r="H39" i="48"/>
  <c r="J66" i="48"/>
  <c r="G66" i="48"/>
  <c r="F66" i="48"/>
  <c r="E66" i="48"/>
  <c r="D66" i="48"/>
  <c r="C66" i="48"/>
  <c r="B66" i="48"/>
  <c r="J65" i="48"/>
  <c r="G65" i="48"/>
  <c r="F65" i="48"/>
  <c r="E65" i="48"/>
  <c r="D65" i="48"/>
  <c r="C65" i="48"/>
  <c r="B65" i="48"/>
  <c r="J64" i="48"/>
  <c r="G64" i="48"/>
  <c r="F64" i="48"/>
  <c r="E64" i="48"/>
  <c r="D64" i="48"/>
  <c r="C64" i="48"/>
  <c r="B64" i="48"/>
  <c r="J63" i="48"/>
  <c r="G63" i="48"/>
  <c r="F63" i="48"/>
  <c r="E63" i="48"/>
  <c r="D63" i="48"/>
  <c r="C63" i="48"/>
  <c r="B63" i="48"/>
  <c r="J62" i="48"/>
  <c r="G62" i="48"/>
  <c r="F62" i="48"/>
  <c r="E62" i="48"/>
  <c r="D62" i="48"/>
  <c r="C62" i="48"/>
  <c r="B62" i="48"/>
  <c r="J61" i="48"/>
  <c r="G61" i="48"/>
  <c r="F61" i="48"/>
  <c r="E61" i="48"/>
  <c r="D61" i="48"/>
  <c r="C61" i="48"/>
  <c r="B61" i="48"/>
  <c r="J60" i="48"/>
  <c r="G60" i="48"/>
  <c r="F60" i="48"/>
  <c r="E60" i="48"/>
  <c r="D60" i="48"/>
  <c r="C60" i="48"/>
  <c r="B60" i="48"/>
  <c r="J59" i="48"/>
  <c r="G59" i="48"/>
  <c r="F59" i="48"/>
  <c r="E59" i="48"/>
  <c r="D59" i="48"/>
  <c r="C59" i="48"/>
  <c r="B59" i="48"/>
  <c r="J58" i="48"/>
  <c r="G58" i="48"/>
  <c r="F58" i="48"/>
  <c r="E58" i="48"/>
  <c r="D58" i="48"/>
  <c r="C58" i="48"/>
  <c r="B58" i="48"/>
  <c r="J57" i="48"/>
  <c r="G57" i="48"/>
  <c r="F57" i="48"/>
  <c r="E57" i="48"/>
  <c r="D57" i="48"/>
  <c r="C57" i="48"/>
  <c r="B57" i="48"/>
  <c r="J56" i="48"/>
  <c r="G56" i="48"/>
  <c r="F56" i="48"/>
  <c r="E56" i="48"/>
  <c r="D56" i="48"/>
  <c r="C56" i="48"/>
  <c r="B56" i="48"/>
  <c r="J55" i="48"/>
  <c r="G55" i="48"/>
  <c r="F55" i="48"/>
  <c r="E55" i="48"/>
  <c r="D55" i="48"/>
  <c r="C55" i="48"/>
  <c r="B55" i="48"/>
  <c r="J54" i="48"/>
  <c r="G54" i="48"/>
  <c r="F54" i="48"/>
  <c r="E54" i="48"/>
  <c r="D54" i="48"/>
  <c r="C54" i="48"/>
  <c r="B54" i="48"/>
  <c r="J53" i="48"/>
  <c r="G53" i="48"/>
  <c r="F53" i="48"/>
  <c r="E53" i="48"/>
  <c r="D53" i="48"/>
  <c r="C53" i="48"/>
  <c r="B53" i="48"/>
  <c r="J52" i="48"/>
  <c r="G52" i="48"/>
  <c r="F52" i="48"/>
  <c r="E52" i="48"/>
  <c r="D52" i="48"/>
  <c r="C52" i="48"/>
  <c r="B52" i="48"/>
  <c r="J51" i="48"/>
  <c r="G51" i="48"/>
  <c r="F51" i="48"/>
  <c r="E51" i="48"/>
  <c r="D51" i="48"/>
  <c r="C51" i="48"/>
  <c r="B51" i="48"/>
  <c r="J50" i="48"/>
  <c r="G50" i="48"/>
  <c r="F50" i="48"/>
  <c r="E50" i="48"/>
  <c r="D50" i="48"/>
  <c r="C50" i="48"/>
  <c r="B50" i="48"/>
  <c r="J49" i="48"/>
  <c r="G49" i="48"/>
  <c r="F49" i="48"/>
  <c r="E49" i="48"/>
  <c r="D49" i="48"/>
  <c r="C49" i="48"/>
  <c r="B49" i="48"/>
  <c r="J48" i="48"/>
  <c r="G48" i="48"/>
  <c r="F48" i="48"/>
  <c r="E48" i="48"/>
  <c r="D48" i="48"/>
  <c r="C48" i="48"/>
  <c r="B48" i="48"/>
  <c r="J47" i="48"/>
  <c r="G47" i="48"/>
  <c r="F47" i="48"/>
  <c r="E47" i="48"/>
  <c r="D47" i="48"/>
  <c r="C47" i="48"/>
  <c r="B47" i="48"/>
  <c r="J46" i="48"/>
  <c r="G46" i="48"/>
  <c r="F46" i="48"/>
  <c r="E46" i="48"/>
  <c r="E67" i="48" s="1"/>
  <c r="E38" i="48" s="1"/>
  <c r="D46" i="48"/>
  <c r="C46" i="48"/>
  <c r="B46" i="48"/>
  <c r="J45" i="48"/>
  <c r="G45" i="48"/>
  <c r="F45" i="48"/>
  <c r="E45" i="48"/>
  <c r="D45" i="48"/>
  <c r="C45" i="48"/>
  <c r="B45" i="48"/>
  <c r="J44" i="48"/>
  <c r="G44" i="48"/>
  <c r="F44" i="48"/>
  <c r="E44" i="48"/>
  <c r="D44" i="48"/>
  <c r="C44" i="48"/>
  <c r="B44" i="48"/>
  <c r="J43" i="48"/>
  <c r="G43" i="48"/>
  <c r="F43" i="48"/>
  <c r="E43" i="48"/>
  <c r="D43" i="48"/>
  <c r="C43" i="48"/>
  <c r="B43" i="48"/>
  <c r="B67" i="48" s="1"/>
  <c r="B38" i="48" s="1"/>
  <c r="J38" i="48"/>
  <c r="J27" i="48"/>
  <c r="G27" i="48"/>
  <c r="F27" i="48"/>
  <c r="E27" i="48"/>
  <c r="D27" i="48"/>
  <c r="C27" i="48"/>
  <c r="B27" i="48"/>
  <c r="J26" i="48"/>
  <c r="G26" i="48"/>
  <c r="F26" i="48"/>
  <c r="E26" i="48"/>
  <c r="D26" i="48"/>
  <c r="C26" i="48"/>
  <c r="B26" i="48"/>
  <c r="J25" i="48"/>
  <c r="G25" i="48"/>
  <c r="F25" i="48"/>
  <c r="E25" i="48"/>
  <c r="D25" i="48"/>
  <c r="C25" i="48"/>
  <c r="B25" i="48"/>
  <c r="J24" i="48"/>
  <c r="G24" i="48"/>
  <c r="F24" i="48"/>
  <c r="E24" i="48"/>
  <c r="D24" i="48"/>
  <c r="C24" i="48"/>
  <c r="B24" i="48"/>
  <c r="J23" i="48"/>
  <c r="G23" i="48"/>
  <c r="F23" i="48"/>
  <c r="E23" i="48"/>
  <c r="D23" i="48"/>
  <c r="C23" i="48"/>
  <c r="B23" i="48"/>
  <c r="J22" i="48"/>
  <c r="G22" i="48"/>
  <c r="F22" i="48"/>
  <c r="E22" i="48"/>
  <c r="D22" i="48"/>
  <c r="C22" i="48"/>
  <c r="B22" i="48"/>
  <c r="J19" i="48"/>
  <c r="G19" i="48"/>
  <c r="F19" i="48"/>
  <c r="E19" i="48"/>
  <c r="D19" i="48"/>
  <c r="C19" i="48"/>
  <c r="B19" i="48"/>
  <c r="J18" i="48"/>
  <c r="G18" i="48"/>
  <c r="F18" i="48"/>
  <c r="E18" i="48"/>
  <c r="D18" i="48"/>
  <c r="C18" i="48"/>
  <c r="B18" i="48"/>
  <c r="J17" i="48"/>
  <c r="G17" i="48"/>
  <c r="F17" i="48"/>
  <c r="E17" i="48"/>
  <c r="D17" i="48"/>
  <c r="C17" i="48"/>
  <c r="B17" i="48"/>
  <c r="J16" i="48"/>
  <c r="G16" i="48"/>
  <c r="F16" i="48"/>
  <c r="E16" i="48"/>
  <c r="D16" i="48"/>
  <c r="C16" i="48"/>
  <c r="B16" i="48"/>
  <c r="J15" i="48"/>
  <c r="G15" i="48"/>
  <c r="F15" i="48"/>
  <c r="E15" i="48"/>
  <c r="D15" i="48"/>
  <c r="C15" i="48"/>
  <c r="B15" i="48"/>
  <c r="J14" i="48"/>
  <c r="G14" i="48"/>
  <c r="F14" i="48"/>
  <c r="E14" i="48"/>
  <c r="D14" i="48"/>
  <c r="C14" i="48"/>
  <c r="B14" i="48"/>
  <c r="J13" i="48"/>
  <c r="G13" i="48"/>
  <c r="F13" i="48"/>
  <c r="E13" i="48"/>
  <c r="D13" i="48"/>
  <c r="C13" i="48"/>
  <c r="B13" i="48"/>
  <c r="J12" i="48"/>
  <c r="G12" i="48"/>
  <c r="F12" i="48"/>
  <c r="E12" i="48"/>
  <c r="D12" i="48"/>
  <c r="C12" i="48"/>
  <c r="B12" i="48"/>
  <c r="J11" i="48"/>
  <c r="G11" i="48"/>
  <c r="F11" i="48"/>
  <c r="E11" i="48"/>
  <c r="D11" i="48"/>
  <c r="C11" i="48"/>
  <c r="B11" i="48"/>
  <c r="J7" i="48"/>
  <c r="G7" i="48"/>
  <c r="F7" i="48"/>
  <c r="E7" i="48"/>
  <c r="D7" i="48"/>
  <c r="C7" i="48"/>
  <c r="B7" i="48"/>
  <c r="J6" i="48"/>
  <c r="G6" i="48"/>
  <c r="F6" i="48"/>
  <c r="E6" i="48"/>
  <c r="D6" i="48"/>
  <c r="C6" i="48"/>
  <c r="B6" i="48"/>
  <c r="J5" i="48"/>
  <c r="G5" i="48"/>
  <c r="F5" i="48"/>
  <c r="E5" i="48"/>
  <c r="D5" i="48"/>
  <c r="C5" i="48"/>
  <c r="B5" i="48"/>
  <c r="J4" i="48"/>
  <c r="G4" i="48"/>
  <c r="F4" i="48"/>
  <c r="E4" i="48"/>
  <c r="D4" i="48"/>
  <c r="C4" i="48"/>
  <c r="B4" i="48"/>
  <c r="J3" i="48"/>
  <c r="G3" i="48"/>
  <c r="F3" i="48"/>
  <c r="E3" i="48"/>
  <c r="D3" i="48"/>
  <c r="C3" i="48"/>
  <c r="B3" i="48"/>
  <c r="J2" i="48"/>
  <c r="G2" i="48"/>
  <c r="F2" i="48"/>
  <c r="F39" i="48" s="1"/>
  <c r="E2" i="48"/>
  <c r="D2" i="48"/>
  <c r="C2" i="48"/>
  <c r="B2" i="48"/>
  <c r="B39" i="48" s="1"/>
  <c r="G21" i="7"/>
  <c r="F21" i="7"/>
  <c r="E21" i="7"/>
  <c r="D21" i="7"/>
  <c r="C21" i="7"/>
  <c r="B21" i="7"/>
  <c r="J21" i="7"/>
  <c r="G44" i="34"/>
  <c r="D44" i="34"/>
  <c r="M44" i="34" s="1"/>
  <c r="C44" i="34"/>
  <c r="B44" i="34"/>
  <c r="N44" i="34"/>
  <c r="F44" i="34"/>
  <c r="E44" i="34"/>
  <c r="G127" i="34"/>
  <c r="F127" i="34"/>
  <c r="E127" i="34"/>
  <c r="D127" i="34"/>
  <c r="M127" i="34" s="1"/>
  <c r="C127" i="34"/>
  <c r="B127" i="34"/>
  <c r="N127" i="34"/>
  <c r="C154" i="34"/>
  <c r="B154" i="34"/>
  <c r="G153" i="34"/>
  <c r="F153" i="34"/>
  <c r="E153" i="34"/>
  <c r="D153" i="34"/>
  <c r="M153" i="34" s="1"/>
  <c r="C153" i="34"/>
  <c r="B153" i="34"/>
  <c r="G154" i="34"/>
  <c r="F154" i="34"/>
  <c r="E154" i="34"/>
  <c r="D154" i="34"/>
  <c r="M154" i="34" s="1"/>
  <c r="G152" i="34"/>
  <c r="F152" i="34"/>
  <c r="E152" i="34"/>
  <c r="D152" i="34"/>
  <c r="M152" i="34" s="1"/>
  <c r="C152" i="34"/>
  <c r="B152" i="34"/>
  <c r="C155" i="34"/>
  <c r="B155" i="34"/>
  <c r="N155" i="34"/>
  <c r="G155" i="34"/>
  <c r="F155" i="34"/>
  <c r="E155" i="34"/>
  <c r="D155" i="34"/>
  <c r="M155" i="34" s="1"/>
  <c r="N154" i="34"/>
  <c r="N153" i="34"/>
  <c r="N152" i="34"/>
  <c r="G17" i="7"/>
  <c r="F17" i="7"/>
  <c r="E17" i="7"/>
  <c r="D17" i="7"/>
  <c r="C17" i="7"/>
  <c r="B17" i="7"/>
  <c r="J17" i="7"/>
  <c r="G32" i="7"/>
  <c r="F32" i="7"/>
  <c r="E32" i="7"/>
  <c r="D32" i="7"/>
  <c r="C32" i="7"/>
  <c r="B32" i="7"/>
  <c r="J32" i="7"/>
  <c r="G18" i="7"/>
  <c r="F18" i="7"/>
  <c r="E18" i="7"/>
  <c r="D18" i="7"/>
  <c r="C18" i="7"/>
  <c r="B18" i="7"/>
  <c r="J18" i="7"/>
  <c r="G31" i="7"/>
  <c r="F31" i="7"/>
  <c r="E31" i="7"/>
  <c r="D31" i="7"/>
  <c r="C31" i="7"/>
  <c r="B31" i="7"/>
  <c r="J31" i="7"/>
  <c r="E12" i="7"/>
  <c r="D12" i="7"/>
  <c r="B12" i="7"/>
  <c r="G12" i="7"/>
  <c r="F12" i="7"/>
  <c r="C12" i="7"/>
  <c r="J12" i="7"/>
  <c r="J6" i="7"/>
  <c r="G40" i="11"/>
  <c r="F40" i="11"/>
  <c r="E40" i="11"/>
  <c r="D40" i="11"/>
  <c r="C40" i="11"/>
  <c r="B40" i="11"/>
  <c r="G39" i="11"/>
  <c r="F39" i="11"/>
  <c r="E39" i="11"/>
  <c r="D39" i="11"/>
  <c r="C39" i="11"/>
  <c r="B39" i="11"/>
  <c r="J39" i="11"/>
  <c r="J40" i="11"/>
  <c r="G43" i="34"/>
  <c r="F43" i="34"/>
  <c r="E43" i="34"/>
  <c r="D43" i="34"/>
  <c r="M43" i="34" s="1"/>
  <c r="C43" i="34"/>
  <c r="B43" i="34"/>
  <c r="N43" i="34"/>
  <c r="E41" i="47"/>
  <c r="D41" i="47"/>
  <c r="E40" i="47"/>
  <c r="D40" i="47"/>
  <c r="C40" i="47"/>
  <c r="B41" i="47"/>
  <c r="B40" i="47"/>
  <c r="G41" i="47"/>
  <c r="F41" i="47"/>
  <c r="C41" i="47"/>
  <c r="B42" i="47"/>
  <c r="B43" i="47"/>
  <c r="B44" i="47"/>
  <c r="B45" i="47"/>
  <c r="B46" i="47"/>
  <c r="B47" i="47"/>
  <c r="G40" i="47"/>
  <c r="F40" i="47"/>
  <c r="J40" i="47"/>
  <c r="J41" i="47"/>
  <c r="I3" i="34"/>
  <c r="I18" i="34"/>
  <c r="E50" i="47"/>
  <c r="G12" i="47"/>
  <c r="C12" i="47"/>
  <c r="B12" i="47"/>
  <c r="F12" i="47"/>
  <c r="E12" i="47"/>
  <c r="D12" i="47"/>
  <c r="J12" i="47"/>
  <c r="G18" i="46"/>
  <c r="E18" i="46"/>
  <c r="D18" i="46"/>
  <c r="B18" i="46"/>
  <c r="F18" i="46"/>
  <c r="C18" i="46"/>
  <c r="J18" i="46"/>
  <c r="G4" i="46"/>
  <c r="E4" i="46"/>
  <c r="C4" i="46"/>
  <c r="B4" i="46"/>
  <c r="F4" i="46"/>
  <c r="D4" i="46"/>
  <c r="J4" i="46"/>
  <c r="G2" i="46"/>
  <c r="F2" i="46"/>
  <c r="E2" i="46"/>
  <c r="D2" i="46"/>
  <c r="C2" i="46"/>
  <c r="B2" i="46"/>
  <c r="J2" i="46"/>
  <c r="G29" i="47"/>
  <c r="F29" i="47"/>
  <c r="E29" i="47"/>
  <c r="D29" i="47"/>
  <c r="C29" i="47"/>
  <c r="B29" i="47"/>
  <c r="J29" i="47"/>
  <c r="G28" i="11"/>
  <c r="F28" i="11"/>
  <c r="E28" i="11"/>
  <c r="D28" i="11"/>
  <c r="C28" i="11"/>
  <c r="B28" i="11"/>
  <c r="J28" i="11"/>
  <c r="N18" i="34"/>
  <c r="H85" i="47"/>
  <c r="H55" i="47" s="1"/>
  <c r="H56" i="47" s="1"/>
  <c r="G84" i="47"/>
  <c r="F84" i="47"/>
  <c r="E84" i="47"/>
  <c r="D84" i="47"/>
  <c r="C84" i="47"/>
  <c r="B84" i="47"/>
  <c r="G83" i="47"/>
  <c r="F83" i="47"/>
  <c r="E83" i="47"/>
  <c r="D83" i="47"/>
  <c r="C83" i="47"/>
  <c r="B83" i="47"/>
  <c r="J82" i="47"/>
  <c r="G82" i="47"/>
  <c r="F82" i="47"/>
  <c r="E82" i="47"/>
  <c r="D82" i="47"/>
  <c r="C82" i="47"/>
  <c r="B82" i="47"/>
  <c r="J81" i="47"/>
  <c r="G81" i="47"/>
  <c r="F81" i="47"/>
  <c r="E81" i="47"/>
  <c r="D81" i="47"/>
  <c r="C81" i="47"/>
  <c r="B81" i="47"/>
  <c r="J80" i="47"/>
  <c r="G80" i="47"/>
  <c r="F80" i="47"/>
  <c r="E80" i="47"/>
  <c r="D80" i="47"/>
  <c r="C80" i="47"/>
  <c r="B80" i="47"/>
  <c r="J79" i="47"/>
  <c r="G79" i="47"/>
  <c r="F79" i="47"/>
  <c r="E79" i="47"/>
  <c r="D79" i="47"/>
  <c r="C79" i="47"/>
  <c r="B79" i="47"/>
  <c r="J78" i="47"/>
  <c r="G78" i="47"/>
  <c r="F78" i="47"/>
  <c r="E78" i="47"/>
  <c r="D78" i="47"/>
  <c r="C78" i="47"/>
  <c r="B78" i="47"/>
  <c r="J77" i="47"/>
  <c r="G77" i="47"/>
  <c r="F77" i="47"/>
  <c r="E77" i="47"/>
  <c r="D77" i="47"/>
  <c r="C77" i="47"/>
  <c r="B77" i="47"/>
  <c r="J76" i="47"/>
  <c r="G76" i="47"/>
  <c r="F76" i="47"/>
  <c r="E76" i="47"/>
  <c r="D76" i="47"/>
  <c r="C76" i="47"/>
  <c r="B76" i="47"/>
  <c r="J75" i="47"/>
  <c r="G75" i="47"/>
  <c r="F75" i="47"/>
  <c r="E75" i="47"/>
  <c r="D75" i="47"/>
  <c r="C75" i="47"/>
  <c r="B75" i="47"/>
  <c r="J74" i="47"/>
  <c r="G74" i="47"/>
  <c r="F74" i="47"/>
  <c r="E74" i="47"/>
  <c r="D74" i="47"/>
  <c r="C74" i="47"/>
  <c r="B74" i="47"/>
  <c r="J73" i="47"/>
  <c r="G73" i="47"/>
  <c r="F73" i="47"/>
  <c r="E73" i="47"/>
  <c r="D73" i="47"/>
  <c r="C73" i="47"/>
  <c r="B73" i="47"/>
  <c r="J72" i="47"/>
  <c r="G72" i="47"/>
  <c r="F72" i="47"/>
  <c r="E72" i="47"/>
  <c r="D72" i="47"/>
  <c r="C72" i="47"/>
  <c r="B72" i="47"/>
  <c r="J71" i="47"/>
  <c r="G71" i="47"/>
  <c r="F71" i="47"/>
  <c r="E71" i="47"/>
  <c r="D71" i="47"/>
  <c r="C71" i="47"/>
  <c r="B71" i="47"/>
  <c r="J70" i="47"/>
  <c r="G70" i="47"/>
  <c r="F70" i="47"/>
  <c r="E70" i="47"/>
  <c r="D70" i="47"/>
  <c r="C70" i="47"/>
  <c r="B70" i="47"/>
  <c r="J69" i="47"/>
  <c r="G69" i="47"/>
  <c r="F69" i="47"/>
  <c r="E69" i="47"/>
  <c r="D69" i="47"/>
  <c r="C69" i="47"/>
  <c r="B69" i="47"/>
  <c r="J68" i="47"/>
  <c r="G68" i="47"/>
  <c r="F68" i="47"/>
  <c r="E68" i="47"/>
  <c r="D68" i="47"/>
  <c r="C68" i="47"/>
  <c r="B68" i="47"/>
  <c r="J67" i="47"/>
  <c r="G67" i="47"/>
  <c r="F67" i="47"/>
  <c r="E67" i="47"/>
  <c r="D67" i="47"/>
  <c r="C67" i="47"/>
  <c r="B67" i="47"/>
  <c r="J66" i="47"/>
  <c r="G66" i="47"/>
  <c r="F66" i="47"/>
  <c r="E66" i="47"/>
  <c r="D66" i="47"/>
  <c r="C66" i="47"/>
  <c r="B66" i="47"/>
  <c r="J65" i="47"/>
  <c r="G65" i="47"/>
  <c r="F65" i="47"/>
  <c r="E65" i="47"/>
  <c r="D65" i="47"/>
  <c r="C65" i="47"/>
  <c r="B65" i="47"/>
  <c r="J64" i="47"/>
  <c r="G64" i="47"/>
  <c r="F64" i="47"/>
  <c r="E64" i="47"/>
  <c r="D64" i="47"/>
  <c r="C64" i="47"/>
  <c r="B64" i="47"/>
  <c r="J63" i="47"/>
  <c r="G63" i="47"/>
  <c r="F63" i="47"/>
  <c r="E63" i="47"/>
  <c r="D63" i="47"/>
  <c r="C63" i="47"/>
  <c r="B63" i="47"/>
  <c r="J62" i="47"/>
  <c r="G62" i="47"/>
  <c r="F62" i="47"/>
  <c r="E62" i="47"/>
  <c r="D62" i="47"/>
  <c r="C62" i="47"/>
  <c r="C85" i="47" s="1"/>
  <c r="C55" i="47" s="1"/>
  <c r="B62" i="47"/>
  <c r="J61" i="47"/>
  <c r="G61" i="47"/>
  <c r="F61" i="47"/>
  <c r="F85" i="47" s="1"/>
  <c r="F55" i="47" s="1"/>
  <c r="E61" i="47"/>
  <c r="D61" i="47"/>
  <c r="C61" i="47"/>
  <c r="B61" i="47"/>
  <c r="B85" i="47" s="1"/>
  <c r="B55" i="47" s="1"/>
  <c r="J60" i="47"/>
  <c r="G60" i="47"/>
  <c r="F60" i="47"/>
  <c r="E60" i="47"/>
  <c r="E85" i="47" s="1"/>
  <c r="E55" i="47" s="1"/>
  <c r="D60" i="47"/>
  <c r="C60" i="47"/>
  <c r="B60" i="47"/>
  <c r="J59" i="47"/>
  <c r="G59" i="47"/>
  <c r="F59" i="47"/>
  <c r="E59" i="47"/>
  <c r="D59" i="47"/>
  <c r="D85" i="47" s="1"/>
  <c r="D55" i="47" s="1"/>
  <c r="C59" i="47"/>
  <c r="B59" i="47"/>
  <c r="J55" i="47"/>
  <c r="J54" i="47"/>
  <c r="G54" i="47"/>
  <c r="F54" i="47"/>
  <c r="E54" i="47"/>
  <c r="D54" i="47"/>
  <c r="C54" i="47"/>
  <c r="B54" i="47"/>
  <c r="J53" i="47"/>
  <c r="G53" i="47"/>
  <c r="F53" i="47"/>
  <c r="E53" i="47"/>
  <c r="D53" i="47"/>
  <c r="C53" i="47"/>
  <c r="B53" i="47"/>
  <c r="J52" i="47"/>
  <c r="G52" i="47"/>
  <c r="F52" i="47"/>
  <c r="E52" i="47"/>
  <c r="D52" i="47"/>
  <c r="C52" i="47"/>
  <c r="B52" i="47"/>
  <c r="J51" i="47"/>
  <c r="G51" i="47"/>
  <c r="F51" i="47"/>
  <c r="E51" i="47"/>
  <c r="D51" i="47"/>
  <c r="C51" i="47"/>
  <c r="B51" i="47"/>
  <c r="J50" i="47"/>
  <c r="F50" i="47"/>
  <c r="B50" i="47"/>
  <c r="J49" i="47"/>
  <c r="G49" i="47"/>
  <c r="F49" i="47"/>
  <c r="E49" i="47"/>
  <c r="D49" i="47"/>
  <c r="C49" i="47"/>
  <c r="B49" i="47"/>
  <c r="J48" i="47"/>
  <c r="G48" i="47"/>
  <c r="F48" i="47"/>
  <c r="E48" i="47"/>
  <c r="D48" i="47"/>
  <c r="C48" i="47"/>
  <c r="B48" i="47"/>
  <c r="J47" i="47"/>
  <c r="G47" i="47"/>
  <c r="F47" i="47"/>
  <c r="E47" i="47"/>
  <c r="D47" i="47"/>
  <c r="C47" i="47"/>
  <c r="J46" i="47"/>
  <c r="G46" i="47"/>
  <c r="F46" i="47"/>
  <c r="E46" i="47"/>
  <c r="D46" i="47"/>
  <c r="C46" i="47"/>
  <c r="J45" i="47"/>
  <c r="G45" i="47"/>
  <c r="F45" i="47"/>
  <c r="E45" i="47"/>
  <c r="D45" i="47"/>
  <c r="C45" i="47"/>
  <c r="J44" i="47"/>
  <c r="G44" i="47"/>
  <c r="F44" i="47"/>
  <c r="E44" i="47"/>
  <c r="D44" i="47"/>
  <c r="C44" i="47"/>
  <c r="J43" i="47"/>
  <c r="G43" i="47"/>
  <c r="F43" i="47"/>
  <c r="E43" i="47"/>
  <c r="D43" i="47"/>
  <c r="C43" i="47"/>
  <c r="J42" i="47"/>
  <c r="G42" i="47"/>
  <c r="F42" i="47"/>
  <c r="E42" i="47"/>
  <c r="D42" i="47"/>
  <c r="C42" i="47"/>
  <c r="J39" i="47"/>
  <c r="G39" i="47"/>
  <c r="F39" i="47"/>
  <c r="E39" i="47"/>
  <c r="D39" i="47"/>
  <c r="C39" i="47"/>
  <c r="B39" i="47"/>
  <c r="J38" i="47"/>
  <c r="G38" i="47"/>
  <c r="F38" i="47"/>
  <c r="E38" i="47"/>
  <c r="D38" i="47"/>
  <c r="C38" i="47"/>
  <c r="B38" i="47"/>
  <c r="J37" i="47"/>
  <c r="G37" i="47"/>
  <c r="F37" i="47"/>
  <c r="E37" i="47"/>
  <c r="D37" i="47"/>
  <c r="C37" i="47"/>
  <c r="B37" i="47"/>
  <c r="J36" i="47"/>
  <c r="G36" i="47"/>
  <c r="F36" i="47"/>
  <c r="E36" i="47"/>
  <c r="D36" i="47"/>
  <c r="C36" i="47"/>
  <c r="B36" i="47"/>
  <c r="J35" i="47"/>
  <c r="G35" i="47"/>
  <c r="F35" i="47"/>
  <c r="E35" i="47"/>
  <c r="D35" i="47"/>
  <c r="C35" i="47"/>
  <c r="B35" i="47"/>
  <c r="J34" i="47"/>
  <c r="G34" i="47"/>
  <c r="F34" i="47"/>
  <c r="E34" i="47"/>
  <c r="D34" i="47"/>
  <c r="C34" i="47"/>
  <c r="B34" i="47"/>
  <c r="J33" i="47"/>
  <c r="G33" i="47"/>
  <c r="F33" i="47"/>
  <c r="E33" i="47"/>
  <c r="D33" i="47"/>
  <c r="C33" i="47"/>
  <c r="B33" i="47"/>
  <c r="J32" i="47"/>
  <c r="G32" i="47"/>
  <c r="F32" i="47"/>
  <c r="E32" i="47"/>
  <c r="D32" i="47"/>
  <c r="C32" i="47"/>
  <c r="B32" i="47"/>
  <c r="J31" i="47"/>
  <c r="G31" i="47"/>
  <c r="F31" i="47"/>
  <c r="E31" i="47"/>
  <c r="D31" i="47"/>
  <c r="C31" i="47"/>
  <c r="B31" i="47"/>
  <c r="J30" i="47"/>
  <c r="G30" i="47"/>
  <c r="F30" i="47"/>
  <c r="E30" i="47"/>
  <c r="D30" i="47"/>
  <c r="C30" i="47"/>
  <c r="B30" i="47"/>
  <c r="J28" i="47"/>
  <c r="G28" i="47"/>
  <c r="F28" i="47"/>
  <c r="E28" i="47"/>
  <c r="D28" i="47"/>
  <c r="C28" i="47"/>
  <c r="B28" i="47"/>
  <c r="J27" i="47"/>
  <c r="G27" i="47"/>
  <c r="F27" i="47"/>
  <c r="E27" i="47"/>
  <c r="D27" i="47"/>
  <c r="C27" i="47"/>
  <c r="B27" i="47"/>
  <c r="J26" i="47"/>
  <c r="G26" i="47"/>
  <c r="F26" i="47"/>
  <c r="E26" i="47"/>
  <c r="D26" i="47"/>
  <c r="C26" i="47"/>
  <c r="B26" i="47"/>
  <c r="J25" i="47"/>
  <c r="G25" i="47"/>
  <c r="F25" i="47"/>
  <c r="E25" i="47"/>
  <c r="D25" i="47"/>
  <c r="C25" i="47"/>
  <c r="B25" i="47"/>
  <c r="J24" i="47"/>
  <c r="G24" i="47"/>
  <c r="F24" i="47"/>
  <c r="E24" i="47"/>
  <c r="D24" i="47"/>
  <c r="C24" i="47"/>
  <c r="B24" i="47"/>
  <c r="J23" i="47"/>
  <c r="G23" i="47"/>
  <c r="F23" i="47"/>
  <c r="E23" i="47"/>
  <c r="D23" i="47"/>
  <c r="C23" i="47"/>
  <c r="B23" i="47"/>
  <c r="J22" i="47"/>
  <c r="G22" i="47"/>
  <c r="F22" i="47"/>
  <c r="E22" i="47"/>
  <c r="D22" i="47"/>
  <c r="C22" i="47"/>
  <c r="B22" i="47"/>
  <c r="J21" i="47"/>
  <c r="G21" i="47"/>
  <c r="F21" i="47"/>
  <c r="E21" i="47"/>
  <c r="D21" i="47"/>
  <c r="C21" i="47"/>
  <c r="B21" i="47"/>
  <c r="J20" i="47"/>
  <c r="G20" i="47"/>
  <c r="F20" i="47"/>
  <c r="E20" i="47"/>
  <c r="D20" i="47"/>
  <c r="C20" i="47"/>
  <c r="B20" i="47"/>
  <c r="J19" i="47"/>
  <c r="G19" i="47"/>
  <c r="F19" i="47"/>
  <c r="E19" i="47"/>
  <c r="D19" i="47"/>
  <c r="C19" i="47"/>
  <c r="B19" i="47"/>
  <c r="J18" i="47"/>
  <c r="G18" i="47"/>
  <c r="F18" i="47"/>
  <c r="E18" i="47"/>
  <c r="D18" i="47"/>
  <c r="C18" i="47"/>
  <c r="B18" i="47"/>
  <c r="J17" i="47"/>
  <c r="G17" i="47"/>
  <c r="F17" i="47"/>
  <c r="E17" i="47"/>
  <c r="D17" i="47"/>
  <c r="C17" i="47"/>
  <c r="B17" i="47"/>
  <c r="J16" i="47"/>
  <c r="G16" i="47"/>
  <c r="F16" i="47"/>
  <c r="E16" i="47"/>
  <c r="D16" i="47"/>
  <c r="C16" i="47"/>
  <c r="B16" i="47"/>
  <c r="J15" i="47"/>
  <c r="G15" i="47"/>
  <c r="F15" i="47"/>
  <c r="E15" i="47"/>
  <c r="D15" i="47"/>
  <c r="C15" i="47"/>
  <c r="B15" i="47"/>
  <c r="J14" i="47"/>
  <c r="G14" i="47"/>
  <c r="F14" i="47"/>
  <c r="E14" i="47"/>
  <c r="D14" i="47"/>
  <c r="C14" i="47"/>
  <c r="B14" i="47"/>
  <c r="J13" i="47"/>
  <c r="G13" i="47"/>
  <c r="F13" i="47"/>
  <c r="E13" i="47"/>
  <c r="D13" i="47"/>
  <c r="C13" i="47"/>
  <c r="B13" i="47"/>
  <c r="J11" i="47"/>
  <c r="G11" i="47"/>
  <c r="F11" i="47"/>
  <c r="E11" i="47"/>
  <c r="D11" i="47"/>
  <c r="C11" i="47"/>
  <c r="B11" i="47"/>
  <c r="J10" i="47"/>
  <c r="G10" i="47"/>
  <c r="F10" i="47"/>
  <c r="E10" i="47"/>
  <c r="D10" i="47"/>
  <c r="C10" i="47"/>
  <c r="B10" i="47"/>
  <c r="J9" i="47"/>
  <c r="G9" i="47"/>
  <c r="F9" i="47"/>
  <c r="E9" i="47"/>
  <c r="D9" i="47"/>
  <c r="C9" i="47"/>
  <c r="B9" i="47"/>
  <c r="J8" i="47"/>
  <c r="G8" i="47"/>
  <c r="F8" i="47"/>
  <c r="E8" i="47"/>
  <c r="D8" i="47"/>
  <c r="C8" i="47"/>
  <c r="B8" i="47"/>
  <c r="J7" i="47"/>
  <c r="G7" i="47"/>
  <c r="F7" i="47"/>
  <c r="E7" i="47"/>
  <c r="D7" i="47"/>
  <c r="C7" i="47"/>
  <c r="B7" i="47"/>
  <c r="J6" i="47"/>
  <c r="J5" i="47"/>
  <c r="G5" i="47"/>
  <c r="F5" i="47"/>
  <c r="E5" i="47"/>
  <c r="D5" i="47"/>
  <c r="C5" i="47"/>
  <c r="B5" i="47"/>
  <c r="J4" i="47"/>
  <c r="G4" i="47"/>
  <c r="F4" i="47"/>
  <c r="E4" i="47"/>
  <c r="D4" i="47"/>
  <c r="C4" i="47"/>
  <c r="B4" i="47"/>
  <c r="J3" i="47"/>
  <c r="G3" i="47"/>
  <c r="F3" i="47"/>
  <c r="E3" i="47"/>
  <c r="D3" i="47"/>
  <c r="C3" i="47"/>
  <c r="B3" i="47"/>
  <c r="J2" i="47"/>
  <c r="G2" i="47"/>
  <c r="F2" i="47"/>
  <c r="E2" i="47"/>
  <c r="D2" i="47"/>
  <c r="C2" i="47"/>
  <c r="B2" i="47"/>
  <c r="E126" i="34"/>
  <c r="B126" i="34"/>
  <c r="C126" i="34"/>
  <c r="D126" i="34"/>
  <c r="M126" i="34" s="1"/>
  <c r="F126" i="34"/>
  <c r="G126" i="34"/>
  <c r="G125" i="34"/>
  <c r="F125" i="34"/>
  <c r="C125" i="34"/>
  <c r="E125" i="34"/>
  <c r="D125" i="34"/>
  <c r="M125" i="34" s="1"/>
  <c r="B125" i="34"/>
  <c r="N125" i="34"/>
  <c r="N126" i="34"/>
  <c r="J6" i="11"/>
  <c r="H64" i="46"/>
  <c r="H33" i="46" s="1"/>
  <c r="H34" i="46" s="1"/>
  <c r="G63" i="46"/>
  <c r="F63" i="46"/>
  <c r="E63" i="46"/>
  <c r="D63" i="46"/>
  <c r="C63" i="46"/>
  <c r="B63" i="46"/>
  <c r="G61" i="46"/>
  <c r="F61" i="46"/>
  <c r="E61" i="46"/>
  <c r="D61" i="46"/>
  <c r="C61" i="46"/>
  <c r="B61" i="46"/>
  <c r="J60" i="46"/>
  <c r="G60" i="46"/>
  <c r="F60" i="46"/>
  <c r="E60" i="46"/>
  <c r="D60" i="46"/>
  <c r="C60" i="46"/>
  <c r="B60" i="46"/>
  <c r="J59" i="46"/>
  <c r="G59" i="46"/>
  <c r="F59" i="46"/>
  <c r="E59" i="46"/>
  <c r="D59" i="46"/>
  <c r="C59" i="46"/>
  <c r="B59" i="46"/>
  <c r="J58" i="46"/>
  <c r="G58" i="46"/>
  <c r="F58" i="46"/>
  <c r="E58" i="46"/>
  <c r="D58" i="46"/>
  <c r="C58" i="46"/>
  <c r="B58" i="46"/>
  <c r="J57" i="46"/>
  <c r="G57" i="46"/>
  <c r="F57" i="46"/>
  <c r="E57" i="46"/>
  <c r="D57" i="46"/>
  <c r="C57" i="46"/>
  <c r="B57" i="46"/>
  <c r="J56" i="46"/>
  <c r="G56" i="46"/>
  <c r="F56" i="46"/>
  <c r="E56" i="46"/>
  <c r="D56" i="46"/>
  <c r="C56" i="46"/>
  <c r="B56" i="46"/>
  <c r="J55" i="46"/>
  <c r="G55" i="46"/>
  <c r="F55" i="46"/>
  <c r="E55" i="46"/>
  <c r="D55" i="46"/>
  <c r="C55" i="46"/>
  <c r="B55" i="46"/>
  <c r="J54" i="46"/>
  <c r="G54" i="46"/>
  <c r="F54" i="46"/>
  <c r="E54" i="46"/>
  <c r="D54" i="46"/>
  <c r="C54" i="46"/>
  <c r="B54" i="46"/>
  <c r="J53" i="46"/>
  <c r="G53" i="46"/>
  <c r="F53" i="46"/>
  <c r="E53" i="46"/>
  <c r="D53" i="46"/>
  <c r="C53" i="46"/>
  <c r="B53" i="46"/>
  <c r="J52" i="46"/>
  <c r="G52" i="46"/>
  <c r="F52" i="46"/>
  <c r="E52" i="46"/>
  <c r="D52" i="46"/>
  <c r="C52" i="46"/>
  <c r="B52" i="46"/>
  <c r="J51" i="46"/>
  <c r="G51" i="46"/>
  <c r="F51" i="46"/>
  <c r="E51" i="46"/>
  <c r="D51" i="46"/>
  <c r="C51" i="46"/>
  <c r="B51" i="46"/>
  <c r="J50" i="46"/>
  <c r="G50" i="46"/>
  <c r="F50" i="46"/>
  <c r="E50" i="46"/>
  <c r="D50" i="46"/>
  <c r="C50" i="46"/>
  <c r="B50" i="46"/>
  <c r="J49" i="46"/>
  <c r="G49" i="46"/>
  <c r="F49" i="46"/>
  <c r="E49" i="46"/>
  <c r="D49" i="46"/>
  <c r="C49" i="46"/>
  <c r="B49" i="46"/>
  <c r="J48" i="46"/>
  <c r="G48" i="46"/>
  <c r="F48" i="46"/>
  <c r="E48" i="46"/>
  <c r="D48" i="46"/>
  <c r="C48" i="46"/>
  <c r="B48" i="46"/>
  <c r="J47" i="46"/>
  <c r="G47" i="46"/>
  <c r="F47" i="46"/>
  <c r="E47" i="46"/>
  <c r="D47" i="46"/>
  <c r="C47" i="46"/>
  <c r="B47" i="46"/>
  <c r="J46" i="46"/>
  <c r="G46" i="46"/>
  <c r="F46" i="46"/>
  <c r="E46" i="46"/>
  <c r="D46" i="46"/>
  <c r="C46" i="46"/>
  <c r="B46" i="46"/>
  <c r="J45" i="46"/>
  <c r="G45" i="46"/>
  <c r="F45" i="46"/>
  <c r="E45" i="46"/>
  <c r="D45" i="46"/>
  <c r="C45" i="46"/>
  <c r="B45" i="46"/>
  <c r="J44" i="46"/>
  <c r="G44" i="46"/>
  <c r="F44" i="46"/>
  <c r="E44" i="46"/>
  <c r="D44" i="46"/>
  <c r="C44" i="46"/>
  <c r="B44" i="46"/>
  <c r="J43" i="46"/>
  <c r="G43" i="46"/>
  <c r="G19" i="34" s="1"/>
  <c r="F43" i="46"/>
  <c r="F19" i="34" s="1"/>
  <c r="E43" i="46"/>
  <c r="E19" i="34" s="1"/>
  <c r="D43" i="46"/>
  <c r="D19" i="34" s="1"/>
  <c r="M19" i="34" s="1"/>
  <c r="C43" i="46"/>
  <c r="C19" i="34" s="1"/>
  <c r="B43" i="46"/>
  <c r="B19" i="34" s="1"/>
  <c r="L19" i="34" s="1"/>
  <c r="J42" i="46"/>
  <c r="G42" i="46"/>
  <c r="G18" i="32" s="1"/>
  <c r="F42" i="46"/>
  <c r="E42" i="46"/>
  <c r="D42" i="46"/>
  <c r="D18" i="32" s="1"/>
  <c r="M18" i="32" s="1"/>
  <c r="C42" i="46"/>
  <c r="C18" i="32" s="1"/>
  <c r="B42" i="46"/>
  <c r="B18" i="32" s="1"/>
  <c r="L18" i="32" s="1"/>
  <c r="J41" i="46"/>
  <c r="G41" i="46"/>
  <c r="F41" i="46"/>
  <c r="E41" i="46"/>
  <c r="D41" i="46"/>
  <c r="C41" i="46"/>
  <c r="B41" i="46"/>
  <c r="J40" i="46"/>
  <c r="G40" i="46"/>
  <c r="F40" i="46"/>
  <c r="E40" i="46"/>
  <c r="D40" i="46"/>
  <c r="C40" i="46"/>
  <c r="B40" i="46"/>
  <c r="J39" i="46"/>
  <c r="G39" i="46"/>
  <c r="F39" i="46"/>
  <c r="E39" i="46"/>
  <c r="D39" i="46"/>
  <c r="C39" i="46"/>
  <c r="B39" i="46"/>
  <c r="J38" i="46"/>
  <c r="G38" i="46"/>
  <c r="F38" i="46"/>
  <c r="E38" i="46"/>
  <c r="D38" i="46"/>
  <c r="C38" i="46"/>
  <c r="B38" i="46"/>
  <c r="J37" i="46"/>
  <c r="G37" i="46"/>
  <c r="F37" i="46"/>
  <c r="E37" i="46"/>
  <c r="D37" i="46"/>
  <c r="C37" i="46"/>
  <c r="B37" i="46"/>
  <c r="J33" i="46"/>
  <c r="J7" i="46"/>
  <c r="G7" i="46"/>
  <c r="F7" i="46"/>
  <c r="E7" i="46"/>
  <c r="D7" i="46"/>
  <c r="C7" i="46"/>
  <c r="B7" i="46"/>
  <c r="J32" i="46"/>
  <c r="G32" i="46"/>
  <c r="F32" i="46"/>
  <c r="E32" i="46"/>
  <c r="D32" i="46"/>
  <c r="C32" i="46"/>
  <c r="B32" i="46"/>
  <c r="J31" i="46"/>
  <c r="G31" i="46"/>
  <c r="F31" i="46"/>
  <c r="E31" i="46"/>
  <c r="D31" i="46"/>
  <c r="C31" i="46"/>
  <c r="B31" i="46"/>
  <c r="J6" i="46"/>
  <c r="G6" i="46"/>
  <c r="F6" i="46"/>
  <c r="E6" i="46"/>
  <c r="D6" i="46"/>
  <c r="C6" i="46"/>
  <c r="B6" i="46"/>
  <c r="J5" i="46"/>
  <c r="G5" i="46"/>
  <c r="F5" i="46"/>
  <c r="E5" i="46"/>
  <c r="D5" i="46"/>
  <c r="C5" i="46"/>
  <c r="B5" i="46"/>
  <c r="J30" i="46"/>
  <c r="G30" i="46"/>
  <c r="F30" i="46"/>
  <c r="E30" i="46"/>
  <c r="D30" i="46"/>
  <c r="C30" i="46"/>
  <c r="B30" i="46"/>
  <c r="J29" i="46"/>
  <c r="G29" i="46"/>
  <c r="F29" i="46"/>
  <c r="E29" i="46"/>
  <c r="D29" i="46"/>
  <c r="C29" i="46"/>
  <c r="B29" i="46"/>
  <c r="J28" i="46"/>
  <c r="G28" i="46"/>
  <c r="F28" i="46"/>
  <c r="E28" i="46"/>
  <c r="D28" i="46"/>
  <c r="C28" i="46"/>
  <c r="B28" i="46"/>
  <c r="J27" i="46"/>
  <c r="G27" i="46"/>
  <c r="F27" i="46"/>
  <c r="E27" i="46"/>
  <c r="D27" i="46"/>
  <c r="C27" i="46"/>
  <c r="B27" i="46"/>
  <c r="J26" i="46"/>
  <c r="G26" i="46"/>
  <c r="F26" i="46"/>
  <c r="E26" i="46"/>
  <c r="D26" i="46"/>
  <c r="C26" i="46"/>
  <c r="B26" i="46"/>
  <c r="J25" i="46"/>
  <c r="G25" i="46"/>
  <c r="F25" i="46"/>
  <c r="E25" i="46"/>
  <c r="D25" i="46"/>
  <c r="C25" i="46"/>
  <c r="B25" i="46"/>
  <c r="J24" i="46"/>
  <c r="G24" i="46"/>
  <c r="F24" i="46"/>
  <c r="E24" i="46"/>
  <c r="D24" i="46"/>
  <c r="C24" i="46"/>
  <c r="B24" i="46"/>
  <c r="J23" i="46"/>
  <c r="G23" i="46"/>
  <c r="F23" i="46"/>
  <c r="E23" i="46"/>
  <c r="D23" i="46"/>
  <c r="C23" i="46"/>
  <c r="B23" i="46"/>
  <c r="J22" i="46"/>
  <c r="G22" i="46"/>
  <c r="F22" i="46"/>
  <c r="E22" i="46"/>
  <c r="D22" i="46"/>
  <c r="C22" i="46"/>
  <c r="B22" i="46"/>
  <c r="J21" i="46"/>
  <c r="G21" i="46"/>
  <c r="F21" i="46"/>
  <c r="E21" i="46"/>
  <c r="D21" i="46"/>
  <c r="C21" i="46"/>
  <c r="B21" i="46"/>
  <c r="J20" i="46"/>
  <c r="G20" i="46"/>
  <c r="F20" i="46"/>
  <c r="E20" i="46"/>
  <c r="D20" i="46"/>
  <c r="C20" i="46"/>
  <c r="B20" i="46"/>
  <c r="J19" i="46"/>
  <c r="G19" i="46"/>
  <c r="F19" i="46"/>
  <c r="E19" i="46"/>
  <c r="D19" i="46"/>
  <c r="C19" i="46"/>
  <c r="B19" i="46"/>
  <c r="J3" i="46"/>
  <c r="G3" i="46"/>
  <c r="F3" i="46"/>
  <c r="E3" i="46"/>
  <c r="D3" i="46"/>
  <c r="C3" i="46"/>
  <c r="B3" i="46"/>
  <c r="J17" i="46"/>
  <c r="G17" i="46"/>
  <c r="F17" i="46"/>
  <c r="E17" i="46"/>
  <c r="D17" i="46"/>
  <c r="C17" i="46"/>
  <c r="B17" i="46"/>
  <c r="J16" i="46"/>
  <c r="G16" i="46"/>
  <c r="F16" i="46"/>
  <c r="E16" i="46"/>
  <c r="D16" i="46"/>
  <c r="C16" i="46"/>
  <c r="B16" i="46"/>
  <c r="J15" i="46"/>
  <c r="G15" i="46"/>
  <c r="F15" i="46"/>
  <c r="E15" i="46"/>
  <c r="D15" i="46"/>
  <c r="C15" i="46"/>
  <c r="B15" i="46"/>
  <c r="J13" i="46"/>
  <c r="G13" i="46"/>
  <c r="F13" i="46"/>
  <c r="E13" i="46"/>
  <c r="D13" i="46"/>
  <c r="C13" i="46"/>
  <c r="B13" i="46"/>
  <c r="J12" i="46"/>
  <c r="G12" i="46"/>
  <c r="F12" i="46"/>
  <c r="E12" i="46"/>
  <c r="D12" i="46"/>
  <c r="C12" i="46"/>
  <c r="B12" i="46"/>
  <c r="J11" i="46"/>
  <c r="G11" i="46"/>
  <c r="F11" i="46"/>
  <c r="E11" i="46"/>
  <c r="D11" i="46"/>
  <c r="C11" i="46"/>
  <c r="B11" i="46"/>
  <c r="J10" i="46"/>
  <c r="G10" i="46"/>
  <c r="F10" i="46"/>
  <c r="E10" i="46"/>
  <c r="D10" i="46"/>
  <c r="C10" i="46"/>
  <c r="B10" i="46"/>
  <c r="J9" i="46"/>
  <c r="G9" i="46"/>
  <c r="F9" i="46"/>
  <c r="E9" i="46"/>
  <c r="D9" i="46"/>
  <c r="C9" i="46"/>
  <c r="B9" i="46"/>
  <c r="G219" i="34"/>
  <c r="E219" i="34"/>
  <c r="D219" i="34"/>
  <c r="M219" i="34" s="1"/>
  <c r="C219" i="34"/>
  <c r="B219" i="34"/>
  <c r="F219" i="34"/>
  <c r="G217" i="34"/>
  <c r="F217" i="34"/>
  <c r="E217" i="34"/>
  <c r="D217" i="34"/>
  <c r="M217" i="34" s="1"/>
  <c r="C217" i="34"/>
  <c r="B217" i="34"/>
  <c r="N217" i="34"/>
  <c r="N219" i="34"/>
  <c r="C67" i="48"/>
  <c r="C38" i="48" s="1"/>
  <c r="G67" i="48"/>
  <c r="G38" i="48" s="1"/>
  <c r="F67" i="48"/>
  <c r="F38" i="48" s="1"/>
  <c r="C50" i="47"/>
  <c r="G50" i="47"/>
  <c r="D50" i="47"/>
  <c r="G85" i="47"/>
  <c r="G55" i="47" s="1"/>
  <c r="J4" i="24"/>
  <c r="G33" i="24"/>
  <c r="F33" i="24"/>
  <c r="E33" i="24"/>
  <c r="D33" i="24"/>
  <c r="C33" i="24"/>
  <c r="B33" i="24"/>
  <c r="J33" i="24"/>
  <c r="G31" i="24"/>
  <c r="F31" i="24"/>
  <c r="E31" i="24"/>
  <c r="D31" i="24"/>
  <c r="C31" i="24"/>
  <c r="B31" i="24"/>
  <c r="J31" i="24"/>
  <c r="G27" i="24"/>
  <c r="F27" i="24"/>
  <c r="E27" i="24"/>
  <c r="D27" i="24"/>
  <c r="C27" i="24"/>
  <c r="B27" i="24"/>
  <c r="J27" i="24"/>
  <c r="G34" i="24"/>
  <c r="F34" i="24"/>
  <c r="E34" i="24"/>
  <c r="D34" i="24"/>
  <c r="C34" i="24"/>
  <c r="B34" i="24"/>
  <c r="J34" i="24"/>
  <c r="G44" i="43"/>
  <c r="F44" i="43"/>
  <c r="E44" i="43"/>
  <c r="D44" i="43"/>
  <c r="C44" i="43"/>
  <c r="B44" i="43"/>
  <c r="J44" i="43"/>
  <c r="G51" i="43"/>
  <c r="F51" i="43"/>
  <c r="E51" i="43"/>
  <c r="D51" i="43"/>
  <c r="C51" i="43"/>
  <c r="B51" i="43"/>
  <c r="J51" i="43"/>
  <c r="G31" i="40"/>
  <c r="F31" i="40"/>
  <c r="E31" i="40"/>
  <c r="D31" i="40"/>
  <c r="C31" i="40"/>
  <c r="B31" i="40"/>
  <c r="J31" i="40"/>
  <c r="G166" i="32"/>
  <c r="E166" i="32"/>
  <c r="D166" i="32"/>
  <c r="M166" i="32" s="1"/>
  <c r="H4" i="40"/>
  <c r="B4" i="40" s="1"/>
  <c r="C247" i="34"/>
  <c r="G247" i="34"/>
  <c r="B247" i="34"/>
  <c r="J4" i="40"/>
  <c r="B166" i="32"/>
  <c r="F166" i="32"/>
  <c r="C166" i="32"/>
  <c r="G74" i="32"/>
  <c r="F74" i="32"/>
  <c r="E74" i="32"/>
  <c r="D74" i="32"/>
  <c r="M74" i="32" s="1"/>
  <c r="C74" i="32"/>
  <c r="B74" i="32"/>
  <c r="F42" i="9"/>
  <c r="E42" i="9"/>
  <c r="D42" i="9"/>
  <c r="C42" i="9"/>
  <c r="B42" i="9"/>
  <c r="G42" i="9"/>
  <c r="J42" i="9"/>
  <c r="G76" i="39"/>
  <c r="F76" i="39"/>
  <c r="E76" i="39"/>
  <c r="D76" i="39"/>
  <c r="C76" i="39"/>
  <c r="B76" i="39"/>
  <c r="G75" i="39"/>
  <c r="F75" i="39"/>
  <c r="E75" i="39"/>
  <c r="D75" i="39"/>
  <c r="C75" i="39"/>
  <c r="B75" i="39"/>
  <c r="G74" i="39"/>
  <c r="F74" i="39"/>
  <c r="E74" i="39"/>
  <c r="D74" i="39"/>
  <c r="C74" i="39"/>
  <c r="B74" i="39"/>
  <c r="G73" i="39"/>
  <c r="F73" i="39"/>
  <c r="E73" i="39"/>
  <c r="D73" i="39"/>
  <c r="C73" i="39"/>
  <c r="B73" i="39"/>
  <c r="G72" i="39"/>
  <c r="F72" i="39"/>
  <c r="E72" i="39"/>
  <c r="D72" i="39"/>
  <c r="C72" i="39"/>
  <c r="B72" i="39"/>
  <c r="G71" i="39"/>
  <c r="F71" i="39"/>
  <c r="E71" i="39"/>
  <c r="D71" i="39"/>
  <c r="C71" i="39"/>
  <c r="B71" i="39"/>
  <c r="G70" i="39"/>
  <c r="F70" i="39"/>
  <c r="E70" i="39"/>
  <c r="D70" i="39"/>
  <c r="C70" i="39"/>
  <c r="B70" i="39"/>
  <c r="G69" i="39"/>
  <c r="F69" i="39"/>
  <c r="E69" i="39"/>
  <c r="D69" i="39"/>
  <c r="C69" i="39"/>
  <c r="B69" i="39"/>
  <c r="G68" i="39"/>
  <c r="F68" i="39"/>
  <c r="E68" i="39"/>
  <c r="D68" i="39"/>
  <c r="C68" i="39"/>
  <c r="B68" i="39"/>
  <c r="G67" i="39"/>
  <c r="F67" i="39"/>
  <c r="E67" i="39"/>
  <c r="D67" i="39"/>
  <c r="C67" i="39"/>
  <c r="B67" i="39"/>
  <c r="G66" i="39"/>
  <c r="F66" i="39"/>
  <c r="E66" i="39"/>
  <c r="D66" i="39"/>
  <c r="C66" i="39"/>
  <c r="B66" i="39"/>
  <c r="G65" i="39"/>
  <c r="F65" i="39"/>
  <c r="E65" i="39"/>
  <c r="D65" i="39"/>
  <c r="C65" i="39"/>
  <c r="B65" i="39"/>
  <c r="G64" i="39"/>
  <c r="F64" i="39"/>
  <c r="E64" i="39"/>
  <c r="D64" i="39"/>
  <c r="C64" i="39"/>
  <c r="B64" i="39"/>
  <c r="G63" i="39"/>
  <c r="F63" i="39"/>
  <c r="E63" i="39"/>
  <c r="D63" i="39"/>
  <c r="C63" i="39"/>
  <c r="B63" i="39"/>
  <c r="G62" i="39"/>
  <c r="F62" i="39"/>
  <c r="E62" i="39"/>
  <c r="D62" i="39"/>
  <c r="C62" i="39"/>
  <c r="B62" i="39"/>
  <c r="G61" i="39"/>
  <c r="F61" i="39"/>
  <c r="E61" i="39"/>
  <c r="D61" i="39"/>
  <c r="C61" i="39"/>
  <c r="B61" i="39"/>
  <c r="G60" i="39"/>
  <c r="F60" i="39"/>
  <c r="E60" i="39"/>
  <c r="D60" i="39"/>
  <c r="C60" i="39"/>
  <c r="B60" i="39"/>
  <c r="G59" i="39"/>
  <c r="F59" i="39"/>
  <c r="E59" i="39"/>
  <c r="D59" i="39"/>
  <c r="C59" i="39"/>
  <c r="B59" i="39"/>
  <c r="G58" i="39"/>
  <c r="F58" i="39"/>
  <c r="E58" i="39"/>
  <c r="D58" i="39"/>
  <c r="C58" i="39"/>
  <c r="B58" i="39"/>
  <c r="G57" i="39"/>
  <c r="F57" i="39"/>
  <c r="E57" i="39"/>
  <c r="D57" i="39"/>
  <c r="C57" i="39"/>
  <c r="B57" i="39"/>
  <c r="G56" i="39"/>
  <c r="F56" i="39"/>
  <c r="E56" i="39"/>
  <c r="D56" i="39"/>
  <c r="C56" i="39"/>
  <c r="B56" i="39"/>
  <c r="G55" i="39"/>
  <c r="F55" i="39"/>
  <c r="E55" i="39"/>
  <c r="D55" i="39"/>
  <c r="C55" i="39"/>
  <c r="B55" i="39"/>
  <c r="G54" i="39"/>
  <c r="F54" i="39"/>
  <c r="E54" i="39"/>
  <c r="D54" i="39"/>
  <c r="C54" i="39"/>
  <c r="B54" i="39"/>
  <c r="G53" i="39"/>
  <c r="F53" i="39"/>
  <c r="E53" i="39"/>
  <c r="D53" i="39"/>
  <c r="C53" i="39"/>
  <c r="B53" i="39"/>
  <c r="G52" i="39"/>
  <c r="F52" i="39"/>
  <c r="F77" i="39" s="1"/>
  <c r="F47" i="39" s="1"/>
  <c r="E52" i="39"/>
  <c r="D52" i="39"/>
  <c r="C52" i="39"/>
  <c r="B52" i="39"/>
  <c r="B77" i="39" s="1"/>
  <c r="G51" i="39"/>
  <c r="F51" i="39"/>
  <c r="E51" i="39"/>
  <c r="D51" i="39"/>
  <c r="D77" i="39" s="1"/>
  <c r="C51" i="39"/>
  <c r="B51" i="39"/>
  <c r="G84" i="11"/>
  <c r="F84" i="11"/>
  <c r="E84" i="11"/>
  <c r="D84" i="11"/>
  <c r="C84" i="11"/>
  <c r="B84" i="11"/>
  <c r="G82" i="11"/>
  <c r="F82" i="11"/>
  <c r="E82" i="11"/>
  <c r="D82" i="11"/>
  <c r="C82" i="11"/>
  <c r="B82" i="11"/>
  <c r="G81" i="11"/>
  <c r="F81" i="11"/>
  <c r="E81" i="11"/>
  <c r="D81" i="11"/>
  <c r="C81" i="11"/>
  <c r="B81" i="11"/>
  <c r="G80" i="11"/>
  <c r="F80" i="11"/>
  <c r="E80" i="11"/>
  <c r="D80" i="11"/>
  <c r="C80" i="11"/>
  <c r="B80" i="11"/>
  <c r="G79" i="11"/>
  <c r="F79" i="11"/>
  <c r="E79" i="11"/>
  <c r="D79" i="11"/>
  <c r="C79" i="11"/>
  <c r="B79" i="11"/>
  <c r="G78" i="11"/>
  <c r="F78" i="11"/>
  <c r="E78" i="11"/>
  <c r="D78" i="11"/>
  <c r="C78" i="11"/>
  <c r="B78" i="11"/>
  <c r="G77" i="11"/>
  <c r="F77" i="11"/>
  <c r="E77" i="11"/>
  <c r="D77" i="11"/>
  <c r="C77" i="11"/>
  <c r="B77" i="11"/>
  <c r="G76" i="11"/>
  <c r="F76" i="11"/>
  <c r="E76" i="11"/>
  <c r="D76" i="11"/>
  <c r="C76" i="11"/>
  <c r="B76" i="11"/>
  <c r="G75" i="11"/>
  <c r="F75" i="11"/>
  <c r="E75" i="11"/>
  <c r="D75" i="11"/>
  <c r="C75" i="11"/>
  <c r="B75" i="11"/>
  <c r="G74" i="11"/>
  <c r="F74" i="11"/>
  <c r="E74" i="11"/>
  <c r="D74" i="11"/>
  <c r="C74" i="11"/>
  <c r="B74" i="11"/>
  <c r="G73" i="11"/>
  <c r="F73" i="11"/>
  <c r="E73" i="11"/>
  <c r="D73" i="11"/>
  <c r="C73" i="11"/>
  <c r="B73" i="11"/>
  <c r="G72" i="11"/>
  <c r="F72" i="11"/>
  <c r="E72" i="11"/>
  <c r="D72" i="11"/>
  <c r="C72" i="11"/>
  <c r="B72" i="11"/>
  <c r="G71" i="11"/>
  <c r="F71" i="11"/>
  <c r="E71" i="11"/>
  <c r="D71" i="11"/>
  <c r="C71" i="11"/>
  <c r="B71" i="11"/>
  <c r="G70" i="11"/>
  <c r="F70" i="11"/>
  <c r="E70" i="11"/>
  <c r="D70" i="11"/>
  <c r="C70" i="11"/>
  <c r="B70" i="11"/>
  <c r="G69" i="11"/>
  <c r="F69" i="11"/>
  <c r="E69" i="11"/>
  <c r="D69" i="11"/>
  <c r="C69" i="11"/>
  <c r="B69" i="11"/>
  <c r="G68" i="11"/>
  <c r="F68" i="11"/>
  <c r="E68" i="11"/>
  <c r="D68" i="11"/>
  <c r="C68" i="11"/>
  <c r="B68" i="11"/>
  <c r="G67" i="11"/>
  <c r="F67" i="11"/>
  <c r="E67" i="11"/>
  <c r="D67" i="11"/>
  <c r="C67" i="11"/>
  <c r="B67" i="11"/>
  <c r="G66" i="11"/>
  <c r="F66" i="11"/>
  <c r="E66" i="11"/>
  <c r="D66" i="11"/>
  <c r="C66" i="11"/>
  <c r="B66" i="11"/>
  <c r="G65" i="11"/>
  <c r="F65" i="11"/>
  <c r="E65" i="11"/>
  <c r="D65" i="11"/>
  <c r="C65" i="11"/>
  <c r="B65" i="11"/>
  <c r="G64" i="11"/>
  <c r="F64" i="11"/>
  <c r="E64" i="11"/>
  <c r="D64" i="11"/>
  <c r="C64" i="11"/>
  <c r="B64" i="11"/>
  <c r="G63" i="11"/>
  <c r="F63" i="11"/>
  <c r="E63" i="11"/>
  <c r="D63" i="11"/>
  <c r="C63" i="11"/>
  <c r="B63" i="11"/>
  <c r="G62" i="11"/>
  <c r="F62" i="11"/>
  <c r="E62" i="11"/>
  <c r="D62" i="11"/>
  <c r="C62" i="11"/>
  <c r="B62" i="11"/>
  <c r="G61" i="11"/>
  <c r="F61" i="11"/>
  <c r="E61" i="11"/>
  <c r="D61" i="11"/>
  <c r="C61" i="11"/>
  <c r="B61" i="11"/>
  <c r="G60" i="11"/>
  <c r="F60" i="11"/>
  <c r="E60" i="11"/>
  <c r="D60" i="11"/>
  <c r="C60" i="11"/>
  <c r="B60" i="11"/>
  <c r="G59" i="11"/>
  <c r="F59" i="11"/>
  <c r="E59" i="11"/>
  <c r="D59" i="11"/>
  <c r="C59" i="11"/>
  <c r="B59" i="11"/>
  <c r="G58" i="11"/>
  <c r="F58" i="11"/>
  <c r="E58" i="11"/>
  <c r="D58" i="11"/>
  <c r="C58" i="11"/>
  <c r="B58" i="11"/>
  <c r="G69" i="24"/>
  <c r="F69" i="24"/>
  <c r="E69" i="24"/>
  <c r="D69" i="24"/>
  <c r="C69" i="24"/>
  <c r="B69" i="24"/>
  <c r="G68" i="24"/>
  <c r="F68" i="24"/>
  <c r="E68" i="24"/>
  <c r="D68" i="24"/>
  <c r="C68" i="24"/>
  <c r="B68" i="24"/>
  <c r="G67" i="24"/>
  <c r="F67" i="24"/>
  <c r="E67" i="24"/>
  <c r="D67" i="24"/>
  <c r="C67" i="24"/>
  <c r="B67" i="24"/>
  <c r="G66" i="24"/>
  <c r="F66" i="24"/>
  <c r="E66" i="24"/>
  <c r="D66" i="24"/>
  <c r="C66" i="24"/>
  <c r="B66" i="24"/>
  <c r="G65" i="24"/>
  <c r="F65" i="24"/>
  <c r="E65" i="24"/>
  <c r="D65" i="24"/>
  <c r="C65" i="24"/>
  <c r="B65" i="24"/>
  <c r="G64" i="24"/>
  <c r="F64" i="24"/>
  <c r="E64" i="24"/>
  <c r="D64" i="24"/>
  <c r="C64" i="24"/>
  <c r="B64" i="24"/>
  <c r="G63" i="24"/>
  <c r="F63" i="24"/>
  <c r="E63" i="24"/>
  <c r="D63" i="24"/>
  <c r="C63" i="24"/>
  <c r="B63" i="24"/>
  <c r="G62" i="24"/>
  <c r="F62" i="24"/>
  <c r="E62" i="24"/>
  <c r="D62" i="24"/>
  <c r="C62" i="24"/>
  <c r="B62" i="24"/>
  <c r="G61" i="24"/>
  <c r="F61" i="24"/>
  <c r="E61" i="24"/>
  <c r="D61" i="24"/>
  <c r="C61" i="24"/>
  <c r="B61" i="24"/>
  <c r="G60" i="24"/>
  <c r="F60" i="24"/>
  <c r="E60" i="24"/>
  <c r="D60" i="24"/>
  <c r="C60" i="24"/>
  <c r="B60" i="24"/>
  <c r="G59" i="24"/>
  <c r="F59" i="24"/>
  <c r="E59" i="24"/>
  <c r="D59" i="24"/>
  <c r="C59" i="24"/>
  <c r="B59" i="24"/>
  <c r="G58" i="24"/>
  <c r="F58" i="24"/>
  <c r="E58" i="24"/>
  <c r="D58" i="24"/>
  <c r="C58" i="24"/>
  <c r="B58" i="24"/>
  <c r="G57" i="24"/>
  <c r="F57" i="24"/>
  <c r="E57" i="24"/>
  <c r="D57" i="24"/>
  <c r="C57" i="24"/>
  <c r="B57" i="24"/>
  <c r="G56" i="24"/>
  <c r="F56" i="24"/>
  <c r="E56" i="24"/>
  <c r="D56" i="24"/>
  <c r="C56" i="24"/>
  <c r="B56" i="24"/>
  <c r="G55" i="24"/>
  <c r="F55" i="24"/>
  <c r="E55" i="24"/>
  <c r="D55" i="24"/>
  <c r="C55" i="24"/>
  <c r="B55" i="24"/>
  <c r="G54" i="24"/>
  <c r="F54" i="24"/>
  <c r="E54" i="24"/>
  <c r="D54" i="24"/>
  <c r="C54" i="24"/>
  <c r="B54" i="24"/>
  <c r="G53" i="24"/>
  <c r="F53" i="24"/>
  <c r="E53" i="24"/>
  <c r="D53" i="24"/>
  <c r="C53" i="24"/>
  <c r="B53" i="24"/>
  <c r="G52" i="24"/>
  <c r="F52" i="24"/>
  <c r="E52" i="24"/>
  <c r="D52" i="24"/>
  <c r="C52" i="24"/>
  <c r="B52" i="24"/>
  <c r="G51" i="24"/>
  <c r="F51" i="24"/>
  <c r="E51" i="24"/>
  <c r="D51" i="24"/>
  <c r="C51" i="24"/>
  <c r="B51" i="24"/>
  <c r="G50" i="24"/>
  <c r="F50" i="24"/>
  <c r="E50" i="24"/>
  <c r="D50" i="24"/>
  <c r="C50" i="24"/>
  <c r="B50" i="24"/>
  <c r="G49" i="24"/>
  <c r="F49" i="24"/>
  <c r="E49" i="24"/>
  <c r="D49" i="24"/>
  <c r="C49" i="24"/>
  <c r="B49" i="24"/>
  <c r="G48" i="24"/>
  <c r="F48" i="24"/>
  <c r="E48" i="24"/>
  <c r="D48" i="24"/>
  <c r="C48" i="24"/>
  <c r="B48" i="24"/>
  <c r="G47" i="24"/>
  <c r="F47" i="24"/>
  <c r="E47" i="24"/>
  <c r="D47" i="24"/>
  <c r="C47" i="24"/>
  <c r="B47" i="24"/>
  <c r="G46" i="24"/>
  <c r="F46" i="24"/>
  <c r="F70" i="24" s="1"/>
  <c r="F40" i="24" s="1"/>
  <c r="E46" i="24"/>
  <c r="D46" i="24"/>
  <c r="C46" i="24"/>
  <c r="B46" i="24"/>
  <c r="G45" i="24"/>
  <c r="F45" i="24"/>
  <c r="E45" i="24"/>
  <c r="E70" i="24"/>
  <c r="E40" i="24" s="1"/>
  <c r="D45" i="24"/>
  <c r="C45" i="24"/>
  <c r="B45" i="24"/>
  <c r="G44" i="24"/>
  <c r="G70" i="24" s="1"/>
  <c r="G40" i="24" s="1"/>
  <c r="F44" i="24"/>
  <c r="E44" i="24"/>
  <c r="D44" i="24"/>
  <c r="C44" i="24"/>
  <c r="B44" i="24"/>
  <c r="G83" i="45"/>
  <c r="F83" i="45"/>
  <c r="E83" i="45"/>
  <c r="D83" i="45"/>
  <c r="C83" i="45"/>
  <c r="B83" i="45"/>
  <c r="G82" i="45"/>
  <c r="F82" i="45"/>
  <c r="E82" i="45"/>
  <c r="D82" i="45"/>
  <c r="C82" i="45"/>
  <c r="B82" i="45"/>
  <c r="G81" i="45"/>
  <c r="F81" i="45"/>
  <c r="E81" i="45"/>
  <c r="D81" i="45"/>
  <c r="C81" i="45"/>
  <c r="B81" i="45"/>
  <c r="G80" i="45"/>
  <c r="F80" i="45"/>
  <c r="E80" i="45"/>
  <c r="D80" i="45"/>
  <c r="C80" i="45"/>
  <c r="B80" i="45"/>
  <c r="G79" i="45"/>
  <c r="F79" i="45"/>
  <c r="E79" i="45"/>
  <c r="D79" i="45"/>
  <c r="C79" i="45"/>
  <c r="B79" i="45"/>
  <c r="G78" i="45"/>
  <c r="F78" i="45"/>
  <c r="E78" i="45"/>
  <c r="D78" i="45"/>
  <c r="C78" i="45"/>
  <c r="B78" i="45"/>
  <c r="G77" i="45"/>
  <c r="F77" i="45"/>
  <c r="E77" i="45"/>
  <c r="D77" i="45"/>
  <c r="C77" i="45"/>
  <c r="B77" i="45"/>
  <c r="G76" i="45"/>
  <c r="F76" i="45"/>
  <c r="E76" i="45"/>
  <c r="D76" i="45"/>
  <c r="C76" i="45"/>
  <c r="B76" i="45"/>
  <c r="G75" i="45"/>
  <c r="F75" i="45"/>
  <c r="E75" i="45"/>
  <c r="D75" i="45"/>
  <c r="C75" i="45"/>
  <c r="B75" i="45"/>
  <c r="G74" i="45"/>
  <c r="F74" i="45"/>
  <c r="E74" i="45"/>
  <c r="D74" i="45"/>
  <c r="C74" i="45"/>
  <c r="B74" i="45"/>
  <c r="G73" i="45"/>
  <c r="F73" i="45"/>
  <c r="E73" i="45"/>
  <c r="D73" i="45"/>
  <c r="C73" i="45"/>
  <c r="B73" i="45"/>
  <c r="G72" i="45"/>
  <c r="F72" i="45"/>
  <c r="E72" i="45"/>
  <c r="D72" i="45"/>
  <c r="C72" i="45"/>
  <c r="B72" i="45"/>
  <c r="G71" i="45"/>
  <c r="F71" i="45"/>
  <c r="E71" i="45"/>
  <c r="D71" i="45"/>
  <c r="C71" i="45"/>
  <c r="B71" i="45"/>
  <c r="G70" i="45"/>
  <c r="F70" i="45"/>
  <c r="E70" i="45"/>
  <c r="D70" i="45"/>
  <c r="C70" i="45"/>
  <c r="B70" i="45"/>
  <c r="G69" i="45"/>
  <c r="F69" i="45"/>
  <c r="E69" i="45"/>
  <c r="D69" i="45"/>
  <c r="C69" i="45"/>
  <c r="B69" i="45"/>
  <c r="G68" i="45"/>
  <c r="F68" i="45"/>
  <c r="E68" i="45"/>
  <c r="D68" i="45"/>
  <c r="C68" i="45"/>
  <c r="B68" i="45"/>
  <c r="G67" i="45"/>
  <c r="F67" i="45"/>
  <c r="E67" i="45"/>
  <c r="D67" i="45"/>
  <c r="C67" i="45"/>
  <c r="B67" i="45"/>
  <c r="G66" i="45"/>
  <c r="F66" i="45"/>
  <c r="E66" i="45"/>
  <c r="D66" i="45"/>
  <c r="C66" i="45"/>
  <c r="B66" i="45"/>
  <c r="G65" i="45"/>
  <c r="F65" i="45"/>
  <c r="E65" i="45"/>
  <c r="D65" i="45"/>
  <c r="C65" i="45"/>
  <c r="B65" i="45"/>
  <c r="G64" i="45"/>
  <c r="F64" i="45"/>
  <c r="E64" i="45"/>
  <c r="D64" i="45"/>
  <c r="C64" i="45"/>
  <c r="B64" i="45"/>
  <c r="G63" i="45"/>
  <c r="F63" i="45"/>
  <c r="E63" i="45"/>
  <c r="D63" i="45"/>
  <c r="C63" i="45"/>
  <c r="B63" i="45"/>
  <c r="G62" i="45"/>
  <c r="F62" i="45"/>
  <c r="E62" i="45"/>
  <c r="D62" i="45"/>
  <c r="C62" i="45"/>
  <c r="B62" i="45"/>
  <c r="G61" i="45"/>
  <c r="F61" i="45"/>
  <c r="E61" i="45"/>
  <c r="D61" i="45"/>
  <c r="C61" i="45"/>
  <c r="B61" i="45"/>
  <c r="G60" i="45"/>
  <c r="F60" i="45"/>
  <c r="E60" i="45"/>
  <c r="D60" i="45"/>
  <c r="C60" i="45"/>
  <c r="B60" i="45"/>
  <c r="G59" i="45"/>
  <c r="F59" i="45"/>
  <c r="E59" i="45"/>
  <c r="D59" i="45"/>
  <c r="D84" i="45" s="1"/>
  <c r="D54" i="45" s="1"/>
  <c r="C59" i="45"/>
  <c r="B59" i="45"/>
  <c r="G58" i="45"/>
  <c r="F58" i="45"/>
  <c r="F84" i="45" s="1"/>
  <c r="F54" i="45" s="1"/>
  <c r="E58" i="45"/>
  <c r="D58" i="45"/>
  <c r="C58" i="45"/>
  <c r="B58" i="45"/>
  <c r="B84" i="45" s="1"/>
  <c r="B54" i="45" s="1"/>
  <c r="G87" i="43"/>
  <c r="F87" i="43"/>
  <c r="E87" i="43"/>
  <c r="D87" i="43"/>
  <c r="C87" i="43"/>
  <c r="B87" i="43"/>
  <c r="G86" i="43"/>
  <c r="F86" i="43"/>
  <c r="E86" i="43"/>
  <c r="D86" i="43"/>
  <c r="C86" i="43"/>
  <c r="B86" i="43"/>
  <c r="G85" i="43"/>
  <c r="F85" i="43"/>
  <c r="E85" i="43"/>
  <c r="D85" i="43"/>
  <c r="C85" i="43"/>
  <c r="B85" i="43"/>
  <c r="G84" i="43"/>
  <c r="F84" i="43"/>
  <c r="E84" i="43"/>
  <c r="D84" i="43"/>
  <c r="C84" i="43"/>
  <c r="B84" i="43"/>
  <c r="G83" i="43"/>
  <c r="F83" i="43"/>
  <c r="E83" i="43"/>
  <c r="D83" i="43"/>
  <c r="C83" i="43"/>
  <c r="B83" i="43"/>
  <c r="G82" i="43"/>
  <c r="F82" i="43"/>
  <c r="E82" i="43"/>
  <c r="D82" i="43"/>
  <c r="C82" i="43"/>
  <c r="B82" i="43"/>
  <c r="G81" i="43"/>
  <c r="F81" i="43"/>
  <c r="E81" i="43"/>
  <c r="D81" i="43"/>
  <c r="C81" i="43"/>
  <c r="B81" i="43"/>
  <c r="G80" i="43"/>
  <c r="F80" i="43"/>
  <c r="E80" i="43"/>
  <c r="D80" i="43"/>
  <c r="C80" i="43"/>
  <c r="B80" i="43"/>
  <c r="G79" i="43"/>
  <c r="F79" i="43"/>
  <c r="E79" i="43"/>
  <c r="D79" i="43"/>
  <c r="C79" i="43"/>
  <c r="B79" i="43"/>
  <c r="G78" i="43"/>
  <c r="F78" i="43"/>
  <c r="E78" i="43"/>
  <c r="D78" i="43"/>
  <c r="C78" i="43"/>
  <c r="B78" i="43"/>
  <c r="G77" i="43"/>
  <c r="F77" i="43"/>
  <c r="E77" i="43"/>
  <c r="D77" i="43"/>
  <c r="C77" i="43"/>
  <c r="B77" i="43"/>
  <c r="G76" i="43"/>
  <c r="F76" i="43"/>
  <c r="E76" i="43"/>
  <c r="D76" i="43"/>
  <c r="C76" i="43"/>
  <c r="B76" i="43"/>
  <c r="G75" i="43"/>
  <c r="F75" i="43"/>
  <c r="E75" i="43"/>
  <c r="D75" i="43"/>
  <c r="C75" i="43"/>
  <c r="B75" i="43"/>
  <c r="G74" i="43"/>
  <c r="F74" i="43"/>
  <c r="E74" i="43"/>
  <c r="D74" i="43"/>
  <c r="C74" i="43"/>
  <c r="B74" i="43"/>
  <c r="G73" i="43"/>
  <c r="F73" i="43"/>
  <c r="E73" i="43"/>
  <c r="D73" i="43"/>
  <c r="C73" i="43"/>
  <c r="B73" i="43"/>
  <c r="G72" i="43"/>
  <c r="F72" i="43"/>
  <c r="E72" i="43"/>
  <c r="D72" i="43"/>
  <c r="C72" i="43"/>
  <c r="B72" i="43"/>
  <c r="G71" i="43"/>
  <c r="F71" i="43"/>
  <c r="E71" i="43"/>
  <c r="D71" i="43"/>
  <c r="C71" i="43"/>
  <c r="B71" i="43"/>
  <c r="G70" i="43"/>
  <c r="F70" i="43"/>
  <c r="E70" i="43"/>
  <c r="D70" i="43"/>
  <c r="C70" i="43"/>
  <c r="B70" i="43"/>
  <c r="G69" i="43"/>
  <c r="F69" i="43"/>
  <c r="E69" i="43"/>
  <c r="D69" i="43"/>
  <c r="C69" i="43"/>
  <c r="B69" i="43"/>
  <c r="G68" i="43"/>
  <c r="F68" i="43"/>
  <c r="E68" i="43"/>
  <c r="D68" i="43"/>
  <c r="C68" i="43"/>
  <c r="B68" i="43"/>
  <c r="G67" i="43"/>
  <c r="F67" i="43"/>
  <c r="E67" i="43"/>
  <c r="D67" i="43"/>
  <c r="C67" i="43"/>
  <c r="B67" i="43"/>
  <c r="G66" i="43"/>
  <c r="F66" i="43"/>
  <c r="E66" i="43"/>
  <c r="D66" i="43"/>
  <c r="C66" i="43"/>
  <c r="B66" i="43"/>
  <c r="G65" i="43"/>
  <c r="F65" i="43"/>
  <c r="E65" i="43"/>
  <c r="D65" i="43"/>
  <c r="C65" i="43"/>
  <c r="B65" i="43"/>
  <c r="G64" i="43"/>
  <c r="F64" i="43"/>
  <c r="E64" i="43"/>
  <c r="D64" i="43"/>
  <c r="C64" i="43"/>
  <c r="B64" i="43"/>
  <c r="G63" i="43"/>
  <c r="F63" i="43"/>
  <c r="F88" i="43" s="1"/>
  <c r="F58" i="43" s="1"/>
  <c r="E63" i="43"/>
  <c r="D63" i="43"/>
  <c r="C63" i="43"/>
  <c r="C88" i="43" s="1"/>
  <c r="C58" i="43" s="1"/>
  <c r="B63" i="43"/>
  <c r="B88" i="43" s="1"/>
  <c r="B58" i="43" s="1"/>
  <c r="G62" i="43"/>
  <c r="F62" i="43"/>
  <c r="E62" i="43"/>
  <c r="D62" i="43"/>
  <c r="C62" i="43"/>
  <c r="B62" i="43"/>
  <c r="N4" i="34"/>
  <c r="N9" i="34"/>
  <c r="N10" i="34"/>
  <c r="N11" i="34"/>
  <c r="N12" i="34"/>
  <c r="N13" i="34"/>
  <c r="N14" i="34"/>
  <c r="N15" i="34"/>
  <c r="N16" i="34"/>
  <c r="N17" i="34"/>
  <c r="N20" i="34"/>
  <c r="N21" i="34"/>
  <c r="N8" i="34"/>
  <c r="N22" i="34"/>
  <c r="N23" i="34"/>
  <c r="N24" i="34"/>
  <c r="N25" i="34"/>
  <c r="N26" i="34"/>
  <c r="N27" i="34"/>
  <c r="N28" i="34"/>
  <c r="N29" i="34"/>
  <c r="N30" i="34"/>
  <c r="N31" i="34"/>
  <c r="N32" i="34"/>
  <c r="N33" i="34"/>
  <c r="N34" i="34"/>
  <c r="N35" i="34"/>
  <c r="N36" i="34"/>
  <c r="N37" i="34"/>
  <c r="N38" i="34"/>
  <c r="N39" i="34"/>
  <c r="N40" i="34"/>
  <c r="N42" i="34"/>
  <c r="N49" i="34"/>
  <c r="N50" i="34"/>
  <c r="N51" i="34"/>
  <c r="N52" i="34"/>
  <c r="N53" i="34"/>
  <c r="N54" i="34"/>
  <c r="N55" i="34"/>
  <c r="N56" i="34"/>
  <c r="N57" i="34"/>
  <c r="N58" i="34"/>
  <c r="N59" i="34"/>
  <c r="N60" i="34"/>
  <c r="N61" i="34"/>
  <c r="N62" i="34"/>
  <c r="N63" i="34"/>
  <c r="N64" i="34"/>
  <c r="N65" i="34"/>
  <c r="N66" i="34"/>
  <c r="N67" i="34"/>
  <c r="N68" i="34"/>
  <c r="N69" i="34"/>
  <c r="N70" i="34"/>
  <c r="N72" i="34"/>
  <c r="N74" i="34"/>
  <c r="N75" i="34"/>
  <c r="N76" i="34"/>
  <c r="N77" i="34"/>
  <c r="N79" i="34"/>
  <c r="N80" i="34"/>
  <c r="N81" i="34"/>
  <c r="N82" i="34"/>
  <c r="N83" i="34"/>
  <c r="N84" i="34"/>
  <c r="N85" i="34"/>
  <c r="N87" i="34"/>
  <c r="N88" i="34"/>
  <c r="N89" i="34"/>
  <c r="N90" i="34"/>
  <c r="N91" i="34"/>
  <c r="N92" i="34"/>
  <c r="N93" i="34"/>
  <c r="N94" i="34"/>
  <c r="N95" i="34"/>
  <c r="N96" i="34"/>
  <c r="N97" i="34"/>
  <c r="N98" i="34"/>
  <c r="N99" i="34"/>
  <c r="N100" i="34"/>
  <c r="N101" i="34"/>
  <c r="N102" i="34"/>
  <c r="N103" i="34"/>
  <c r="N104" i="34"/>
  <c r="N105" i="34"/>
  <c r="N106" i="34"/>
  <c r="N107" i="34"/>
  <c r="N108" i="34"/>
  <c r="N109" i="34"/>
  <c r="N110" i="34"/>
  <c r="N111" i="34"/>
  <c r="N112" i="34"/>
  <c r="N113" i="34"/>
  <c r="N114" i="34"/>
  <c r="N115" i="34"/>
  <c r="N116" i="34"/>
  <c r="N117" i="34"/>
  <c r="N118" i="34"/>
  <c r="N119" i="34"/>
  <c r="N120" i="34"/>
  <c r="N121" i="34"/>
  <c r="N122" i="34"/>
  <c r="N123" i="34"/>
  <c r="N124" i="34"/>
  <c r="N128" i="34"/>
  <c r="N129" i="34"/>
  <c r="N130" i="34"/>
  <c r="N131" i="34"/>
  <c r="N132" i="34"/>
  <c r="N133" i="34"/>
  <c r="N134" i="34"/>
  <c r="N135" i="34"/>
  <c r="N136" i="34"/>
  <c r="N137" i="34"/>
  <c r="N140" i="34"/>
  <c r="N142" i="34"/>
  <c r="N138" i="34"/>
  <c r="N139" i="34"/>
  <c r="N143" i="34"/>
  <c r="N144" i="34"/>
  <c r="N146" i="34"/>
  <c r="N148" i="34"/>
  <c r="N149" i="34"/>
  <c r="N150" i="34"/>
  <c r="N159" i="34"/>
  <c r="N151" i="34"/>
  <c r="N156" i="34"/>
  <c r="N157" i="34"/>
  <c r="N158" i="34"/>
  <c r="N160" i="34"/>
  <c r="N161" i="34"/>
  <c r="N162" i="34"/>
  <c r="N163" i="34"/>
  <c r="N164" i="34"/>
  <c r="N165" i="34"/>
  <c r="N166" i="34"/>
  <c r="N167" i="34"/>
  <c r="N168" i="34"/>
  <c r="N169" i="34"/>
  <c r="N170" i="34"/>
  <c r="N171" i="34"/>
  <c r="N172" i="34"/>
  <c r="N173" i="34"/>
  <c r="N174" i="34"/>
  <c r="N175" i="34"/>
  <c r="N176" i="34"/>
  <c r="N177" i="34"/>
  <c r="N198" i="34"/>
  <c r="N199" i="34"/>
  <c r="N200" i="34"/>
  <c r="N201" i="34"/>
  <c r="N202" i="34"/>
  <c r="N203" i="34"/>
  <c r="N204" i="34"/>
  <c r="N205" i="34"/>
  <c r="N206" i="34"/>
  <c r="N207" i="34"/>
  <c r="N208" i="34"/>
  <c r="N209" i="34"/>
  <c r="N210" i="34"/>
  <c r="N211" i="34"/>
  <c r="N212" i="34"/>
  <c r="N213" i="34"/>
  <c r="N214" i="34"/>
  <c r="N215" i="34"/>
  <c r="N216" i="34"/>
  <c r="N223" i="34"/>
  <c r="N224" i="34"/>
  <c r="N225" i="34"/>
  <c r="N226" i="34"/>
  <c r="N227" i="34"/>
  <c r="N228" i="34"/>
  <c r="N229" i="34"/>
  <c r="N230" i="34"/>
  <c r="N231" i="34"/>
  <c r="N232" i="34"/>
  <c r="N234" i="34"/>
  <c r="N235" i="34"/>
  <c r="N236" i="34"/>
  <c r="N237" i="34"/>
  <c r="N238" i="34"/>
  <c r="N239" i="34"/>
  <c r="N240" i="34"/>
  <c r="N241" i="34"/>
  <c r="N242" i="34"/>
  <c r="N243" i="34"/>
  <c r="N244" i="34"/>
  <c r="N246" i="34"/>
  <c r="N247" i="34"/>
  <c r="G276" i="32"/>
  <c r="F276" i="32"/>
  <c r="E276" i="32"/>
  <c r="D276" i="32"/>
  <c r="M276" i="32" s="1"/>
  <c r="C276" i="32"/>
  <c r="B276" i="32"/>
  <c r="G318" i="32"/>
  <c r="F318" i="32"/>
  <c r="E318" i="32"/>
  <c r="D318" i="32"/>
  <c r="M318" i="32" s="1"/>
  <c r="C318" i="32"/>
  <c r="B318" i="32"/>
  <c r="G317" i="32"/>
  <c r="F317" i="32"/>
  <c r="E317" i="32"/>
  <c r="D317" i="32"/>
  <c r="M317" i="32" s="1"/>
  <c r="C317" i="32"/>
  <c r="B317" i="32"/>
  <c r="G316" i="32"/>
  <c r="F316" i="32"/>
  <c r="E316" i="32"/>
  <c r="D316" i="32"/>
  <c r="M316" i="32" s="1"/>
  <c r="C316" i="32"/>
  <c r="B316" i="32"/>
  <c r="G315" i="32"/>
  <c r="F315" i="32"/>
  <c r="E315" i="32"/>
  <c r="D315" i="32"/>
  <c r="M315" i="32" s="1"/>
  <c r="C315" i="32"/>
  <c r="B315" i="32"/>
  <c r="G314" i="32"/>
  <c r="F314" i="32"/>
  <c r="E314" i="32"/>
  <c r="D314" i="32"/>
  <c r="M314" i="32" s="1"/>
  <c r="C314" i="32"/>
  <c r="B314" i="32"/>
  <c r="G313" i="32"/>
  <c r="F313" i="32"/>
  <c r="E313" i="32"/>
  <c r="D313" i="32"/>
  <c r="M313" i="32" s="1"/>
  <c r="C313" i="32"/>
  <c r="B313" i="32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58" i="11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69" i="9"/>
  <c r="J68" i="9"/>
  <c r="J67" i="9"/>
  <c r="J66" i="9"/>
  <c r="J65" i="9"/>
  <c r="J64" i="9"/>
  <c r="J67" i="24"/>
  <c r="J66" i="24"/>
  <c r="J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58" i="45"/>
  <c r="J24" i="1"/>
  <c r="J25" i="1"/>
  <c r="J27" i="1"/>
  <c r="J28" i="1"/>
  <c r="G24" i="1"/>
  <c r="F24" i="1"/>
  <c r="E24" i="1"/>
  <c r="D24" i="1"/>
  <c r="C24" i="1"/>
  <c r="B24" i="1"/>
  <c r="J84" i="43"/>
  <c r="J85" i="43"/>
  <c r="J86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62" i="43"/>
  <c r="J55" i="43"/>
  <c r="G247" i="32"/>
  <c r="F247" i="32"/>
  <c r="E247" i="32"/>
  <c r="D247" i="32"/>
  <c r="M247" i="32" s="1"/>
  <c r="C247" i="32"/>
  <c r="B247" i="32"/>
  <c r="I23" i="32"/>
  <c r="I22" i="32"/>
  <c r="I21" i="32"/>
  <c r="I20" i="32"/>
  <c r="I19" i="32"/>
  <c r="I16" i="32"/>
  <c r="I15" i="32"/>
  <c r="I14" i="32"/>
  <c r="I13" i="32"/>
  <c r="I12" i="32"/>
  <c r="I11" i="32"/>
  <c r="I10" i="32"/>
  <c r="I9" i="32"/>
  <c r="I8" i="32"/>
  <c r="I4" i="32"/>
  <c r="I3" i="32"/>
  <c r="I12" i="34"/>
  <c r="G28" i="43"/>
  <c r="D28" i="43"/>
  <c r="C28" i="43"/>
  <c r="B28" i="43"/>
  <c r="F28" i="43"/>
  <c r="E28" i="43"/>
  <c r="G12" i="24"/>
  <c r="F12" i="24"/>
  <c r="E12" i="24"/>
  <c r="D12" i="24"/>
  <c r="C12" i="24"/>
  <c r="B12" i="24"/>
  <c r="J12" i="24"/>
  <c r="F27" i="1"/>
  <c r="E27" i="1"/>
  <c r="D27" i="1"/>
  <c r="C27" i="1"/>
  <c r="B27" i="1"/>
  <c r="G27" i="1"/>
  <c r="C43" i="11"/>
  <c r="G43" i="11"/>
  <c r="F43" i="11"/>
  <c r="E43" i="11"/>
  <c r="D43" i="11"/>
  <c r="B43" i="11"/>
  <c r="G42" i="11"/>
  <c r="E42" i="11"/>
  <c r="D42" i="11"/>
  <c r="C42" i="11"/>
  <c r="B42" i="11"/>
  <c r="F42" i="11"/>
  <c r="G41" i="11"/>
  <c r="E41" i="11"/>
  <c r="D41" i="11"/>
  <c r="C41" i="11"/>
  <c r="B41" i="11"/>
  <c r="F41" i="11"/>
  <c r="J41" i="11"/>
  <c r="J42" i="11"/>
  <c r="J43" i="11"/>
  <c r="D35" i="43"/>
  <c r="G31" i="43"/>
  <c r="F31" i="43"/>
  <c r="E31" i="43"/>
  <c r="D31" i="43"/>
  <c r="C31" i="43"/>
  <c r="B31" i="43"/>
  <c r="J31" i="43"/>
  <c r="G22" i="45"/>
  <c r="F22" i="45"/>
  <c r="E22" i="45"/>
  <c r="D22" i="45"/>
  <c r="C22" i="45"/>
  <c r="B22" i="45"/>
  <c r="J22" i="45"/>
  <c r="G35" i="43"/>
  <c r="E35" i="43"/>
  <c r="C35" i="43"/>
  <c r="B35" i="43"/>
  <c r="J35" i="43"/>
  <c r="J28" i="43"/>
  <c r="H84" i="45"/>
  <c r="H54" i="45"/>
  <c r="H55" i="45" s="1"/>
  <c r="J54" i="45"/>
  <c r="J53" i="45"/>
  <c r="G53" i="45"/>
  <c r="F53" i="45"/>
  <c r="E53" i="45"/>
  <c r="D53" i="45"/>
  <c r="C53" i="45"/>
  <c r="B53" i="45"/>
  <c r="J52" i="45"/>
  <c r="G52" i="45"/>
  <c r="F52" i="45"/>
  <c r="E52" i="45"/>
  <c r="D52" i="45"/>
  <c r="C52" i="45"/>
  <c r="B52" i="45"/>
  <c r="J51" i="45"/>
  <c r="G51" i="45"/>
  <c r="F51" i="45"/>
  <c r="E51" i="45"/>
  <c r="D51" i="45"/>
  <c r="C51" i="45"/>
  <c r="B51" i="45"/>
  <c r="J50" i="45"/>
  <c r="G50" i="45"/>
  <c r="F50" i="45"/>
  <c r="E50" i="45"/>
  <c r="D50" i="45"/>
  <c r="C50" i="45"/>
  <c r="B50" i="45"/>
  <c r="J49" i="45"/>
  <c r="G49" i="45"/>
  <c r="F49" i="45"/>
  <c r="E49" i="45"/>
  <c r="D49" i="45"/>
  <c r="C49" i="45"/>
  <c r="B49" i="45"/>
  <c r="J48" i="45"/>
  <c r="G48" i="45"/>
  <c r="F48" i="45"/>
  <c r="E48" i="45"/>
  <c r="D48" i="45"/>
  <c r="C48" i="45"/>
  <c r="B48" i="45"/>
  <c r="J47" i="45"/>
  <c r="G47" i="45"/>
  <c r="F47" i="45"/>
  <c r="E47" i="45"/>
  <c r="D47" i="45"/>
  <c r="C47" i="45"/>
  <c r="B47" i="45"/>
  <c r="J46" i="45"/>
  <c r="G46" i="45"/>
  <c r="F46" i="45"/>
  <c r="E46" i="45"/>
  <c r="D46" i="45"/>
  <c r="C46" i="45"/>
  <c r="B46" i="45"/>
  <c r="J45" i="45"/>
  <c r="G45" i="45"/>
  <c r="F45" i="45"/>
  <c r="E45" i="45"/>
  <c r="D45" i="45"/>
  <c r="C45" i="45"/>
  <c r="B45" i="45"/>
  <c r="J44" i="45"/>
  <c r="G44" i="45"/>
  <c r="F44" i="45"/>
  <c r="E44" i="45"/>
  <c r="D44" i="45"/>
  <c r="C44" i="45"/>
  <c r="B44" i="45"/>
  <c r="J43" i="45"/>
  <c r="G43" i="45"/>
  <c r="F43" i="45"/>
  <c r="E43" i="45"/>
  <c r="D43" i="45"/>
  <c r="C43" i="45"/>
  <c r="B43" i="45"/>
  <c r="J42" i="45"/>
  <c r="G42" i="45"/>
  <c r="F42" i="45"/>
  <c r="E42" i="45"/>
  <c r="D42" i="45"/>
  <c r="C42" i="45"/>
  <c r="B42" i="45"/>
  <c r="J41" i="45"/>
  <c r="G41" i="45"/>
  <c r="F41" i="45"/>
  <c r="E41" i="45"/>
  <c r="D41" i="45"/>
  <c r="C41" i="45"/>
  <c r="B41" i="45"/>
  <c r="J40" i="45"/>
  <c r="G40" i="45"/>
  <c r="F40" i="45"/>
  <c r="E40" i="45"/>
  <c r="D40" i="45"/>
  <c r="C40" i="45"/>
  <c r="B40" i="45"/>
  <c r="J39" i="45"/>
  <c r="G39" i="45"/>
  <c r="F39" i="45"/>
  <c r="E39" i="45"/>
  <c r="D39" i="45"/>
  <c r="C39" i="45"/>
  <c r="B39" i="45"/>
  <c r="J38" i="45"/>
  <c r="G38" i="45"/>
  <c r="F38" i="45"/>
  <c r="E38" i="45"/>
  <c r="D38" i="45"/>
  <c r="C38" i="45"/>
  <c r="B38" i="45"/>
  <c r="J37" i="45"/>
  <c r="G37" i="45"/>
  <c r="F37" i="45"/>
  <c r="E37" i="45"/>
  <c r="D37" i="45"/>
  <c r="C37" i="45"/>
  <c r="B37" i="45"/>
  <c r="J36" i="45"/>
  <c r="G36" i="45"/>
  <c r="F36" i="45"/>
  <c r="E36" i="45"/>
  <c r="D36" i="45"/>
  <c r="C36" i="45"/>
  <c r="B36" i="45"/>
  <c r="J35" i="45"/>
  <c r="G35" i="45"/>
  <c r="F35" i="45"/>
  <c r="E35" i="45"/>
  <c r="D35" i="45"/>
  <c r="C35" i="45"/>
  <c r="B35" i="45"/>
  <c r="J34" i="45"/>
  <c r="G34" i="45"/>
  <c r="F34" i="45"/>
  <c r="E34" i="45"/>
  <c r="D34" i="45"/>
  <c r="C34" i="45"/>
  <c r="B34" i="45"/>
  <c r="J33" i="45"/>
  <c r="G33" i="45"/>
  <c r="F33" i="45"/>
  <c r="E33" i="45"/>
  <c r="D33" i="45"/>
  <c r="C33" i="45"/>
  <c r="B33" i="45"/>
  <c r="J32" i="45"/>
  <c r="G32" i="45"/>
  <c r="F32" i="45"/>
  <c r="E32" i="45"/>
  <c r="D32" i="45"/>
  <c r="C32" i="45"/>
  <c r="B32" i="45"/>
  <c r="J31" i="45"/>
  <c r="G31" i="45"/>
  <c r="F31" i="45"/>
  <c r="E31" i="45"/>
  <c r="D31" i="45"/>
  <c r="C31" i="45"/>
  <c r="B31" i="45"/>
  <c r="J30" i="45"/>
  <c r="G30" i="45"/>
  <c r="F30" i="45"/>
  <c r="E30" i="45"/>
  <c r="D30" i="45"/>
  <c r="C30" i="45"/>
  <c r="B30" i="45"/>
  <c r="J29" i="45"/>
  <c r="G29" i="45"/>
  <c r="F29" i="45"/>
  <c r="E29" i="45"/>
  <c r="D29" i="45"/>
  <c r="C29" i="45"/>
  <c r="B29" i="45"/>
  <c r="J28" i="45"/>
  <c r="G28" i="45"/>
  <c r="F28" i="45"/>
  <c r="E28" i="45"/>
  <c r="D28" i="45"/>
  <c r="C28" i="45"/>
  <c r="B28" i="45"/>
  <c r="J27" i="45"/>
  <c r="G27" i="45"/>
  <c r="F27" i="45"/>
  <c r="E27" i="45"/>
  <c r="D27" i="45"/>
  <c r="C27" i="45"/>
  <c r="B27" i="45"/>
  <c r="J26" i="45"/>
  <c r="G26" i="45"/>
  <c r="F26" i="45"/>
  <c r="E26" i="45"/>
  <c r="D26" i="45"/>
  <c r="C26" i="45"/>
  <c r="B26" i="45"/>
  <c r="J25" i="45"/>
  <c r="G25" i="45"/>
  <c r="F25" i="45"/>
  <c r="E25" i="45"/>
  <c r="D25" i="45"/>
  <c r="C25" i="45"/>
  <c r="B25" i="45"/>
  <c r="J24" i="45"/>
  <c r="G24" i="45"/>
  <c r="F24" i="45"/>
  <c r="E24" i="45"/>
  <c r="D24" i="45"/>
  <c r="C24" i="45"/>
  <c r="B24" i="45"/>
  <c r="J23" i="45"/>
  <c r="G23" i="45"/>
  <c r="F23" i="45"/>
  <c r="E23" i="45"/>
  <c r="D23" i="45"/>
  <c r="C23" i="45"/>
  <c r="B23" i="45"/>
  <c r="J21" i="45"/>
  <c r="G21" i="45"/>
  <c r="F21" i="45"/>
  <c r="E21" i="45"/>
  <c r="D21" i="45"/>
  <c r="C21" i="45"/>
  <c r="B21" i="45"/>
  <c r="J20" i="45"/>
  <c r="G20" i="45"/>
  <c r="F20" i="45"/>
  <c r="E20" i="45"/>
  <c r="D20" i="45"/>
  <c r="C20" i="45"/>
  <c r="B20" i="45"/>
  <c r="J19" i="45"/>
  <c r="G19" i="45"/>
  <c r="F19" i="45"/>
  <c r="E19" i="45"/>
  <c r="D19" i="45"/>
  <c r="C19" i="45"/>
  <c r="B19" i="45"/>
  <c r="J18" i="45"/>
  <c r="G18" i="45"/>
  <c r="F18" i="45"/>
  <c r="E18" i="45"/>
  <c r="D18" i="45"/>
  <c r="C18" i="45"/>
  <c r="B18" i="45"/>
  <c r="J17" i="45"/>
  <c r="G17" i="45"/>
  <c r="F17" i="45"/>
  <c r="E17" i="45"/>
  <c r="D17" i="45"/>
  <c r="C17" i="45"/>
  <c r="B17" i="45"/>
  <c r="J16" i="45"/>
  <c r="G16" i="45"/>
  <c r="F16" i="45"/>
  <c r="E16" i="45"/>
  <c r="D16" i="45"/>
  <c r="C16" i="45"/>
  <c r="B16" i="45"/>
  <c r="J15" i="45"/>
  <c r="G15" i="45"/>
  <c r="F15" i="45"/>
  <c r="E15" i="45"/>
  <c r="D15" i="45"/>
  <c r="C15" i="45"/>
  <c r="B15" i="45"/>
  <c r="J14" i="45"/>
  <c r="G14" i="45"/>
  <c r="F14" i="45"/>
  <c r="E14" i="45"/>
  <c r="D14" i="45"/>
  <c r="C14" i="45"/>
  <c r="B14" i="45"/>
  <c r="J13" i="45"/>
  <c r="G13" i="45"/>
  <c r="F13" i="45"/>
  <c r="E13" i="45"/>
  <c r="D13" i="45"/>
  <c r="C13" i="45"/>
  <c r="B13" i="45"/>
  <c r="J12" i="45"/>
  <c r="G12" i="45"/>
  <c r="F12" i="45"/>
  <c r="E12" i="45"/>
  <c r="D12" i="45"/>
  <c r="C12" i="45"/>
  <c r="B12" i="45"/>
  <c r="J11" i="45"/>
  <c r="G11" i="45"/>
  <c r="F11" i="45"/>
  <c r="E11" i="45"/>
  <c r="D11" i="45"/>
  <c r="C11" i="45"/>
  <c r="B11" i="45"/>
  <c r="J10" i="45"/>
  <c r="G10" i="45"/>
  <c r="F10" i="45"/>
  <c r="E10" i="45"/>
  <c r="D10" i="45"/>
  <c r="C10" i="45"/>
  <c r="B10" i="45"/>
  <c r="J9" i="45"/>
  <c r="G9" i="45"/>
  <c r="F9" i="45"/>
  <c r="E9" i="45"/>
  <c r="D9" i="45"/>
  <c r="C9" i="45"/>
  <c r="B9" i="45"/>
  <c r="J8" i="45"/>
  <c r="G8" i="45"/>
  <c r="F8" i="45"/>
  <c r="E8" i="45"/>
  <c r="D8" i="45"/>
  <c r="C8" i="45"/>
  <c r="B8" i="45"/>
  <c r="J7" i="45"/>
  <c r="G7" i="45"/>
  <c r="F7" i="45"/>
  <c r="E7" i="45"/>
  <c r="D7" i="45"/>
  <c r="C7" i="45"/>
  <c r="B7" i="45"/>
  <c r="J6" i="45"/>
  <c r="G6" i="45"/>
  <c r="F6" i="45"/>
  <c r="E6" i="45"/>
  <c r="D6" i="45"/>
  <c r="C6" i="45"/>
  <c r="B6" i="45"/>
  <c r="J5" i="45"/>
  <c r="G5" i="45"/>
  <c r="F5" i="45"/>
  <c r="E5" i="45"/>
  <c r="D5" i="45"/>
  <c r="C5" i="45"/>
  <c r="B5" i="45"/>
  <c r="J4" i="45"/>
  <c r="G4" i="45"/>
  <c r="F4" i="45"/>
  <c r="E4" i="45"/>
  <c r="D4" i="45"/>
  <c r="C4" i="45"/>
  <c r="B4" i="45"/>
  <c r="J3" i="45"/>
  <c r="G3" i="45"/>
  <c r="F3" i="45"/>
  <c r="E3" i="45"/>
  <c r="D3" i="45"/>
  <c r="C3" i="45"/>
  <c r="B3" i="45"/>
  <c r="J2" i="45"/>
  <c r="G2" i="45"/>
  <c r="F2" i="45"/>
  <c r="E2" i="45"/>
  <c r="D2" i="45"/>
  <c r="C2" i="45"/>
  <c r="B2" i="45"/>
  <c r="G129" i="34"/>
  <c r="F129" i="34"/>
  <c r="E129" i="34"/>
  <c r="D129" i="34"/>
  <c r="M129" i="34" s="1"/>
  <c r="C129" i="34"/>
  <c r="B129" i="34"/>
  <c r="G167" i="34"/>
  <c r="G168" i="34"/>
  <c r="G169" i="34"/>
  <c r="G170" i="34"/>
  <c r="F167" i="34"/>
  <c r="F168" i="34"/>
  <c r="F169" i="34"/>
  <c r="F170" i="34"/>
  <c r="E167" i="34"/>
  <c r="E168" i="34"/>
  <c r="E169" i="34"/>
  <c r="E170" i="34"/>
  <c r="D167" i="34"/>
  <c r="M167" i="34" s="1"/>
  <c r="D168" i="34"/>
  <c r="M168" i="34" s="1"/>
  <c r="D169" i="34"/>
  <c r="M169" i="34" s="1"/>
  <c r="D170" i="34"/>
  <c r="M170" i="34" s="1"/>
  <c r="C167" i="34"/>
  <c r="C168" i="34"/>
  <c r="C169" i="34"/>
  <c r="C170" i="34"/>
  <c r="B167" i="34"/>
  <c r="B168" i="34"/>
  <c r="B169" i="34"/>
  <c r="B170" i="34"/>
  <c r="G166" i="34"/>
  <c r="F166" i="34"/>
  <c r="E166" i="34"/>
  <c r="D166" i="34"/>
  <c r="M166" i="34" s="1"/>
  <c r="C166" i="34"/>
  <c r="B166" i="34"/>
  <c r="G165" i="34"/>
  <c r="F165" i="34"/>
  <c r="D165" i="34"/>
  <c r="M165" i="34" s="1"/>
  <c r="C165" i="34"/>
  <c r="B165" i="34"/>
  <c r="E165" i="34"/>
  <c r="G30" i="43"/>
  <c r="F30" i="43"/>
  <c r="E30" i="43"/>
  <c r="D30" i="43"/>
  <c r="C30" i="43"/>
  <c r="B30" i="43"/>
  <c r="J30" i="43"/>
  <c r="E4" i="43"/>
  <c r="D4" i="43"/>
  <c r="B4" i="43"/>
  <c r="C4" i="43"/>
  <c r="J24" i="43"/>
  <c r="G24" i="43"/>
  <c r="F24" i="43"/>
  <c r="E24" i="43"/>
  <c r="D24" i="43"/>
  <c r="C24" i="43"/>
  <c r="B24" i="43"/>
  <c r="J4" i="43"/>
  <c r="F4" i="43"/>
  <c r="G46" i="11"/>
  <c r="F46" i="11"/>
  <c r="E46" i="11"/>
  <c r="D46" i="11"/>
  <c r="C46" i="11"/>
  <c r="B46" i="11"/>
  <c r="J46" i="11"/>
  <c r="G4" i="11"/>
  <c r="F4" i="11"/>
  <c r="E4" i="11"/>
  <c r="D4" i="11"/>
  <c r="C4" i="11"/>
  <c r="B4" i="11"/>
  <c r="J4" i="11"/>
  <c r="G32" i="43"/>
  <c r="F32" i="43"/>
  <c r="E32" i="43"/>
  <c r="D32" i="43"/>
  <c r="C32" i="43"/>
  <c r="B32" i="43"/>
  <c r="J32" i="43"/>
  <c r="G25" i="39"/>
  <c r="F25" i="39"/>
  <c r="E25" i="39"/>
  <c r="D25" i="39"/>
  <c r="C25" i="39"/>
  <c r="B25" i="39"/>
  <c r="J25" i="39"/>
  <c r="G186" i="32"/>
  <c r="F186" i="32"/>
  <c r="E186" i="32"/>
  <c r="D186" i="32"/>
  <c r="M186" i="32" s="1"/>
  <c r="C186" i="32"/>
  <c r="B186" i="32"/>
  <c r="G123" i="32"/>
  <c r="F123" i="32"/>
  <c r="E123" i="32"/>
  <c r="D123" i="32"/>
  <c r="M123" i="32" s="1"/>
  <c r="C123" i="32"/>
  <c r="B123" i="32"/>
  <c r="G185" i="32"/>
  <c r="F185" i="32"/>
  <c r="E185" i="32"/>
  <c r="D185" i="32"/>
  <c r="M185" i="32" s="1"/>
  <c r="C185" i="32"/>
  <c r="B185" i="32"/>
  <c r="G27" i="9"/>
  <c r="F27" i="9"/>
  <c r="E27" i="9"/>
  <c r="D27" i="9"/>
  <c r="C27" i="9"/>
  <c r="B27" i="9"/>
  <c r="J27" i="9"/>
  <c r="G3" i="43"/>
  <c r="F3" i="43"/>
  <c r="E3" i="43"/>
  <c r="D3" i="43"/>
  <c r="C3" i="43"/>
  <c r="C59" i="43" s="1"/>
  <c r="B3" i="43"/>
  <c r="J3" i="43"/>
  <c r="G24" i="39"/>
  <c r="F24" i="39"/>
  <c r="E24" i="39"/>
  <c r="D24" i="39"/>
  <c r="C24" i="39"/>
  <c r="B24" i="39"/>
  <c r="G23" i="39"/>
  <c r="F23" i="39"/>
  <c r="E23" i="39"/>
  <c r="D23" i="39"/>
  <c r="C23" i="39"/>
  <c r="B23" i="39"/>
  <c r="G22" i="39"/>
  <c r="F22" i="39"/>
  <c r="E22" i="39"/>
  <c r="D22" i="39"/>
  <c r="C22" i="39"/>
  <c r="B22" i="39"/>
  <c r="J22" i="39"/>
  <c r="B26" i="39"/>
  <c r="C26" i="39"/>
  <c r="D26" i="39"/>
  <c r="E26" i="39"/>
  <c r="F26" i="39"/>
  <c r="G26" i="39"/>
  <c r="J23" i="39"/>
  <c r="J24" i="39"/>
  <c r="G18" i="39"/>
  <c r="F18" i="39"/>
  <c r="E18" i="39"/>
  <c r="D18" i="39"/>
  <c r="C18" i="39"/>
  <c r="B18" i="39"/>
  <c r="J18" i="39"/>
  <c r="E3" i="39"/>
  <c r="D3" i="39"/>
  <c r="B3" i="39"/>
  <c r="G3" i="39"/>
  <c r="F3" i="39"/>
  <c r="C3" i="39"/>
  <c r="J3" i="39"/>
  <c r="G12" i="39"/>
  <c r="F12" i="39"/>
  <c r="E12" i="39"/>
  <c r="D12" i="39"/>
  <c r="C12" i="39"/>
  <c r="B12" i="39"/>
  <c r="J12" i="39"/>
  <c r="G91" i="34"/>
  <c r="F91" i="34"/>
  <c r="E91" i="34"/>
  <c r="D91" i="34"/>
  <c r="M91" i="34" s="1"/>
  <c r="C91" i="34"/>
  <c r="B91" i="34"/>
  <c r="G90" i="34"/>
  <c r="F90" i="34"/>
  <c r="E90" i="34"/>
  <c r="D90" i="34"/>
  <c r="M90" i="34" s="1"/>
  <c r="C90" i="34"/>
  <c r="B90" i="34"/>
  <c r="G89" i="34"/>
  <c r="F89" i="34"/>
  <c r="E89" i="34"/>
  <c r="D89" i="34"/>
  <c r="M89" i="34" s="1"/>
  <c r="C89" i="34"/>
  <c r="B89" i="34"/>
  <c r="G88" i="34"/>
  <c r="F88" i="34"/>
  <c r="E88" i="34"/>
  <c r="D88" i="34"/>
  <c r="M88" i="34" s="1"/>
  <c r="C88" i="34"/>
  <c r="B88" i="34"/>
  <c r="G405" i="32"/>
  <c r="F405" i="32"/>
  <c r="E405" i="32"/>
  <c r="D405" i="32"/>
  <c r="M405" i="32" s="1"/>
  <c r="C405" i="32"/>
  <c r="B405" i="32"/>
  <c r="N3" i="34"/>
  <c r="I13" i="34"/>
  <c r="I11" i="34"/>
  <c r="G244" i="32"/>
  <c r="F244" i="32"/>
  <c r="E244" i="32"/>
  <c r="D244" i="32"/>
  <c r="M244" i="32" s="1"/>
  <c r="C244" i="32"/>
  <c r="B244" i="32"/>
  <c r="G196" i="32"/>
  <c r="F196" i="32"/>
  <c r="E196" i="32"/>
  <c r="D196" i="32"/>
  <c r="M196" i="32" s="1"/>
  <c r="C196" i="32"/>
  <c r="B196" i="32"/>
  <c r="J26" i="9"/>
  <c r="J28" i="9"/>
  <c r="J29" i="9"/>
  <c r="J30" i="9"/>
  <c r="J31" i="9"/>
  <c r="J32" i="9"/>
  <c r="J33" i="9"/>
  <c r="J34" i="9"/>
  <c r="J35" i="9"/>
  <c r="J37" i="9"/>
  <c r="J38" i="9"/>
  <c r="J39" i="9"/>
  <c r="J40" i="9"/>
  <c r="J41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" i="6"/>
  <c r="J3" i="6"/>
  <c r="J4" i="6"/>
  <c r="J5" i="6"/>
  <c r="J6" i="6"/>
  <c r="J7" i="6"/>
  <c r="J8" i="6"/>
  <c r="J10" i="6"/>
  <c r="J11" i="6"/>
  <c r="J12" i="6"/>
  <c r="J13" i="6"/>
  <c r="J14" i="6"/>
  <c r="J15" i="6"/>
  <c r="J16" i="6"/>
  <c r="J17" i="6"/>
  <c r="J18" i="6"/>
  <c r="J19" i="6"/>
  <c r="J20" i="6"/>
  <c r="J21" i="6"/>
  <c r="J2" i="7"/>
  <c r="J3" i="7"/>
  <c r="J4" i="7"/>
  <c r="J5" i="7"/>
  <c r="J7" i="7"/>
  <c r="J9" i="7"/>
  <c r="J10" i="7"/>
  <c r="J13" i="7"/>
  <c r="J14" i="7"/>
  <c r="J15" i="7"/>
  <c r="J16" i="7"/>
  <c r="J19" i="7"/>
  <c r="J22" i="7"/>
  <c r="J23" i="7"/>
  <c r="J24" i="7"/>
  <c r="J25" i="7"/>
  <c r="J26" i="7"/>
  <c r="J28" i="7"/>
  <c r="J29" i="7"/>
  <c r="J30" i="7"/>
  <c r="J33" i="7"/>
  <c r="J2" i="11"/>
  <c r="J3" i="11"/>
  <c r="J5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9" i="11"/>
  <c r="J30" i="11"/>
  <c r="J31" i="11"/>
  <c r="J32" i="11"/>
  <c r="J33" i="11"/>
  <c r="J34" i="11"/>
  <c r="J35" i="11"/>
  <c r="J36" i="11"/>
  <c r="J37" i="11"/>
  <c r="J38" i="11"/>
  <c r="J45" i="11"/>
  <c r="J47" i="11"/>
  <c r="J48" i="11"/>
  <c r="J49" i="11"/>
  <c r="J50" i="11"/>
  <c r="J51" i="11"/>
  <c r="J52" i="11"/>
  <c r="J53" i="11"/>
  <c r="J44" i="11"/>
  <c r="J54" i="11"/>
  <c r="J2" i="24"/>
  <c r="J3" i="24"/>
  <c r="J5" i="24"/>
  <c r="J6" i="24"/>
  <c r="J7" i="24"/>
  <c r="J8" i="24"/>
  <c r="J9" i="24"/>
  <c r="J10" i="24"/>
  <c r="J11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8" i="24"/>
  <c r="J29" i="24"/>
  <c r="J30" i="24"/>
  <c r="J32" i="24"/>
  <c r="J35" i="24"/>
  <c r="J36" i="24"/>
  <c r="J37" i="24"/>
  <c r="J38" i="24"/>
  <c r="J39" i="24"/>
  <c r="J40" i="24"/>
  <c r="J2" i="40"/>
  <c r="J3" i="40"/>
  <c r="J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2" i="40"/>
  <c r="J33" i="40"/>
  <c r="J34" i="40"/>
  <c r="J35" i="40"/>
  <c r="J36" i="40"/>
  <c r="J2" i="39"/>
  <c r="J4" i="39"/>
  <c r="J5" i="39"/>
  <c r="J6" i="39"/>
  <c r="J7" i="39"/>
  <c r="J8" i="39"/>
  <c r="J9" i="39"/>
  <c r="J10" i="39"/>
  <c r="J11" i="39"/>
  <c r="J13" i="39"/>
  <c r="J14" i="39"/>
  <c r="J15" i="39"/>
  <c r="J16" i="39"/>
  <c r="J17" i="39"/>
  <c r="J19" i="39"/>
  <c r="J20" i="39"/>
  <c r="J21" i="39"/>
  <c r="J26" i="39"/>
  <c r="J27" i="39"/>
  <c r="J28" i="39"/>
  <c r="J29" i="39"/>
  <c r="J30" i="39"/>
  <c r="J31" i="39"/>
  <c r="J32" i="39"/>
  <c r="J33" i="39"/>
  <c r="J34" i="39"/>
  <c r="J35" i="39"/>
  <c r="J36" i="39"/>
  <c r="J37" i="39"/>
  <c r="J38" i="39"/>
  <c r="J39" i="39"/>
  <c r="J40" i="39"/>
  <c r="J41" i="39"/>
  <c r="J42" i="39"/>
  <c r="J43" i="39"/>
  <c r="J44" i="39"/>
  <c r="J45" i="39"/>
  <c r="J46" i="39"/>
  <c r="J47" i="3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" i="37"/>
  <c r="J3" i="37"/>
  <c r="J4" i="37"/>
  <c r="J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2" i="41"/>
  <c r="J3" i="41"/>
  <c r="J4" i="41"/>
  <c r="J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J37" i="41"/>
  <c r="J38" i="41"/>
  <c r="J39" i="41"/>
  <c r="J40" i="41"/>
  <c r="J41" i="41"/>
  <c r="J42" i="41"/>
  <c r="J43" i="41"/>
  <c r="J44" i="41"/>
  <c r="J45" i="41"/>
  <c r="J46" i="41"/>
  <c r="J47" i="41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5" i="43"/>
  <c r="J6" i="43"/>
  <c r="J7" i="43"/>
  <c r="J8" i="43"/>
  <c r="J9" i="43"/>
  <c r="J13" i="43"/>
  <c r="J14" i="43"/>
  <c r="J15" i="43"/>
  <c r="J16" i="43"/>
  <c r="J17" i="43"/>
  <c r="J18" i="43"/>
  <c r="J19" i="43"/>
  <c r="J20" i="43"/>
  <c r="J21" i="43"/>
  <c r="J22" i="43"/>
  <c r="J23" i="43"/>
  <c r="J25" i="43"/>
  <c r="J26" i="43"/>
  <c r="J27" i="43"/>
  <c r="J29" i="43"/>
  <c r="J33" i="43"/>
  <c r="J34" i="43"/>
  <c r="J36" i="43"/>
  <c r="J37" i="43"/>
  <c r="J38" i="43"/>
  <c r="J39" i="43"/>
  <c r="J40" i="43"/>
  <c r="J41" i="43"/>
  <c r="J42" i="43"/>
  <c r="J43" i="43"/>
  <c r="J45" i="43"/>
  <c r="J46" i="43"/>
  <c r="J47" i="43"/>
  <c r="J48" i="43"/>
  <c r="J49" i="43"/>
  <c r="J50" i="43"/>
  <c r="J52" i="43"/>
  <c r="J53" i="43"/>
  <c r="J54" i="43"/>
  <c r="J11" i="43"/>
  <c r="J10" i="43"/>
  <c r="J12" i="43"/>
  <c r="J56" i="43"/>
  <c r="J57" i="43"/>
  <c r="J58" i="43"/>
  <c r="G15" i="43"/>
  <c r="E15" i="43"/>
  <c r="C15" i="43"/>
  <c r="B15" i="43"/>
  <c r="F15" i="43"/>
  <c r="D15" i="43"/>
  <c r="G3" i="42"/>
  <c r="F3" i="42"/>
  <c r="E3" i="42"/>
  <c r="D3" i="42"/>
  <c r="C3" i="42"/>
  <c r="B3" i="42"/>
  <c r="G183" i="32"/>
  <c r="F183" i="32"/>
  <c r="E183" i="32"/>
  <c r="D183" i="32"/>
  <c r="M183" i="32" s="1"/>
  <c r="C183" i="32"/>
  <c r="B183" i="32"/>
  <c r="G225" i="32"/>
  <c r="F225" i="32"/>
  <c r="E225" i="32"/>
  <c r="D225" i="32"/>
  <c r="M225" i="32" s="1"/>
  <c r="C225" i="32"/>
  <c r="B225" i="32"/>
  <c r="J2" i="43"/>
  <c r="G224" i="32"/>
  <c r="F224" i="32"/>
  <c r="E224" i="32"/>
  <c r="D224" i="32"/>
  <c r="M224" i="32" s="1"/>
  <c r="C224" i="32"/>
  <c r="B224" i="32"/>
  <c r="G246" i="32"/>
  <c r="F246" i="32"/>
  <c r="E246" i="32"/>
  <c r="D246" i="32"/>
  <c r="M246" i="32" s="1"/>
  <c r="C246" i="32"/>
  <c r="B246" i="32"/>
  <c r="G239" i="32"/>
  <c r="F239" i="32"/>
  <c r="E239" i="32"/>
  <c r="D239" i="32"/>
  <c r="M239" i="32" s="1"/>
  <c r="C239" i="32"/>
  <c r="B239" i="32"/>
  <c r="G234" i="32"/>
  <c r="F234" i="32"/>
  <c r="E234" i="32"/>
  <c r="D234" i="32"/>
  <c r="M234" i="32" s="1"/>
  <c r="C234" i="32"/>
  <c r="B234" i="32"/>
  <c r="J2" i="1"/>
  <c r="H88" i="43"/>
  <c r="H58" i="43"/>
  <c r="H59" i="43"/>
  <c r="G57" i="43"/>
  <c r="F57" i="43"/>
  <c r="E57" i="43"/>
  <c r="D57" i="43"/>
  <c r="C57" i="43"/>
  <c r="B57" i="43"/>
  <c r="G56" i="43"/>
  <c r="F56" i="43"/>
  <c r="E56" i="43"/>
  <c r="D56" i="43"/>
  <c r="C56" i="43"/>
  <c r="B56" i="43"/>
  <c r="G12" i="43"/>
  <c r="F12" i="43"/>
  <c r="E12" i="43"/>
  <c r="D12" i="43"/>
  <c r="C12" i="43"/>
  <c r="B12" i="43"/>
  <c r="G10" i="43"/>
  <c r="F10" i="43"/>
  <c r="E10" i="43"/>
  <c r="D10" i="43"/>
  <c r="C10" i="43"/>
  <c r="B10" i="43"/>
  <c r="G11" i="43"/>
  <c r="F11" i="43"/>
  <c r="E11" i="43"/>
  <c r="D11" i="43"/>
  <c r="C11" i="43"/>
  <c r="B11" i="43"/>
  <c r="G55" i="43"/>
  <c r="F55" i="43"/>
  <c r="E55" i="43"/>
  <c r="D55" i="43"/>
  <c r="C55" i="43"/>
  <c r="B55" i="43"/>
  <c r="G54" i="43"/>
  <c r="F54" i="43"/>
  <c r="E54" i="43"/>
  <c r="D54" i="43"/>
  <c r="C54" i="43"/>
  <c r="B54" i="43"/>
  <c r="G53" i="43"/>
  <c r="F53" i="43"/>
  <c r="E53" i="43"/>
  <c r="D53" i="43"/>
  <c r="C53" i="43"/>
  <c r="B53" i="43"/>
  <c r="G52" i="43"/>
  <c r="F52" i="43"/>
  <c r="E52" i="43"/>
  <c r="D52" i="43"/>
  <c r="C52" i="43"/>
  <c r="B52" i="43"/>
  <c r="G50" i="43"/>
  <c r="F50" i="43"/>
  <c r="E50" i="43"/>
  <c r="D50" i="43"/>
  <c r="C50" i="43"/>
  <c r="B50" i="43"/>
  <c r="G49" i="43"/>
  <c r="F49" i="43"/>
  <c r="E49" i="43"/>
  <c r="D49" i="43"/>
  <c r="C49" i="43"/>
  <c r="B49" i="43"/>
  <c r="G48" i="43"/>
  <c r="F48" i="43"/>
  <c r="E48" i="43"/>
  <c r="D48" i="43"/>
  <c r="C48" i="43"/>
  <c r="B48" i="43"/>
  <c r="G47" i="43"/>
  <c r="F47" i="43"/>
  <c r="E47" i="43"/>
  <c r="D47" i="43"/>
  <c r="C47" i="43"/>
  <c r="B47" i="43"/>
  <c r="G46" i="43"/>
  <c r="F46" i="43"/>
  <c r="E46" i="43"/>
  <c r="D46" i="43"/>
  <c r="C46" i="43"/>
  <c r="B46" i="43"/>
  <c r="G45" i="43"/>
  <c r="F45" i="43"/>
  <c r="E45" i="43"/>
  <c r="D45" i="43"/>
  <c r="C45" i="43"/>
  <c r="B45" i="43"/>
  <c r="G43" i="43"/>
  <c r="F43" i="43"/>
  <c r="E43" i="43"/>
  <c r="D43" i="43"/>
  <c r="C43" i="43"/>
  <c r="B43" i="43"/>
  <c r="G42" i="43"/>
  <c r="F42" i="43"/>
  <c r="E42" i="43"/>
  <c r="D42" i="43"/>
  <c r="C42" i="43"/>
  <c r="B42" i="43"/>
  <c r="G41" i="43"/>
  <c r="F41" i="43"/>
  <c r="E41" i="43"/>
  <c r="D41" i="43"/>
  <c r="C41" i="43"/>
  <c r="B41" i="43"/>
  <c r="G40" i="43"/>
  <c r="F40" i="43"/>
  <c r="E40" i="43"/>
  <c r="D40" i="43"/>
  <c r="C40" i="43"/>
  <c r="B40" i="43"/>
  <c r="G39" i="43"/>
  <c r="F39" i="43"/>
  <c r="E39" i="43"/>
  <c r="D39" i="43"/>
  <c r="C39" i="43"/>
  <c r="B39" i="43"/>
  <c r="G38" i="43"/>
  <c r="F38" i="43"/>
  <c r="E38" i="43"/>
  <c r="D38" i="43"/>
  <c r="C38" i="43"/>
  <c r="B38" i="43"/>
  <c r="G37" i="43"/>
  <c r="F37" i="43"/>
  <c r="E37" i="43"/>
  <c r="D37" i="43"/>
  <c r="C37" i="43"/>
  <c r="B37" i="43"/>
  <c r="G36" i="43"/>
  <c r="F36" i="43"/>
  <c r="E36" i="43"/>
  <c r="D36" i="43"/>
  <c r="C36" i="43"/>
  <c r="B36" i="43"/>
  <c r="G34" i="43"/>
  <c r="F34" i="43"/>
  <c r="E34" i="43"/>
  <c r="D34" i="43"/>
  <c r="C34" i="43"/>
  <c r="B34" i="43"/>
  <c r="G33" i="43"/>
  <c r="F33" i="43"/>
  <c r="E33" i="43"/>
  <c r="D33" i="43"/>
  <c r="C33" i="43"/>
  <c r="B33" i="43"/>
  <c r="G29" i="43"/>
  <c r="F29" i="43"/>
  <c r="E29" i="43"/>
  <c r="D29" i="43"/>
  <c r="C29" i="43"/>
  <c r="B29" i="43"/>
  <c r="G27" i="43"/>
  <c r="F27" i="43"/>
  <c r="E27" i="43"/>
  <c r="D27" i="43"/>
  <c r="C27" i="43"/>
  <c r="B27" i="43"/>
  <c r="G26" i="43"/>
  <c r="F26" i="43"/>
  <c r="E26" i="43"/>
  <c r="D26" i="43"/>
  <c r="C26" i="43"/>
  <c r="B26" i="43"/>
  <c r="G25" i="43"/>
  <c r="F25" i="43"/>
  <c r="E25" i="43"/>
  <c r="D25" i="43"/>
  <c r="C25" i="43"/>
  <c r="B25" i="43"/>
  <c r="G23" i="43"/>
  <c r="F23" i="43"/>
  <c r="E23" i="43"/>
  <c r="D23" i="43"/>
  <c r="C23" i="43"/>
  <c r="B23" i="43"/>
  <c r="G22" i="43"/>
  <c r="F22" i="43"/>
  <c r="E22" i="43"/>
  <c r="D22" i="43"/>
  <c r="C22" i="43"/>
  <c r="B22" i="43"/>
  <c r="G21" i="43"/>
  <c r="F21" i="43"/>
  <c r="E21" i="43"/>
  <c r="D21" i="43"/>
  <c r="C21" i="43"/>
  <c r="B21" i="43"/>
  <c r="G20" i="43"/>
  <c r="F20" i="43"/>
  <c r="E20" i="43"/>
  <c r="D20" i="43"/>
  <c r="C20" i="43"/>
  <c r="B20" i="43"/>
  <c r="G19" i="43"/>
  <c r="F19" i="43"/>
  <c r="E19" i="43"/>
  <c r="D19" i="43"/>
  <c r="C19" i="43"/>
  <c r="B19" i="43"/>
  <c r="G18" i="43"/>
  <c r="F18" i="43"/>
  <c r="E18" i="43"/>
  <c r="D18" i="43"/>
  <c r="C18" i="43"/>
  <c r="B18" i="43"/>
  <c r="G17" i="43"/>
  <c r="F17" i="43"/>
  <c r="E17" i="43"/>
  <c r="D17" i="43"/>
  <c r="C17" i="43"/>
  <c r="B17" i="43"/>
  <c r="G16" i="43"/>
  <c r="F16" i="43"/>
  <c r="E16" i="43"/>
  <c r="D16" i="43"/>
  <c r="C16" i="43"/>
  <c r="B16" i="43"/>
  <c r="G14" i="43"/>
  <c r="F14" i="43"/>
  <c r="E14" i="43"/>
  <c r="D14" i="43"/>
  <c r="C14" i="43"/>
  <c r="B14" i="43"/>
  <c r="G13" i="43"/>
  <c r="F13" i="43"/>
  <c r="E13" i="43"/>
  <c r="D13" i="43"/>
  <c r="C13" i="43"/>
  <c r="B13" i="43"/>
  <c r="G9" i="43"/>
  <c r="F9" i="43"/>
  <c r="E9" i="43"/>
  <c r="D9" i="43"/>
  <c r="C9" i="43"/>
  <c r="B9" i="43"/>
  <c r="G8" i="43"/>
  <c r="F8" i="43"/>
  <c r="E8" i="43"/>
  <c r="D8" i="43"/>
  <c r="C8" i="43"/>
  <c r="B8" i="43"/>
  <c r="G7" i="43"/>
  <c r="F7" i="43"/>
  <c r="E7" i="43"/>
  <c r="D7" i="43"/>
  <c r="C7" i="43"/>
  <c r="B7" i="43"/>
  <c r="G6" i="43"/>
  <c r="F6" i="43"/>
  <c r="E6" i="43"/>
  <c r="D6" i="43"/>
  <c r="C6" i="43"/>
  <c r="B6" i="43"/>
  <c r="G5" i="43"/>
  <c r="F5" i="43"/>
  <c r="F59" i="43" s="1"/>
  <c r="E5" i="43"/>
  <c r="D5" i="43"/>
  <c r="C5" i="43"/>
  <c r="B5" i="43"/>
  <c r="G2" i="43"/>
  <c r="F2" i="43"/>
  <c r="E2" i="43"/>
  <c r="D2" i="43"/>
  <c r="C2" i="43"/>
  <c r="B2" i="43"/>
  <c r="H68" i="42"/>
  <c r="G67" i="42"/>
  <c r="F67" i="42"/>
  <c r="E67" i="42"/>
  <c r="D67" i="42"/>
  <c r="C67" i="42"/>
  <c r="B67" i="42"/>
  <c r="G66" i="42"/>
  <c r="F66" i="42"/>
  <c r="E66" i="42"/>
  <c r="D66" i="42"/>
  <c r="C66" i="42"/>
  <c r="B66" i="42"/>
  <c r="G65" i="42"/>
  <c r="F65" i="42"/>
  <c r="E65" i="42"/>
  <c r="D65" i="42"/>
  <c r="C65" i="42"/>
  <c r="B65" i="42"/>
  <c r="G64" i="42"/>
  <c r="F64" i="42"/>
  <c r="E64" i="42"/>
  <c r="D64" i="42"/>
  <c r="C64" i="42"/>
  <c r="B64" i="42"/>
  <c r="G63" i="42"/>
  <c r="F63" i="42"/>
  <c r="E63" i="42"/>
  <c r="D63" i="42"/>
  <c r="C63" i="42"/>
  <c r="B63" i="42"/>
  <c r="G62" i="42"/>
  <c r="F62" i="42"/>
  <c r="E62" i="42"/>
  <c r="D62" i="42"/>
  <c r="C62" i="42"/>
  <c r="B62" i="42"/>
  <c r="G61" i="42"/>
  <c r="F61" i="42"/>
  <c r="E61" i="42"/>
  <c r="D61" i="42"/>
  <c r="C61" i="42"/>
  <c r="B61" i="42"/>
  <c r="G60" i="42"/>
  <c r="F60" i="42"/>
  <c r="E60" i="42"/>
  <c r="D60" i="42"/>
  <c r="C60" i="42"/>
  <c r="B60" i="42"/>
  <c r="G59" i="42"/>
  <c r="F59" i="42"/>
  <c r="E59" i="42"/>
  <c r="D59" i="42"/>
  <c r="C59" i="42"/>
  <c r="B59" i="42"/>
  <c r="G58" i="42"/>
  <c r="F58" i="42"/>
  <c r="E58" i="42"/>
  <c r="D58" i="42"/>
  <c r="C58" i="42"/>
  <c r="B58" i="42"/>
  <c r="G57" i="42"/>
  <c r="F57" i="42"/>
  <c r="E57" i="42"/>
  <c r="D57" i="42"/>
  <c r="C57" i="42"/>
  <c r="B57" i="42"/>
  <c r="G56" i="42"/>
  <c r="F56" i="42"/>
  <c r="E56" i="42"/>
  <c r="D56" i="42"/>
  <c r="C56" i="42"/>
  <c r="B56" i="42"/>
  <c r="G55" i="42"/>
  <c r="F55" i="42"/>
  <c r="E55" i="42"/>
  <c r="D55" i="42"/>
  <c r="C55" i="42"/>
  <c r="B55" i="42"/>
  <c r="G54" i="42"/>
  <c r="F54" i="42"/>
  <c r="E54" i="42"/>
  <c r="D54" i="42"/>
  <c r="C54" i="42"/>
  <c r="B54" i="42"/>
  <c r="G53" i="42"/>
  <c r="F53" i="42"/>
  <c r="E53" i="42"/>
  <c r="D53" i="42"/>
  <c r="C53" i="42"/>
  <c r="B53" i="42"/>
  <c r="G52" i="42"/>
  <c r="F52" i="42"/>
  <c r="E52" i="42"/>
  <c r="D52" i="42"/>
  <c r="C52" i="42"/>
  <c r="B52" i="42"/>
  <c r="G51" i="42"/>
  <c r="F51" i="42"/>
  <c r="E51" i="42"/>
  <c r="D51" i="42"/>
  <c r="C51" i="42"/>
  <c r="B51" i="42"/>
  <c r="G50" i="42"/>
  <c r="F50" i="42"/>
  <c r="E50" i="42"/>
  <c r="D50" i="42"/>
  <c r="C50" i="42"/>
  <c r="B50" i="42"/>
  <c r="G49" i="42"/>
  <c r="F49" i="42"/>
  <c r="E49" i="42"/>
  <c r="D49" i="42"/>
  <c r="C49" i="42"/>
  <c r="B49" i="42"/>
  <c r="G48" i="42"/>
  <c r="F48" i="42"/>
  <c r="E48" i="42"/>
  <c r="D48" i="42"/>
  <c r="C48" i="42"/>
  <c r="B48" i="42"/>
  <c r="G47" i="42"/>
  <c r="F47" i="42"/>
  <c r="E47" i="42"/>
  <c r="D47" i="42"/>
  <c r="C47" i="42"/>
  <c r="B47" i="42"/>
  <c r="G46" i="42"/>
  <c r="F46" i="42"/>
  <c r="E46" i="42"/>
  <c r="D46" i="42"/>
  <c r="C46" i="42"/>
  <c r="B46" i="42"/>
  <c r="G45" i="42"/>
  <c r="F45" i="42"/>
  <c r="E45" i="42"/>
  <c r="D45" i="42"/>
  <c r="C45" i="42"/>
  <c r="B45" i="42"/>
  <c r="G44" i="42"/>
  <c r="F44" i="42"/>
  <c r="E44" i="42"/>
  <c r="D44" i="42"/>
  <c r="C44" i="42"/>
  <c r="B44" i="42"/>
  <c r="G43" i="42"/>
  <c r="F43" i="42"/>
  <c r="E43" i="42"/>
  <c r="D43" i="42"/>
  <c r="D68" i="42" s="1"/>
  <c r="C43" i="42"/>
  <c r="B43" i="42"/>
  <c r="B68" i="42" s="1"/>
  <c r="G16" i="42"/>
  <c r="F16" i="42"/>
  <c r="E16" i="42"/>
  <c r="D16" i="42"/>
  <c r="C16" i="42"/>
  <c r="B16" i="42"/>
  <c r="G38" i="42"/>
  <c r="F38" i="42"/>
  <c r="E38" i="42"/>
  <c r="D38" i="42"/>
  <c r="C38" i="42"/>
  <c r="B38" i="42"/>
  <c r="G37" i="42"/>
  <c r="F37" i="42"/>
  <c r="E37" i="42"/>
  <c r="D37" i="42"/>
  <c r="C37" i="42"/>
  <c r="B37" i="42"/>
  <c r="G36" i="42"/>
  <c r="F36" i="42"/>
  <c r="E36" i="42"/>
  <c r="D36" i="42"/>
  <c r="C36" i="42"/>
  <c r="B36" i="42"/>
  <c r="G35" i="42"/>
  <c r="F35" i="42"/>
  <c r="E35" i="42"/>
  <c r="D35" i="42"/>
  <c r="C35" i="42"/>
  <c r="B35" i="42"/>
  <c r="G34" i="42"/>
  <c r="F34" i="42"/>
  <c r="E34" i="42"/>
  <c r="D34" i="42"/>
  <c r="C34" i="42"/>
  <c r="B34" i="42"/>
  <c r="G33" i="42"/>
  <c r="F33" i="42"/>
  <c r="E33" i="42"/>
  <c r="D33" i="42"/>
  <c r="C33" i="42"/>
  <c r="B33" i="42"/>
  <c r="G32" i="42"/>
  <c r="F32" i="42"/>
  <c r="E32" i="42"/>
  <c r="D32" i="42"/>
  <c r="C32" i="42"/>
  <c r="B32" i="42"/>
  <c r="G31" i="42"/>
  <c r="F31" i="42"/>
  <c r="E31" i="42"/>
  <c r="D31" i="42"/>
  <c r="C31" i="42"/>
  <c r="B31" i="42"/>
  <c r="G30" i="42"/>
  <c r="F30" i="42"/>
  <c r="E30" i="42"/>
  <c r="D30" i="42"/>
  <c r="C30" i="42"/>
  <c r="B30" i="42"/>
  <c r="G29" i="42"/>
  <c r="F29" i="42"/>
  <c r="E29" i="42"/>
  <c r="D29" i="42"/>
  <c r="C29" i="42"/>
  <c r="B29" i="42"/>
  <c r="G28" i="42"/>
  <c r="F28" i="42"/>
  <c r="E28" i="42"/>
  <c r="D28" i="42"/>
  <c r="C28" i="42"/>
  <c r="B28" i="42"/>
  <c r="G27" i="42"/>
  <c r="F27" i="42"/>
  <c r="E27" i="42"/>
  <c r="D27" i="42"/>
  <c r="C27" i="42"/>
  <c r="B27" i="42"/>
  <c r="G26" i="42"/>
  <c r="F26" i="42"/>
  <c r="E26" i="42"/>
  <c r="D26" i="42"/>
  <c r="C26" i="42"/>
  <c r="B26" i="42"/>
  <c r="G25" i="42"/>
  <c r="F25" i="42"/>
  <c r="E25" i="42"/>
  <c r="D25" i="42"/>
  <c r="C25" i="42"/>
  <c r="B25" i="42"/>
  <c r="G24" i="42"/>
  <c r="F24" i="42"/>
  <c r="E24" i="42"/>
  <c r="D24" i="42"/>
  <c r="C24" i="42"/>
  <c r="B24" i="42"/>
  <c r="G23" i="42"/>
  <c r="F23" i="42"/>
  <c r="E23" i="42"/>
  <c r="D23" i="42"/>
  <c r="C23" i="42"/>
  <c r="B23" i="42"/>
  <c r="G22" i="42"/>
  <c r="F22" i="42"/>
  <c r="E22" i="42"/>
  <c r="D22" i="42"/>
  <c r="C22" i="42"/>
  <c r="B22" i="42"/>
  <c r="G21" i="42"/>
  <c r="F21" i="42"/>
  <c r="E21" i="42"/>
  <c r="D21" i="42"/>
  <c r="C21" i="42"/>
  <c r="B21" i="42"/>
  <c r="G20" i="42"/>
  <c r="F20" i="42"/>
  <c r="E20" i="42"/>
  <c r="D20" i="42"/>
  <c r="C20" i="42"/>
  <c r="B20" i="42"/>
  <c r="G19" i="42"/>
  <c r="F19" i="42"/>
  <c r="E19" i="42"/>
  <c r="D19" i="42"/>
  <c r="C19" i="42"/>
  <c r="B19" i="42"/>
  <c r="G18" i="42"/>
  <c r="F18" i="42"/>
  <c r="E18" i="42"/>
  <c r="D18" i="42"/>
  <c r="C18" i="42"/>
  <c r="B18" i="42"/>
  <c r="G17" i="42"/>
  <c r="F17" i="42"/>
  <c r="E17" i="42"/>
  <c r="D17" i="42"/>
  <c r="C17" i="42"/>
  <c r="B17" i="42"/>
  <c r="G15" i="42"/>
  <c r="F15" i="42"/>
  <c r="E15" i="42"/>
  <c r="D15" i="42"/>
  <c r="C15" i="42"/>
  <c r="B15" i="42"/>
  <c r="G14" i="42"/>
  <c r="F14" i="42"/>
  <c r="E14" i="42"/>
  <c r="D14" i="42"/>
  <c r="C14" i="42"/>
  <c r="B14" i="42"/>
  <c r="G13" i="42"/>
  <c r="F13" i="42"/>
  <c r="E13" i="42"/>
  <c r="D13" i="42"/>
  <c r="C13" i="42"/>
  <c r="B13" i="42"/>
  <c r="G12" i="42"/>
  <c r="F12" i="42"/>
  <c r="E12" i="42"/>
  <c r="D12" i="42"/>
  <c r="C12" i="42"/>
  <c r="B12" i="42"/>
  <c r="G11" i="42"/>
  <c r="F11" i="42"/>
  <c r="E11" i="42"/>
  <c r="D11" i="42"/>
  <c r="C11" i="42"/>
  <c r="B11" i="42"/>
  <c r="G10" i="42"/>
  <c r="F10" i="42"/>
  <c r="E10" i="42"/>
  <c r="D10" i="42"/>
  <c r="C10" i="42"/>
  <c r="B10" i="42"/>
  <c r="G9" i="42"/>
  <c r="F9" i="42"/>
  <c r="E9" i="42"/>
  <c r="D9" i="42"/>
  <c r="C9" i="42"/>
  <c r="B9" i="42"/>
  <c r="G8" i="42"/>
  <c r="F8" i="42"/>
  <c r="E8" i="42"/>
  <c r="D8" i="42"/>
  <c r="C8" i="42"/>
  <c r="B8" i="42"/>
  <c r="G7" i="42"/>
  <c r="F7" i="42"/>
  <c r="E7" i="42"/>
  <c r="D7" i="42"/>
  <c r="C7" i="42"/>
  <c r="B7" i="42"/>
  <c r="G6" i="42"/>
  <c r="F6" i="42"/>
  <c r="E6" i="42"/>
  <c r="D6" i="42"/>
  <c r="C6" i="42"/>
  <c r="B6" i="42"/>
  <c r="G5" i="42"/>
  <c r="F5" i="42"/>
  <c r="E5" i="42"/>
  <c r="D5" i="42"/>
  <c r="C5" i="42"/>
  <c r="B5" i="42"/>
  <c r="G4" i="42"/>
  <c r="F4" i="42"/>
  <c r="E4" i="42"/>
  <c r="D4" i="42"/>
  <c r="C4" i="42"/>
  <c r="B4" i="42"/>
  <c r="G2" i="42"/>
  <c r="F2" i="42"/>
  <c r="E2" i="42"/>
  <c r="D2" i="42"/>
  <c r="C2" i="42"/>
  <c r="B2" i="42"/>
  <c r="B198" i="34"/>
  <c r="G22" i="41"/>
  <c r="F22" i="41"/>
  <c r="E22" i="41"/>
  <c r="D22" i="41"/>
  <c r="C22" i="41"/>
  <c r="B22" i="41"/>
  <c r="C12" i="41"/>
  <c r="C13" i="41"/>
  <c r="G13" i="41"/>
  <c r="F13" i="41"/>
  <c r="E13" i="41"/>
  <c r="D13" i="41"/>
  <c r="B13" i="41"/>
  <c r="G21" i="41"/>
  <c r="F21" i="41"/>
  <c r="E21" i="41"/>
  <c r="D21" i="41"/>
  <c r="C21" i="41"/>
  <c r="B21" i="41"/>
  <c r="C18" i="41"/>
  <c r="D18" i="41"/>
  <c r="E18" i="41"/>
  <c r="F18" i="41"/>
  <c r="G18" i="41"/>
  <c r="B18" i="41"/>
  <c r="G19" i="41"/>
  <c r="F19" i="41"/>
  <c r="E19" i="41"/>
  <c r="D19" i="41"/>
  <c r="C19" i="41"/>
  <c r="B19" i="41"/>
  <c r="F35" i="43"/>
  <c r="G4" i="43"/>
  <c r="G238" i="34"/>
  <c r="C238" i="34"/>
  <c r="B238" i="34"/>
  <c r="F238" i="34"/>
  <c r="E238" i="34"/>
  <c r="D238" i="34"/>
  <c r="M238" i="34" s="1"/>
  <c r="G25" i="34"/>
  <c r="I15" i="34"/>
  <c r="G199" i="32"/>
  <c r="F199" i="32"/>
  <c r="E199" i="32"/>
  <c r="D199" i="32"/>
  <c r="M199" i="32" s="1"/>
  <c r="C199" i="32"/>
  <c r="B199" i="32"/>
  <c r="G198" i="32"/>
  <c r="F198" i="32"/>
  <c r="E198" i="32"/>
  <c r="D198" i="32"/>
  <c r="M198" i="32" s="1"/>
  <c r="C198" i="32"/>
  <c r="B198" i="32"/>
  <c r="G197" i="32"/>
  <c r="F197" i="32"/>
  <c r="E197" i="32"/>
  <c r="D197" i="32"/>
  <c r="M197" i="32" s="1"/>
  <c r="C197" i="32"/>
  <c r="B197" i="32"/>
  <c r="G38" i="37"/>
  <c r="F38" i="37"/>
  <c r="E38" i="37"/>
  <c r="D38" i="37"/>
  <c r="C38" i="37"/>
  <c r="B38" i="37"/>
  <c r="G22" i="37"/>
  <c r="F22" i="37"/>
  <c r="E22" i="37"/>
  <c r="D22" i="37"/>
  <c r="C22" i="37"/>
  <c r="B22" i="37"/>
  <c r="G10" i="37"/>
  <c r="F10" i="37"/>
  <c r="E10" i="37"/>
  <c r="D10" i="37"/>
  <c r="C10" i="37"/>
  <c r="B10" i="37"/>
  <c r="G9" i="37"/>
  <c r="F9" i="37"/>
  <c r="E9" i="37"/>
  <c r="D9" i="37"/>
  <c r="C9" i="37"/>
  <c r="B9" i="37"/>
  <c r="G8" i="37"/>
  <c r="F8" i="37"/>
  <c r="E8" i="37"/>
  <c r="D8" i="37"/>
  <c r="C8" i="37"/>
  <c r="B8" i="37"/>
  <c r="F5" i="39"/>
  <c r="E5" i="39"/>
  <c r="D5" i="39"/>
  <c r="C5" i="39"/>
  <c r="B5" i="39"/>
  <c r="F6" i="39"/>
  <c r="E6" i="39"/>
  <c r="D6" i="39"/>
  <c r="C6" i="39"/>
  <c r="B6" i="39"/>
  <c r="G6" i="39"/>
  <c r="G48" i="39" s="1"/>
  <c r="G5" i="39"/>
  <c r="G46" i="41"/>
  <c r="F46" i="41"/>
  <c r="E46" i="41"/>
  <c r="D46" i="41"/>
  <c r="C46" i="41"/>
  <c r="B46" i="41"/>
  <c r="G45" i="41"/>
  <c r="F45" i="41"/>
  <c r="E45" i="41"/>
  <c r="D45" i="41"/>
  <c r="C45" i="41"/>
  <c r="B45" i="41"/>
  <c r="G44" i="41"/>
  <c r="F44" i="41"/>
  <c r="E44" i="41"/>
  <c r="D44" i="41"/>
  <c r="C44" i="41"/>
  <c r="B44" i="41"/>
  <c r="G43" i="41"/>
  <c r="F43" i="41"/>
  <c r="E43" i="41"/>
  <c r="D43" i="41"/>
  <c r="C43" i="41"/>
  <c r="B43" i="41"/>
  <c r="B3" i="40"/>
  <c r="C3" i="40"/>
  <c r="D3" i="40"/>
  <c r="E3" i="40"/>
  <c r="F3" i="40"/>
  <c r="G3" i="40"/>
  <c r="B5" i="40"/>
  <c r="C5" i="40"/>
  <c r="D5" i="40"/>
  <c r="E5" i="40"/>
  <c r="F5" i="40"/>
  <c r="G5" i="40"/>
  <c r="B6" i="40"/>
  <c r="C6" i="40"/>
  <c r="D6" i="40"/>
  <c r="E6" i="40"/>
  <c r="F6" i="40"/>
  <c r="G6" i="40"/>
  <c r="B7" i="40"/>
  <c r="C7" i="40"/>
  <c r="D7" i="40"/>
  <c r="E7" i="40"/>
  <c r="F7" i="40"/>
  <c r="G7" i="40"/>
  <c r="B8" i="40"/>
  <c r="C8" i="40"/>
  <c r="D8" i="40"/>
  <c r="E8" i="40"/>
  <c r="F8" i="40"/>
  <c r="G8" i="40"/>
  <c r="B9" i="40"/>
  <c r="C9" i="40"/>
  <c r="D9" i="40"/>
  <c r="E9" i="40"/>
  <c r="F9" i="40"/>
  <c r="G9" i="40"/>
  <c r="B10" i="40"/>
  <c r="C10" i="40"/>
  <c r="D10" i="40"/>
  <c r="E10" i="40"/>
  <c r="F10" i="40"/>
  <c r="G10" i="40"/>
  <c r="B16" i="40"/>
  <c r="C16" i="40"/>
  <c r="D16" i="40"/>
  <c r="E16" i="40"/>
  <c r="F16" i="40"/>
  <c r="G16" i="40"/>
  <c r="B18" i="40"/>
  <c r="C18" i="40"/>
  <c r="D18" i="40"/>
  <c r="E18" i="40"/>
  <c r="F18" i="40"/>
  <c r="G18" i="40"/>
  <c r="B20" i="40"/>
  <c r="C20" i="40"/>
  <c r="D20" i="40"/>
  <c r="E20" i="40"/>
  <c r="F20" i="40"/>
  <c r="G20" i="40"/>
  <c r="B15" i="40"/>
  <c r="C15" i="40"/>
  <c r="D15" i="40"/>
  <c r="E15" i="40"/>
  <c r="F15" i="40"/>
  <c r="G15" i="40"/>
  <c r="B17" i="40"/>
  <c r="C17" i="40"/>
  <c r="D17" i="40"/>
  <c r="E17" i="40"/>
  <c r="F17" i="40"/>
  <c r="G17" i="40"/>
  <c r="B21" i="40"/>
  <c r="C21" i="40"/>
  <c r="D21" i="40"/>
  <c r="E21" i="40"/>
  <c r="F21" i="40"/>
  <c r="G21" i="40"/>
  <c r="B22" i="40"/>
  <c r="C22" i="40"/>
  <c r="D22" i="40"/>
  <c r="E22" i="40"/>
  <c r="F22" i="40"/>
  <c r="G22" i="40"/>
  <c r="B23" i="40"/>
  <c r="C23" i="40"/>
  <c r="D23" i="40"/>
  <c r="E23" i="40"/>
  <c r="F23" i="40"/>
  <c r="G23" i="40"/>
  <c r="B24" i="40"/>
  <c r="C24" i="40"/>
  <c r="D24" i="40"/>
  <c r="E24" i="40"/>
  <c r="F24" i="40"/>
  <c r="G24" i="40"/>
  <c r="B11" i="40"/>
  <c r="C11" i="40"/>
  <c r="D11" i="40"/>
  <c r="E11" i="40"/>
  <c r="F11" i="40"/>
  <c r="G11" i="40"/>
  <c r="B19" i="40"/>
  <c r="C19" i="40"/>
  <c r="D19" i="40"/>
  <c r="E19" i="40"/>
  <c r="F19" i="40"/>
  <c r="G19" i="40"/>
  <c r="B14" i="40"/>
  <c r="C14" i="40"/>
  <c r="D14" i="40"/>
  <c r="E14" i="40"/>
  <c r="F14" i="40"/>
  <c r="G14" i="40"/>
  <c r="B12" i="40"/>
  <c r="C12" i="40"/>
  <c r="D12" i="40"/>
  <c r="E12" i="40"/>
  <c r="F12" i="40"/>
  <c r="G12" i="40"/>
  <c r="B13" i="40"/>
  <c r="C13" i="40"/>
  <c r="D13" i="40"/>
  <c r="E13" i="40"/>
  <c r="F13" i="40"/>
  <c r="G13" i="40"/>
  <c r="B25" i="40"/>
  <c r="C25" i="40"/>
  <c r="D25" i="40"/>
  <c r="E25" i="40"/>
  <c r="F25" i="40"/>
  <c r="G25" i="40"/>
  <c r="B26" i="40"/>
  <c r="C26" i="40"/>
  <c r="D26" i="40"/>
  <c r="E26" i="40"/>
  <c r="F26" i="40"/>
  <c r="G26" i="40"/>
  <c r="B27" i="40"/>
  <c r="C27" i="40"/>
  <c r="D27" i="40"/>
  <c r="E27" i="40"/>
  <c r="F27" i="40"/>
  <c r="G27" i="40"/>
  <c r="B29" i="40"/>
  <c r="C29" i="40"/>
  <c r="D29" i="40"/>
  <c r="E29" i="40"/>
  <c r="F29" i="40"/>
  <c r="G29" i="40"/>
  <c r="B32" i="40"/>
  <c r="C32" i="40"/>
  <c r="D32" i="40"/>
  <c r="E32" i="40"/>
  <c r="F32" i="40"/>
  <c r="G32" i="40"/>
  <c r="B30" i="40"/>
  <c r="C30" i="40"/>
  <c r="D30" i="40"/>
  <c r="E30" i="40"/>
  <c r="F30" i="40"/>
  <c r="G30" i="40"/>
  <c r="B33" i="40"/>
  <c r="C33" i="40"/>
  <c r="D33" i="40"/>
  <c r="E33" i="40"/>
  <c r="F33" i="40"/>
  <c r="G33" i="40"/>
  <c r="B28" i="40"/>
  <c r="C28" i="40"/>
  <c r="D28" i="40"/>
  <c r="E28" i="40"/>
  <c r="F28" i="40"/>
  <c r="G28" i="40"/>
  <c r="B34" i="40"/>
  <c r="C34" i="40"/>
  <c r="D34" i="40"/>
  <c r="E34" i="40"/>
  <c r="F34" i="40"/>
  <c r="G34" i="40"/>
  <c r="B35" i="40"/>
  <c r="C35" i="40"/>
  <c r="D35" i="40"/>
  <c r="E35" i="40"/>
  <c r="F35" i="40"/>
  <c r="G35" i="40"/>
  <c r="D2" i="40"/>
  <c r="E2" i="40"/>
  <c r="I9" i="34"/>
  <c r="H76" i="41"/>
  <c r="G75" i="41"/>
  <c r="F75" i="41"/>
  <c r="E75" i="41"/>
  <c r="D75" i="41"/>
  <c r="C75" i="41"/>
  <c r="B75" i="41"/>
  <c r="G74" i="41"/>
  <c r="F74" i="41"/>
  <c r="E74" i="41"/>
  <c r="D74" i="41"/>
  <c r="C74" i="41"/>
  <c r="B74" i="41"/>
  <c r="G73" i="41"/>
  <c r="F73" i="41"/>
  <c r="E73" i="41"/>
  <c r="D73" i="41"/>
  <c r="C73" i="41"/>
  <c r="B73" i="41"/>
  <c r="G72" i="41"/>
  <c r="F72" i="41"/>
  <c r="E72" i="41"/>
  <c r="D72" i="41"/>
  <c r="C72" i="41"/>
  <c r="B72" i="41"/>
  <c r="G71" i="41"/>
  <c r="F71" i="41"/>
  <c r="E71" i="41"/>
  <c r="D71" i="41"/>
  <c r="C71" i="41"/>
  <c r="B71" i="41"/>
  <c r="G70" i="41"/>
  <c r="F70" i="41"/>
  <c r="E70" i="41"/>
  <c r="D70" i="41"/>
  <c r="C70" i="41"/>
  <c r="B70" i="41"/>
  <c r="G69" i="41"/>
  <c r="F69" i="41"/>
  <c r="E69" i="41"/>
  <c r="D69" i="41"/>
  <c r="C69" i="41"/>
  <c r="B69" i="41"/>
  <c r="G68" i="41"/>
  <c r="F68" i="41"/>
  <c r="E68" i="41"/>
  <c r="D68" i="41"/>
  <c r="C68" i="41"/>
  <c r="B68" i="41"/>
  <c r="G67" i="41"/>
  <c r="F67" i="41"/>
  <c r="E67" i="41"/>
  <c r="D67" i="41"/>
  <c r="C67" i="41"/>
  <c r="B67" i="41"/>
  <c r="G66" i="41"/>
  <c r="F66" i="41"/>
  <c r="E66" i="41"/>
  <c r="D66" i="41"/>
  <c r="C66" i="41"/>
  <c r="B66" i="41"/>
  <c r="G65" i="41"/>
  <c r="F65" i="41"/>
  <c r="E65" i="41"/>
  <c r="D65" i="41"/>
  <c r="C65" i="41"/>
  <c r="B65" i="41"/>
  <c r="G64" i="41"/>
  <c r="F64" i="41"/>
  <c r="E64" i="41"/>
  <c r="D64" i="41"/>
  <c r="C64" i="41"/>
  <c r="B64" i="41"/>
  <c r="G63" i="41"/>
  <c r="F63" i="41"/>
  <c r="E63" i="41"/>
  <c r="D63" i="41"/>
  <c r="C63" i="41"/>
  <c r="B63" i="41"/>
  <c r="G62" i="41"/>
  <c r="F62" i="41"/>
  <c r="E62" i="41"/>
  <c r="D62" i="41"/>
  <c r="C62" i="41"/>
  <c r="B62" i="41"/>
  <c r="G61" i="41"/>
  <c r="F61" i="41"/>
  <c r="E61" i="41"/>
  <c r="D61" i="41"/>
  <c r="C61" i="41"/>
  <c r="B61" i="41"/>
  <c r="G60" i="41"/>
  <c r="F60" i="41"/>
  <c r="E60" i="41"/>
  <c r="D60" i="41"/>
  <c r="C60" i="41"/>
  <c r="B60" i="41"/>
  <c r="G59" i="41"/>
  <c r="F59" i="41"/>
  <c r="E59" i="41"/>
  <c r="D59" i="41"/>
  <c r="C59" i="41"/>
  <c r="B59" i="41"/>
  <c r="G58" i="41"/>
  <c r="F58" i="41"/>
  <c r="E58" i="41"/>
  <c r="D58" i="41"/>
  <c r="C58" i="41"/>
  <c r="B58" i="41"/>
  <c r="G57" i="41"/>
  <c r="F57" i="41"/>
  <c r="E57" i="41"/>
  <c r="D57" i="41"/>
  <c r="C57" i="41"/>
  <c r="B57" i="41"/>
  <c r="G56" i="41"/>
  <c r="F56" i="41"/>
  <c r="E56" i="41"/>
  <c r="D56" i="41"/>
  <c r="C56" i="41"/>
  <c r="B56" i="41"/>
  <c r="G55" i="41"/>
  <c r="F55" i="41"/>
  <c r="E55" i="41"/>
  <c r="D55" i="41"/>
  <c r="C55" i="41"/>
  <c r="B55" i="41"/>
  <c r="G54" i="41"/>
  <c r="F54" i="41"/>
  <c r="E54" i="41"/>
  <c r="D54" i="41"/>
  <c r="C54" i="41"/>
  <c r="B54" i="41"/>
  <c r="G53" i="41"/>
  <c r="F53" i="41"/>
  <c r="E53" i="41"/>
  <c r="D53" i="41"/>
  <c r="C53" i="41"/>
  <c r="B53" i="41"/>
  <c r="G52" i="41"/>
  <c r="F52" i="41"/>
  <c r="F76" i="41" s="1"/>
  <c r="E52" i="41"/>
  <c r="D52" i="41"/>
  <c r="C52" i="41"/>
  <c r="C76" i="41" s="1"/>
  <c r="B52" i="41"/>
  <c r="G51" i="41"/>
  <c r="F51" i="41"/>
  <c r="E51" i="41"/>
  <c r="E76" i="41" s="1"/>
  <c r="D51" i="41"/>
  <c r="C51" i="41"/>
  <c r="B51" i="41"/>
  <c r="G42" i="41"/>
  <c r="F42" i="41"/>
  <c r="E42" i="41"/>
  <c r="D42" i="41"/>
  <c r="C42" i="41"/>
  <c r="B42" i="41"/>
  <c r="G41" i="41"/>
  <c r="F41" i="41"/>
  <c r="E41" i="41"/>
  <c r="D41" i="41"/>
  <c r="C41" i="41"/>
  <c r="B41" i="41"/>
  <c r="G40" i="41"/>
  <c r="F40" i="41"/>
  <c r="E40" i="41"/>
  <c r="D40" i="41"/>
  <c r="C40" i="41"/>
  <c r="B40" i="41"/>
  <c r="G39" i="41"/>
  <c r="F39" i="41"/>
  <c r="E39" i="41"/>
  <c r="D39" i="41"/>
  <c r="C39" i="41"/>
  <c r="B39" i="41"/>
  <c r="G38" i="41"/>
  <c r="F38" i="41"/>
  <c r="E38" i="41"/>
  <c r="D38" i="41"/>
  <c r="C38" i="41"/>
  <c r="B38" i="41"/>
  <c r="G37" i="41"/>
  <c r="F37" i="41"/>
  <c r="E37" i="41"/>
  <c r="D37" i="41"/>
  <c r="C37" i="41"/>
  <c r="B37" i="41"/>
  <c r="G36" i="41"/>
  <c r="F36" i="41"/>
  <c r="E36" i="41"/>
  <c r="D36" i="41"/>
  <c r="C36" i="41"/>
  <c r="B36" i="41"/>
  <c r="G35" i="41"/>
  <c r="F35" i="41"/>
  <c r="E35" i="41"/>
  <c r="D35" i="41"/>
  <c r="C35" i="41"/>
  <c r="B35" i="41"/>
  <c r="G34" i="41"/>
  <c r="F34" i="41"/>
  <c r="E34" i="41"/>
  <c r="D34" i="41"/>
  <c r="C34" i="41"/>
  <c r="B34" i="41"/>
  <c r="G33" i="41"/>
  <c r="F33" i="41"/>
  <c r="E33" i="41"/>
  <c r="D33" i="41"/>
  <c r="C33" i="41"/>
  <c r="B33" i="41"/>
  <c r="G32" i="41"/>
  <c r="F32" i="41"/>
  <c r="E32" i="41"/>
  <c r="D32" i="41"/>
  <c r="C32" i="41"/>
  <c r="B32" i="41"/>
  <c r="G31" i="41"/>
  <c r="F31" i="41"/>
  <c r="E31" i="41"/>
  <c r="D31" i="41"/>
  <c r="C31" i="41"/>
  <c r="B31" i="41"/>
  <c r="G30" i="41"/>
  <c r="F30" i="41"/>
  <c r="E30" i="41"/>
  <c r="D30" i="41"/>
  <c r="C30" i="41"/>
  <c r="B30" i="41"/>
  <c r="G29" i="41"/>
  <c r="F29" i="41"/>
  <c r="E29" i="41"/>
  <c r="D29" i="41"/>
  <c r="C29" i="41"/>
  <c r="B29" i="41"/>
  <c r="G28" i="41"/>
  <c r="F28" i="41"/>
  <c r="E28" i="41"/>
  <c r="D28" i="41"/>
  <c r="C28" i="41"/>
  <c r="B28" i="41"/>
  <c r="G27" i="41"/>
  <c r="F27" i="41"/>
  <c r="E27" i="41"/>
  <c r="D27" i="41"/>
  <c r="C27" i="41"/>
  <c r="B27" i="41"/>
  <c r="G26" i="41"/>
  <c r="F26" i="41"/>
  <c r="E26" i="41"/>
  <c r="D26" i="41"/>
  <c r="C26" i="41"/>
  <c r="B26" i="41"/>
  <c r="G25" i="41"/>
  <c r="F25" i="41"/>
  <c r="E25" i="41"/>
  <c r="D25" i="41"/>
  <c r="C25" i="41"/>
  <c r="B25" i="41"/>
  <c r="G24" i="41"/>
  <c r="F24" i="41"/>
  <c r="E24" i="41"/>
  <c r="D24" i="41"/>
  <c r="C24" i="41"/>
  <c r="B24" i="41"/>
  <c r="G23" i="41"/>
  <c r="F23" i="41"/>
  <c r="E23" i="41"/>
  <c r="D23" i="41"/>
  <c r="C23" i="41"/>
  <c r="B23" i="41"/>
  <c r="G20" i="41"/>
  <c r="F20" i="41"/>
  <c r="E20" i="41"/>
  <c r="D20" i="41"/>
  <c r="C20" i="41"/>
  <c r="B20" i="41"/>
  <c r="G17" i="41"/>
  <c r="F17" i="41"/>
  <c r="E17" i="41"/>
  <c r="D17" i="41"/>
  <c r="C17" i="41"/>
  <c r="B17" i="41"/>
  <c r="G16" i="41"/>
  <c r="F16" i="41"/>
  <c r="E16" i="41"/>
  <c r="D16" i="41"/>
  <c r="C16" i="41"/>
  <c r="B16" i="41"/>
  <c r="G15" i="41"/>
  <c r="F15" i="41"/>
  <c r="E15" i="41"/>
  <c r="D15" i="41"/>
  <c r="C15" i="41"/>
  <c r="B15" i="41"/>
  <c r="G14" i="41"/>
  <c r="F14" i="41"/>
  <c r="E14" i="41"/>
  <c r="D14" i="41"/>
  <c r="C14" i="41"/>
  <c r="B14" i="41"/>
  <c r="G12" i="41"/>
  <c r="F12" i="41"/>
  <c r="E12" i="41"/>
  <c r="D12" i="41"/>
  <c r="B12" i="41"/>
  <c r="G11" i="41"/>
  <c r="F11" i="41"/>
  <c r="E11" i="41"/>
  <c r="D11" i="41"/>
  <c r="C11" i="41"/>
  <c r="B11" i="41"/>
  <c r="G10" i="41"/>
  <c r="F10" i="41"/>
  <c r="E10" i="41"/>
  <c r="D10" i="41"/>
  <c r="C10" i="41"/>
  <c r="B10" i="41"/>
  <c r="G9" i="41"/>
  <c r="F9" i="41"/>
  <c r="E9" i="41"/>
  <c r="D9" i="41"/>
  <c r="C9" i="41"/>
  <c r="B9" i="41"/>
  <c r="G8" i="41"/>
  <c r="F8" i="41"/>
  <c r="E8" i="41"/>
  <c r="D8" i="41"/>
  <c r="C8" i="41"/>
  <c r="B8" i="41"/>
  <c r="G7" i="41"/>
  <c r="F7" i="41"/>
  <c r="E7" i="41"/>
  <c r="D7" i="41"/>
  <c r="C7" i="41"/>
  <c r="B7" i="41"/>
  <c r="G6" i="41"/>
  <c r="F6" i="41"/>
  <c r="E6" i="41"/>
  <c r="D6" i="41"/>
  <c r="C6" i="41"/>
  <c r="B6" i="41"/>
  <c r="G5" i="41"/>
  <c r="F5" i="41"/>
  <c r="E5" i="41"/>
  <c r="D5" i="41"/>
  <c r="C5" i="41"/>
  <c r="B5" i="41"/>
  <c r="G4" i="41"/>
  <c r="F4" i="41"/>
  <c r="E4" i="41"/>
  <c r="D4" i="41"/>
  <c r="C4" i="41"/>
  <c r="B4" i="41"/>
  <c r="G3" i="41"/>
  <c r="F3" i="41"/>
  <c r="E3" i="41"/>
  <c r="D3" i="41"/>
  <c r="C3" i="41"/>
  <c r="B3" i="41"/>
  <c r="G2" i="41"/>
  <c r="F2" i="41"/>
  <c r="E2" i="41"/>
  <c r="D2" i="41"/>
  <c r="C2" i="41"/>
  <c r="B2" i="41"/>
  <c r="H64" i="40"/>
  <c r="H36" i="40" s="1"/>
  <c r="G63" i="40"/>
  <c r="F63" i="40"/>
  <c r="E63" i="40"/>
  <c r="D63" i="40"/>
  <c r="C63" i="40"/>
  <c r="B63" i="40"/>
  <c r="G62" i="40"/>
  <c r="F62" i="40"/>
  <c r="E62" i="40"/>
  <c r="D62" i="40"/>
  <c r="C62" i="40"/>
  <c r="B62" i="40"/>
  <c r="G61" i="40"/>
  <c r="F61" i="40"/>
  <c r="E61" i="40"/>
  <c r="D61" i="40"/>
  <c r="C61" i="40"/>
  <c r="B61" i="40"/>
  <c r="G60" i="40"/>
  <c r="F60" i="40"/>
  <c r="E60" i="40"/>
  <c r="D60" i="40"/>
  <c r="C60" i="40"/>
  <c r="B60" i="40"/>
  <c r="G59" i="40"/>
  <c r="F59" i="40"/>
  <c r="E59" i="40"/>
  <c r="D59" i="40"/>
  <c r="C59" i="40"/>
  <c r="B59" i="40"/>
  <c r="G58" i="40"/>
  <c r="F58" i="40"/>
  <c r="E58" i="40"/>
  <c r="D58" i="40"/>
  <c r="C58" i="40"/>
  <c r="B58" i="40"/>
  <c r="G57" i="40"/>
  <c r="F57" i="40"/>
  <c r="E57" i="40"/>
  <c r="D57" i="40"/>
  <c r="C57" i="40"/>
  <c r="B57" i="40"/>
  <c r="G56" i="40"/>
  <c r="F56" i="40"/>
  <c r="E56" i="40"/>
  <c r="D56" i="40"/>
  <c r="C56" i="40"/>
  <c r="B56" i="40"/>
  <c r="G55" i="40"/>
  <c r="F55" i="40"/>
  <c r="E55" i="40"/>
  <c r="D55" i="40"/>
  <c r="C55" i="40"/>
  <c r="B55" i="40"/>
  <c r="G54" i="40"/>
  <c r="F54" i="40"/>
  <c r="E54" i="40"/>
  <c r="D54" i="40"/>
  <c r="C54" i="40"/>
  <c r="B54" i="40"/>
  <c r="G53" i="40"/>
  <c r="F53" i="40"/>
  <c r="E53" i="40"/>
  <c r="D53" i="40"/>
  <c r="C53" i="40"/>
  <c r="B53" i="40"/>
  <c r="G52" i="40"/>
  <c r="F52" i="40"/>
  <c r="E52" i="40"/>
  <c r="D52" i="40"/>
  <c r="C52" i="40"/>
  <c r="B52" i="40"/>
  <c r="G51" i="40"/>
  <c r="F51" i="40"/>
  <c r="E51" i="40"/>
  <c r="D51" i="40"/>
  <c r="C51" i="40"/>
  <c r="B51" i="40"/>
  <c r="G50" i="40"/>
  <c r="F50" i="40"/>
  <c r="E50" i="40"/>
  <c r="D50" i="40"/>
  <c r="C50" i="40"/>
  <c r="B50" i="40"/>
  <c r="G49" i="40"/>
  <c r="F49" i="40"/>
  <c r="E49" i="40"/>
  <c r="D49" i="40"/>
  <c r="C49" i="40"/>
  <c r="B49" i="40"/>
  <c r="G48" i="40"/>
  <c r="F48" i="40"/>
  <c r="E48" i="40"/>
  <c r="D48" i="40"/>
  <c r="C48" i="40"/>
  <c r="B48" i="40"/>
  <c r="G47" i="40"/>
  <c r="F47" i="40"/>
  <c r="E47" i="40"/>
  <c r="D47" i="40"/>
  <c r="C47" i="40"/>
  <c r="B47" i="40"/>
  <c r="G46" i="40"/>
  <c r="F46" i="40"/>
  <c r="E46" i="40"/>
  <c r="D46" i="40"/>
  <c r="C46" i="40"/>
  <c r="B46" i="40"/>
  <c r="G45" i="40"/>
  <c r="F45" i="40"/>
  <c r="E45" i="40"/>
  <c r="D45" i="40"/>
  <c r="C45" i="40"/>
  <c r="B45" i="40"/>
  <c r="G44" i="40"/>
  <c r="F44" i="40"/>
  <c r="E44" i="40"/>
  <c r="D44" i="40"/>
  <c r="C44" i="40"/>
  <c r="B44" i="40"/>
  <c r="G43" i="40"/>
  <c r="F43" i="40"/>
  <c r="E43" i="40"/>
  <c r="D43" i="40"/>
  <c r="C43" i="40"/>
  <c r="B43" i="40"/>
  <c r="G42" i="40"/>
  <c r="F42" i="40"/>
  <c r="E42" i="40"/>
  <c r="D42" i="40"/>
  <c r="C42" i="40"/>
  <c r="B42" i="40"/>
  <c r="G41" i="40"/>
  <c r="G64" i="40" s="1"/>
  <c r="G36" i="40" s="1"/>
  <c r="F41" i="40"/>
  <c r="E41" i="40"/>
  <c r="D41" i="40"/>
  <c r="C41" i="40"/>
  <c r="B41" i="40"/>
  <c r="G40" i="40"/>
  <c r="F40" i="40"/>
  <c r="E40" i="40"/>
  <c r="D40" i="40"/>
  <c r="C40" i="40"/>
  <c r="B40" i="40"/>
  <c r="J5" i="1"/>
  <c r="F234" i="34"/>
  <c r="G393" i="32"/>
  <c r="F393" i="32"/>
  <c r="E393" i="32"/>
  <c r="D393" i="32"/>
  <c r="M393" i="32" s="1"/>
  <c r="C393" i="32"/>
  <c r="B393" i="32"/>
  <c r="G226" i="34"/>
  <c r="C226" i="34"/>
  <c r="B226" i="34"/>
  <c r="F226" i="34"/>
  <c r="E226" i="34"/>
  <c r="D226" i="34"/>
  <c r="M226" i="34" s="1"/>
  <c r="C72" i="37"/>
  <c r="B72" i="37"/>
  <c r="D72" i="37"/>
  <c r="E72" i="37"/>
  <c r="F72" i="37"/>
  <c r="G72" i="37"/>
  <c r="G19" i="37"/>
  <c r="F19" i="37"/>
  <c r="E19" i="37"/>
  <c r="D19" i="37"/>
  <c r="C19" i="37"/>
  <c r="B19" i="37"/>
  <c r="G91" i="32"/>
  <c r="F91" i="32"/>
  <c r="E91" i="32"/>
  <c r="D91" i="32"/>
  <c r="M91" i="32" s="1"/>
  <c r="C91" i="32"/>
  <c r="B91" i="32"/>
  <c r="G90" i="32"/>
  <c r="F90" i="32"/>
  <c r="E90" i="32"/>
  <c r="D90" i="32"/>
  <c r="M90" i="32" s="1"/>
  <c r="C90" i="32"/>
  <c r="B90" i="32"/>
  <c r="G40" i="39"/>
  <c r="F40" i="39"/>
  <c r="E40" i="39"/>
  <c r="C40" i="39"/>
  <c r="B40" i="39"/>
  <c r="D40" i="39"/>
  <c r="G241" i="32"/>
  <c r="F241" i="32"/>
  <c r="E241" i="32"/>
  <c r="D241" i="32"/>
  <c r="M241" i="32" s="1"/>
  <c r="C241" i="32"/>
  <c r="B241" i="32"/>
  <c r="G92" i="32"/>
  <c r="F92" i="32"/>
  <c r="E92" i="32"/>
  <c r="D92" i="32"/>
  <c r="M92" i="32" s="1"/>
  <c r="C92" i="32"/>
  <c r="B92" i="32"/>
  <c r="G39" i="37"/>
  <c r="F39" i="37"/>
  <c r="E39" i="37"/>
  <c r="D39" i="37"/>
  <c r="C39" i="37"/>
  <c r="B39" i="37"/>
  <c r="G203" i="32"/>
  <c r="F203" i="32"/>
  <c r="E203" i="32"/>
  <c r="D203" i="32"/>
  <c r="M203" i="32" s="1"/>
  <c r="C203" i="32"/>
  <c r="B203" i="32"/>
  <c r="G97" i="34"/>
  <c r="B97" i="34"/>
  <c r="F97" i="34"/>
  <c r="E97" i="34"/>
  <c r="D97" i="34"/>
  <c r="M97" i="34" s="1"/>
  <c r="C97" i="34"/>
  <c r="I14" i="34"/>
  <c r="I10" i="34"/>
  <c r="G39" i="39"/>
  <c r="F39" i="39"/>
  <c r="E39" i="39"/>
  <c r="D39" i="39"/>
  <c r="C39" i="39"/>
  <c r="B39" i="39"/>
  <c r="G20" i="39"/>
  <c r="D20" i="39"/>
  <c r="C20" i="39"/>
  <c r="B20" i="39"/>
  <c r="F20" i="39"/>
  <c r="E20" i="39"/>
  <c r="G4" i="39"/>
  <c r="D4" i="39"/>
  <c r="C4" i="39"/>
  <c r="B4" i="39"/>
  <c r="H77" i="39"/>
  <c r="H47" i="39"/>
  <c r="H48" i="39" s="1"/>
  <c r="G46" i="39"/>
  <c r="F46" i="39"/>
  <c r="E46" i="39"/>
  <c r="D46" i="39"/>
  <c r="C46" i="39"/>
  <c r="B46" i="39"/>
  <c r="G45" i="39"/>
  <c r="F45" i="39"/>
  <c r="E45" i="39"/>
  <c r="D45" i="39"/>
  <c r="C45" i="39"/>
  <c r="B45" i="39"/>
  <c r="G44" i="39"/>
  <c r="F44" i="39"/>
  <c r="E44" i="39"/>
  <c r="D44" i="39"/>
  <c r="C44" i="39"/>
  <c r="B44" i="39"/>
  <c r="G43" i="39"/>
  <c r="F43" i="39"/>
  <c r="E43" i="39"/>
  <c r="D43" i="39"/>
  <c r="C43" i="39"/>
  <c r="B43" i="39"/>
  <c r="G42" i="39"/>
  <c r="F42" i="39"/>
  <c r="E42" i="39"/>
  <c r="D42" i="39"/>
  <c r="C42" i="39"/>
  <c r="B42" i="39"/>
  <c r="G41" i="39"/>
  <c r="F41" i="39"/>
  <c r="E41" i="39"/>
  <c r="D41" i="39"/>
  <c r="C41" i="39"/>
  <c r="B41" i="39"/>
  <c r="G38" i="39"/>
  <c r="F38" i="39"/>
  <c r="E38" i="39"/>
  <c r="D38" i="39"/>
  <c r="C38" i="39"/>
  <c r="B38" i="39"/>
  <c r="G37" i="39"/>
  <c r="F37" i="39"/>
  <c r="E37" i="39"/>
  <c r="D37" i="39"/>
  <c r="C37" i="39"/>
  <c r="B37" i="39"/>
  <c r="G36" i="39"/>
  <c r="F36" i="39"/>
  <c r="E36" i="39"/>
  <c r="D36" i="39"/>
  <c r="C36" i="39"/>
  <c r="B36" i="39"/>
  <c r="G35" i="39"/>
  <c r="F35" i="39"/>
  <c r="E35" i="39"/>
  <c r="D35" i="39"/>
  <c r="C35" i="39"/>
  <c r="B35" i="39"/>
  <c r="G34" i="39"/>
  <c r="F34" i="39"/>
  <c r="E34" i="39"/>
  <c r="D34" i="39"/>
  <c r="C34" i="39"/>
  <c r="B34" i="39"/>
  <c r="G33" i="39"/>
  <c r="F33" i="39"/>
  <c r="E33" i="39"/>
  <c r="D33" i="39"/>
  <c r="C33" i="39"/>
  <c r="B33" i="39"/>
  <c r="G32" i="39"/>
  <c r="F32" i="39"/>
  <c r="E32" i="39"/>
  <c r="D32" i="39"/>
  <c r="C32" i="39"/>
  <c r="B32" i="39"/>
  <c r="G31" i="39"/>
  <c r="F31" i="39"/>
  <c r="E31" i="39"/>
  <c r="D31" i="39"/>
  <c r="C31" i="39"/>
  <c r="B31" i="39"/>
  <c r="G30" i="39"/>
  <c r="F30" i="39"/>
  <c r="E30" i="39"/>
  <c r="D30" i="39"/>
  <c r="C30" i="39"/>
  <c r="B30" i="39"/>
  <c r="G29" i="39"/>
  <c r="F29" i="39"/>
  <c r="E29" i="39"/>
  <c r="D29" i="39"/>
  <c r="C29" i="39"/>
  <c r="B29" i="39"/>
  <c r="G28" i="39"/>
  <c r="F28" i="39"/>
  <c r="E28" i="39"/>
  <c r="D28" i="39"/>
  <c r="C28" i="39"/>
  <c r="B28" i="39"/>
  <c r="G27" i="39"/>
  <c r="F27" i="39"/>
  <c r="E27" i="39"/>
  <c r="D27" i="39"/>
  <c r="C27" i="39"/>
  <c r="B27" i="39"/>
  <c r="G21" i="39"/>
  <c r="F21" i="39"/>
  <c r="E21" i="39"/>
  <c r="D21" i="39"/>
  <c r="C21" i="39"/>
  <c r="B21" i="39"/>
  <c r="G19" i="39"/>
  <c r="F19" i="39"/>
  <c r="E19" i="39"/>
  <c r="D19" i="39"/>
  <c r="C19" i="39"/>
  <c r="B19" i="39"/>
  <c r="G17" i="39"/>
  <c r="F17" i="39"/>
  <c r="E17" i="39"/>
  <c r="D17" i="39"/>
  <c r="C17" i="39"/>
  <c r="B17" i="39"/>
  <c r="G16" i="39"/>
  <c r="F16" i="39"/>
  <c r="E16" i="39"/>
  <c r="D16" i="39"/>
  <c r="C16" i="39"/>
  <c r="B16" i="39"/>
  <c r="G15" i="39"/>
  <c r="F15" i="39"/>
  <c r="E15" i="39"/>
  <c r="D15" i="39"/>
  <c r="C15" i="39"/>
  <c r="B15" i="39"/>
  <c r="G14" i="39"/>
  <c r="F14" i="39"/>
  <c r="E14" i="39"/>
  <c r="D14" i="39"/>
  <c r="C14" i="39"/>
  <c r="B14" i="39"/>
  <c r="G13" i="39"/>
  <c r="F13" i="39"/>
  <c r="E13" i="39"/>
  <c r="D13" i="39"/>
  <c r="C13" i="39"/>
  <c r="B13" i="39"/>
  <c r="G11" i="39"/>
  <c r="F11" i="39"/>
  <c r="E11" i="39"/>
  <c r="D11" i="39"/>
  <c r="C11" i="39"/>
  <c r="B11" i="39"/>
  <c r="G10" i="39"/>
  <c r="F10" i="39"/>
  <c r="E10" i="39"/>
  <c r="D10" i="39"/>
  <c r="C10" i="39"/>
  <c r="B10" i="39"/>
  <c r="G9" i="39"/>
  <c r="F9" i="39"/>
  <c r="E9" i="39"/>
  <c r="D9" i="39"/>
  <c r="C9" i="39"/>
  <c r="B9" i="39"/>
  <c r="G8" i="39"/>
  <c r="F8" i="39"/>
  <c r="E8" i="39"/>
  <c r="D8" i="39"/>
  <c r="C8" i="39"/>
  <c r="B8" i="39"/>
  <c r="G7" i="39"/>
  <c r="F7" i="39"/>
  <c r="E7" i="39"/>
  <c r="D7" i="39"/>
  <c r="C7" i="39"/>
  <c r="B7" i="39"/>
  <c r="F4" i="39"/>
  <c r="E4" i="39"/>
  <c r="G2" i="39"/>
  <c r="F2" i="39"/>
  <c r="E2" i="39"/>
  <c r="D2" i="39"/>
  <c r="C2" i="39"/>
  <c r="B2" i="39"/>
  <c r="M244" i="34"/>
  <c r="L244" i="34" s="1"/>
  <c r="G76" i="9"/>
  <c r="F76" i="9"/>
  <c r="E76" i="9"/>
  <c r="D76" i="9"/>
  <c r="C76" i="9"/>
  <c r="B76" i="9"/>
  <c r="J3" i="1"/>
  <c r="J4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G221" i="32"/>
  <c r="F221" i="32"/>
  <c r="E221" i="32"/>
  <c r="D221" i="32"/>
  <c r="M221" i="32" s="1"/>
  <c r="C221" i="32"/>
  <c r="B221" i="32"/>
  <c r="G96" i="32"/>
  <c r="F96" i="32"/>
  <c r="E96" i="32"/>
  <c r="D96" i="32"/>
  <c r="M96" i="32" s="1"/>
  <c r="C96" i="32"/>
  <c r="B96" i="32"/>
  <c r="G95" i="32"/>
  <c r="F95" i="32"/>
  <c r="E95" i="32"/>
  <c r="D95" i="32"/>
  <c r="M95" i="32" s="1"/>
  <c r="C95" i="32"/>
  <c r="B95" i="32"/>
  <c r="G249" i="32"/>
  <c r="F249" i="32"/>
  <c r="E249" i="32"/>
  <c r="D249" i="32"/>
  <c r="M249" i="32" s="1"/>
  <c r="C249" i="32"/>
  <c r="B249" i="32"/>
  <c r="G254" i="32"/>
  <c r="F254" i="32"/>
  <c r="E254" i="32"/>
  <c r="D254" i="32"/>
  <c r="M254" i="32" s="1"/>
  <c r="C254" i="32"/>
  <c r="B254" i="32"/>
  <c r="G253" i="32"/>
  <c r="F253" i="32"/>
  <c r="E253" i="32"/>
  <c r="D253" i="32"/>
  <c r="M253" i="32" s="1"/>
  <c r="C253" i="32"/>
  <c r="B253" i="32"/>
  <c r="G125" i="32"/>
  <c r="F125" i="32"/>
  <c r="E125" i="32"/>
  <c r="D125" i="32"/>
  <c r="M125" i="32" s="1"/>
  <c r="C125" i="32"/>
  <c r="B125" i="32"/>
  <c r="G49" i="7"/>
  <c r="F49" i="7"/>
  <c r="E49" i="7"/>
  <c r="D49" i="7"/>
  <c r="C49" i="7"/>
  <c r="B49" i="7"/>
  <c r="G51" i="6"/>
  <c r="F51" i="6"/>
  <c r="E51" i="6"/>
  <c r="D51" i="6"/>
  <c r="C51" i="6"/>
  <c r="B51" i="6"/>
  <c r="G37" i="37"/>
  <c r="F37" i="37"/>
  <c r="E37" i="37"/>
  <c r="D37" i="37"/>
  <c r="C37" i="37"/>
  <c r="B37" i="37"/>
  <c r="G89" i="32"/>
  <c r="F89" i="32"/>
  <c r="E89" i="32"/>
  <c r="D89" i="32"/>
  <c r="M89" i="32" s="1"/>
  <c r="C89" i="32"/>
  <c r="B89" i="32"/>
  <c r="G168" i="32"/>
  <c r="F168" i="32"/>
  <c r="E168" i="32"/>
  <c r="D168" i="32"/>
  <c r="M168" i="32" s="1"/>
  <c r="C168" i="32"/>
  <c r="B168" i="32"/>
  <c r="G167" i="32"/>
  <c r="F167" i="32"/>
  <c r="E167" i="32"/>
  <c r="D167" i="32"/>
  <c r="M167" i="32" s="1"/>
  <c r="C167" i="32"/>
  <c r="B167" i="32"/>
  <c r="G38" i="13"/>
  <c r="F38" i="13"/>
  <c r="E38" i="13"/>
  <c r="D38" i="13"/>
  <c r="C38" i="13"/>
  <c r="B38" i="13"/>
  <c r="H24" i="8"/>
  <c r="G50" i="8"/>
  <c r="F50" i="8"/>
  <c r="E50" i="8"/>
  <c r="D50" i="8"/>
  <c r="C50" i="8"/>
  <c r="B50" i="8"/>
  <c r="G49" i="8"/>
  <c r="F49" i="8"/>
  <c r="E49" i="8"/>
  <c r="D49" i="8"/>
  <c r="C49" i="8"/>
  <c r="B49" i="8"/>
  <c r="G48" i="8"/>
  <c r="F48" i="8"/>
  <c r="E48" i="8"/>
  <c r="D48" i="8"/>
  <c r="C48" i="8"/>
  <c r="B48" i="8"/>
  <c r="G47" i="8"/>
  <c r="F47" i="8"/>
  <c r="E47" i="8"/>
  <c r="D47" i="8"/>
  <c r="C47" i="8"/>
  <c r="B47" i="8"/>
  <c r="G46" i="8"/>
  <c r="F46" i="8"/>
  <c r="E46" i="8"/>
  <c r="D46" i="8"/>
  <c r="C46" i="8"/>
  <c r="B46" i="8"/>
  <c r="G45" i="8"/>
  <c r="F45" i="8"/>
  <c r="E45" i="8"/>
  <c r="D45" i="8"/>
  <c r="C45" i="8"/>
  <c r="B45" i="8"/>
  <c r="G44" i="8"/>
  <c r="F44" i="8"/>
  <c r="E44" i="8"/>
  <c r="D44" i="8"/>
  <c r="C44" i="8"/>
  <c r="B44" i="8"/>
  <c r="G43" i="8"/>
  <c r="F43" i="8"/>
  <c r="E43" i="8"/>
  <c r="D43" i="8"/>
  <c r="C43" i="8"/>
  <c r="B43" i="8"/>
  <c r="G42" i="8"/>
  <c r="F42" i="8"/>
  <c r="E42" i="8"/>
  <c r="D42" i="8"/>
  <c r="C42" i="8"/>
  <c r="B42" i="8"/>
  <c r="G41" i="8"/>
  <c r="F41" i="8"/>
  <c r="E41" i="8"/>
  <c r="D41" i="8"/>
  <c r="C41" i="8"/>
  <c r="B41" i="8"/>
  <c r="G40" i="8"/>
  <c r="F40" i="8"/>
  <c r="E40" i="8"/>
  <c r="D40" i="8"/>
  <c r="C40" i="8"/>
  <c r="B40" i="8"/>
  <c r="G39" i="8"/>
  <c r="F39" i="8"/>
  <c r="E39" i="8"/>
  <c r="D39" i="8"/>
  <c r="C39" i="8"/>
  <c r="B39" i="8"/>
  <c r="G38" i="8"/>
  <c r="F38" i="8"/>
  <c r="E38" i="8"/>
  <c r="D38" i="8"/>
  <c r="C38" i="8"/>
  <c r="B38" i="8"/>
  <c r="G37" i="8"/>
  <c r="F37" i="8"/>
  <c r="E37" i="8"/>
  <c r="D37" i="8"/>
  <c r="C37" i="8"/>
  <c r="B37" i="8"/>
  <c r="G36" i="8"/>
  <c r="F36" i="8"/>
  <c r="E36" i="8"/>
  <c r="D36" i="8"/>
  <c r="C36" i="8"/>
  <c r="B36" i="8"/>
  <c r="G35" i="8"/>
  <c r="F35" i="8"/>
  <c r="E35" i="8"/>
  <c r="D35" i="8"/>
  <c r="C35" i="8"/>
  <c r="B35" i="8"/>
  <c r="G34" i="8"/>
  <c r="F34" i="8"/>
  <c r="E34" i="8"/>
  <c r="D34" i="8"/>
  <c r="C34" i="8"/>
  <c r="B34" i="8"/>
  <c r="G33" i="8"/>
  <c r="F33" i="8"/>
  <c r="E33" i="8"/>
  <c r="D33" i="8"/>
  <c r="C33" i="8"/>
  <c r="B33" i="8"/>
  <c r="G32" i="8"/>
  <c r="F32" i="8"/>
  <c r="E32" i="8"/>
  <c r="D32" i="8"/>
  <c r="C32" i="8"/>
  <c r="B32" i="8"/>
  <c r="G31" i="8"/>
  <c r="F31" i="8"/>
  <c r="E31" i="8"/>
  <c r="D31" i="8"/>
  <c r="C31" i="8"/>
  <c r="B31" i="8"/>
  <c r="G30" i="8"/>
  <c r="F30" i="8"/>
  <c r="E30" i="8"/>
  <c r="D30" i="8"/>
  <c r="C30" i="8"/>
  <c r="B30" i="8"/>
  <c r="G29" i="8"/>
  <c r="F29" i="8"/>
  <c r="E29" i="8"/>
  <c r="D29" i="8"/>
  <c r="C29" i="8"/>
  <c r="B29" i="8"/>
  <c r="G28" i="8"/>
  <c r="F28" i="8"/>
  <c r="E28" i="8"/>
  <c r="D28" i="8"/>
  <c r="D51" i="8" s="1"/>
  <c r="D23" i="8" s="1"/>
  <c r="C28" i="8"/>
  <c r="B28" i="8"/>
  <c r="G27" i="8"/>
  <c r="G51" i="8" s="1"/>
  <c r="G23" i="8" s="1"/>
  <c r="F27" i="8"/>
  <c r="F51" i="8" s="1"/>
  <c r="F23" i="8" s="1"/>
  <c r="E27" i="8"/>
  <c r="D27" i="8"/>
  <c r="C27" i="8"/>
  <c r="C51" i="8" s="1"/>
  <c r="C23" i="8" s="1"/>
  <c r="B27" i="8"/>
  <c r="B51" i="8" s="1"/>
  <c r="B23" i="8" s="1"/>
  <c r="G174" i="32"/>
  <c r="F174" i="32"/>
  <c r="E174" i="32"/>
  <c r="D174" i="32"/>
  <c r="M174" i="32" s="1"/>
  <c r="C174" i="32"/>
  <c r="B174" i="32"/>
  <c r="G14" i="1"/>
  <c r="F14" i="1"/>
  <c r="E14" i="1"/>
  <c r="D14" i="1"/>
  <c r="C14" i="1"/>
  <c r="B14" i="1"/>
  <c r="K248" i="34"/>
  <c r="G24" i="37"/>
  <c r="F24" i="37"/>
  <c r="E24" i="37"/>
  <c r="D24" i="37"/>
  <c r="C24" i="37"/>
  <c r="B24" i="37"/>
  <c r="G23" i="37"/>
  <c r="F23" i="37"/>
  <c r="E23" i="37"/>
  <c r="D23" i="37"/>
  <c r="C23" i="37"/>
  <c r="B23" i="37"/>
  <c r="G61" i="37"/>
  <c r="F61" i="37"/>
  <c r="E61" i="37"/>
  <c r="D61" i="37"/>
  <c r="C61" i="37"/>
  <c r="B61" i="37"/>
  <c r="G21" i="37"/>
  <c r="F21" i="37"/>
  <c r="E21" i="37"/>
  <c r="D21" i="37"/>
  <c r="C21" i="37"/>
  <c r="B21" i="37"/>
  <c r="G20" i="37"/>
  <c r="F20" i="37"/>
  <c r="E20" i="37"/>
  <c r="D20" i="37"/>
  <c r="C20" i="37"/>
  <c r="B20" i="37"/>
  <c r="C2" i="40"/>
  <c r="F2" i="40"/>
  <c r="C77" i="39"/>
  <c r="C39" i="42" s="1"/>
  <c r="C40" i="42" s="1"/>
  <c r="C10" i="32" s="1"/>
  <c r="G77" i="39"/>
  <c r="G47" i="39" s="1"/>
  <c r="E77" i="39"/>
  <c r="E47" i="41" s="1"/>
  <c r="G119" i="34"/>
  <c r="F119" i="34"/>
  <c r="E119" i="34"/>
  <c r="D119" i="34"/>
  <c r="M119" i="34" s="1"/>
  <c r="C119" i="34"/>
  <c r="B119" i="34"/>
  <c r="G262" i="32"/>
  <c r="D262" i="32"/>
  <c r="M262" i="32" s="1"/>
  <c r="C262" i="32"/>
  <c r="B262" i="32"/>
  <c r="F262" i="32"/>
  <c r="E262" i="32"/>
  <c r="D261" i="32"/>
  <c r="M261" i="32" s="1"/>
  <c r="E261" i="32"/>
  <c r="F261" i="32"/>
  <c r="G261" i="32"/>
  <c r="B261" i="32"/>
  <c r="C261" i="32"/>
  <c r="H74" i="37"/>
  <c r="H45" i="37" s="1"/>
  <c r="H46" i="37" s="1"/>
  <c r="G73" i="37"/>
  <c r="F73" i="37"/>
  <c r="E73" i="37"/>
  <c r="D73" i="37"/>
  <c r="C73" i="37"/>
  <c r="B73" i="37"/>
  <c r="G71" i="37"/>
  <c r="F71" i="37"/>
  <c r="E71" i="37"/>
  <c r="D71" i="37"/>
  <c r="C71" i="37"/>
  <c r="B71" i="37"/>
  <c r="G70" i="37"/>
  <c r="F70" i="37"/>
  <c r="E70" i="37"/>
  <c r="D70" i="37"/>
  <c r="C70" i="37"/>
  <c r="B70" i="37"/>
  <c r="G69" i="37"/>
  <c r="F69" i="37"/>
  <c r="E69" i="37"/>
  <c r="D69" i="37"/>
  <c r="C69" i="37"/>
  <c r="B69" i="37"/>
  <c r="G68" i="37"/>
  <c r="F68" i="37"/>
  <c r="E68" i="37"/>
  <c r="D68" i="37"/>
  <c r="C68" i="37"/>
  <c r="B68" i="37"/>
  <c r="G67" i="37"/>
  <c r="F67" i="37"/>
  <c r="E67" i="37"/>
  <c r="D67" i="37"/>
  <c r="C67" i="37"/>
  <c r="B67" i="37"/>
  <c r="G66" i="37"/>
  <c r="F66" i="37"/>
  <c r="E66" i="37"/>
  <c r="D66" i="37"/>
  <c r="C66" i="37"/>
  <c r="B66" i="37"/>
  <c r="G65" i="37"/>
  <c r="F65" i="37"/>
  <c r="E65" i="37"/>
  <c r="D65" i="37"/>
  <c r="C65" i="37"/>
  <c r="B65" i="37"/>
  <c r="G64" i="37"/>
  <c r="F64" i="37"/>
  <c r="E64" i="37"/>
  <c r="D64" i="37"/>
  <c r="C64" i="37"/>
  <c r="B64" i="37"/>
  <c r="G63" i="37"/>
  <c r="F63" i="37"/>
  <c r="E63" i="37"/>
  <c r="D63" i="37"/>
  <c r="C63" i="37"/>
  <c r="B63" i="37"/>
  <c r="G62" i="37"/>
  <c r="F62" i="37"/>
  <c r="E62" i="37"/>
  <c r="D62" i="37"/>
  <c r="C62" i="37"/>
  <c r="B62" i="37"/>
  <c r="G60" i="37"/>
  <c r="F60" i="37"/>
  <c r="E60" i="37"/>
  <c r="D60" i="37"/>
  <c r="C60" i="37"/>
  <c r="B60" i="37"/>
  <c r="G59" i="37"/>
  <c r="F59" i="37"/>
  <c r="E59" i="37"/>
  <c r="D59" i="37"/>
  <c r="C59" i="37"/>
  <c r="B59" i="37"/>
  <c r="G58" i="37"/>
  <c r="F58" i="37"/>
  <c r="E58" i="37"/>
  <c r="D58" i="37"/>
  <c r="C58" i="37"/>
  <c r="B58" i="37"/>
  <c r="G57" i="37"/>
  <c r="F57" i="37"/>
  <c r="E57" i="37"/>
  <c r="D57" i="37"/>
  <c r="C57" i="37"/>
  <c r="B57" i="37"/>
  <c r="G56" i="37"/>
  <c r="F56" i="37"/>
  <c r="E56" i="37"/>
  <c r="D56" i="37"/>
  <c r="C56" i="37"/>
  <c r="B56" i="37"/>
  <c r="G55" i="37"/>
  <c r="F55" i="37"/>
  <c r="E55" i="37"/>
  <c r="D55" i="37"/>
  <c r="C55" i="37"/>
  <c r="B55" i="37"/>
  <c r="G54" i="37"/>
  <c r="F54" i="37"/>
  <c r="E54" i="37"/>
  <c r="D54" i="37"/>
  <c r="C54" i="37"/>
  <c r="B54" i="37"/>
  <c r="G53" i="37"/>
  <c r="F53" i="37"/>
  <c r="E53" i="37"/>
  <c r="D53" i="37"/>
  <c r="C53" i="37"/>
  <c r="B53" i="37"/>
  <c r="G52" i="37"/>
  <c r="F52" i="37"/>
  <c r="E52" i="37"/>
  <c r="D52" i="37"/>
  <c r="C52" i="37"/>
  <c r="B52" i="37"/>
  <c r="G51" i="37"/>
  <c r="F51" i="37"/>
  <c r="E51" i="37"/>
  <c r="D51" i="37"/>
  <c r="C51" i="37"/>
  <c r="B51" i="37"/>
  <c r="G50" i="37"/>
  <c r="F50" i="37"/>
  <c r="E50" i="37"/>
  <c r="D50" i="37"/>
  <c r="C50" i="37"/>
  <c r="B50" i="37"/>
  <c r="G49" i="37"/>
  <c r="G74" i="37" s="1"/>
  <c r="G45" i="37" s="1"/>
  <c r="F49" i="37"/>
  <c r="E49" i="37"/>
  <c r="D49" i="37"/>
  <c r="C49" i="37"/>
  <c r="B49" i="37"/>
  <c r="G44" i="37"/>
  <c r="F44" i="37"/>
  <c r="E44" i="37"/>
  <c r="D44" i="37"/>
  <c r="C44" i="37"/>
  <c r="B44" i="37"/>
  <c r="G43" i="37"/>
  <c r="F43" i="37"/>
  <c r="E43" i="37"/>
  <c r="D43" i="37"/>
  <c r="C43" i="37"/>
  <c r="B43" i="37"/>
  <c r="G42" i="37"/>
  <c r="F42" i="37"/>
  <c r="E42" i="37"/>
  <c r="D42" i="37"/>
  <c r="C42" i="37"/>
  <c r="B42" i="37"/>
  <c r="G41" i="37"/>
  <c r="F41" i="37"/>
  <c r="E41" i="37"/>
  <c r="D41" i="37"/>
  <c r="C41" i="37"/>
  <c r="B41" i="37"/>
  <c r="G40" i="37"/>
  <c r="F40" i="37"/>
  <c r="E40" i="37"/>
  <c r="D40" i="37"/>
  <c r="C40" i="37"/>
  <c r="B40" i="37"/>
  <c r="G36" i="37"/>
  <c r="F36" i="37"/>
  <c r="E36" i="37"/>
  <c r="D36" i="37"/>
  <c r="C36" i="37"/>
  <c r="B36" i="37"/>
  <c r="G35" i="37"/>
  <c r="F35" i="37"/>
  <c r="E35" i="37"/>
  <c r="D35" i="37"/>
  <c r="C35" i="37"/>
  <c r="B35" i="37"/>
  <c r="G34" i="37"/>
  <c r="F34" i="37"/>
  <c r="E34" i="37"/>
  <c r="D34" i="37"/>
  <c r="C34" i="37"/>
  <c r="B34" i="37"/>
  <c r="G33" i="37"/>
  <c r="F33" i="37"/>
  <c r="E33" i="37"/>
  <c r="D33" i="37"/>
  <c r="C33" i="37"/>
  <c r="B33" i="37"/>
  <c r="G32" i="37"/>
  <c r="F32" i="37"/>
  <c r="E32" i="37"/>
  <c r="D32" i="37"/>
  <c r="C32" i="37"/>
  <c r="B32" i="37"/>
  <c r="G31" i="37"/>
  <c r="F31" i="37"/>
  <c r="E31" i="37"/>
  <c r="D31" i="37"/>
  <c r="C31" i="37"/>
  <c r="B31" i="37"/>
  <c r="G30" i="37"/>
  <c r="F30" i="37"/>
  <c r="E30" i="37"/>
  <c r="D30" i="37"/>
  <c r="C30" i="37"/>
  <c r="B30" i="37"/>
  <c r="G29" i="37"/>
  <c r="F29" i="37"/>
  <c r="E29" i="37"/>
  <c r="D29" i="37"/>
  <c r="C29" i="37"/>
  <c r="B29" i="37"/>
  <c r="G28" i="37"/>
  <c r="F28" i="37"/>
  <c r="E28" i="37"/>
  <c r="D28" i="37"/>
  <c r="C28" i="37"/>
  <c r="B28" i="37"/>
  <c r="G27" i="37"/>
  <c r="F27" i="37"/>
  <c r="E27" i="37"/>
  <c r="D27" i="37"/>
  <c r="C27" i="37"/>
  <c r="B27" i="37"/>
  <c r="G26" i="37"/>
  <c r="F26" i="37"/>
  <c r="E26" i="37"/>
  <c r="D26" i="37"/>
  <c r="C26" i="37"/>
  <c r="B26" i="37"/>
  <c r="G25" i="37"/>
  <c r="F25" i="37"/>
  <c r="E25" i="37"/>
  <c r="D25" i="37"/>
  <c r="C25" i="37"/>
  <c r="B25" i="37"/>
  <c r="G18" i="37"/>
  <c r="F18" i="37"/>
  <c r="E18" i="37"/>
  <c r="D18" i="37"/>
  <c r="C18" i="37"/>
  <c r="B18" i="37"/>
  <c r="G17" i="37"/>
  <c r="F17" i="37"/>
  <c r="E17" i="37"/>
  <c r="D17" i="37"/>
  <c r="C17" i="37"/>
  <c r="B17" i="37"/>
  <c r="G16" i="37"/>
  <c r="F16" i="37"/>
  <c r="E16" i="37"/>
  <c r="D16" i="37"/>
  <c r="C16" i="37"/>
  <c r="B16" i="37"/>
  <c r="G15" i="37"/>
  <c r="F15" i="37"/>
  <c r="E15" i="37"/>
  <c r="D15" i="37"/>
  <c r="C15" i="37"/>
  <c r="B15" i="37"/>
  <c r="G14" i="37"/>
  <c r="F14" i="37"/>
  <c r="E14" i="37"/>
  <c r="D14" i="37"/>
  <c r="C14" i="37"/>
  <c r="B14" i="37"/>
  <c r="G13" i="37"/>
  <c r="F13" i="37"/>
  <c r="E13" i="37"/>
  <c r="D13" i="37"/>
  <c r="C13" i="37"/>
  <c r="B13" i="37"/>
  <c r="G12" i="37"/>
  <c r="F12" i="37"/>
  <c r="E12" i="37"/>
  <c r="D12" i="37"/>
  <c r="C12" i="37"/>
  <c r="B12" i="37"/>
  <c r="G11" i="37"/>
  <c r="F11" i="37"/>
  <c r="E11" i="37"/>
  <c r="D11" i="37"/>
  <c r="C11" i="37"/>
  <c r="B11" i="37"/>
  <c r="G7" i="37"/>
  <c r="F7" i="37"/>
  <c r="E7" i="37"/>
  <c r="D7" i="37"/>
  <c r="C7" i="37"/>
  <c r="B7" i="37"/>
  <c r="G6" i="37"/>
  <c r="F6" i="37"/>
  <c r="E6" i="37"/>
  <c r="D6" i="37"/>
  <c r="C6" i="37"/>
  <c r="B6" i="37"/>
  <c r="G5" i="37"/>
  <c r="F5" i="37"/>
  <c r="E5" i="37"/>
  <c r="D5" i="37"/>
  <c r="C5" i="37"/>
  <c r="B5" i="37"/>
  <c r="G4" i="37"/>
  <c r="F4" i="37"/>
  <c r="E4" i="37"/>
  <c r="D4" i="37"/>
  <c r="C4" i="37"/>
  <c r="B4" i="37"/>
  <c r="G3" i="37"/>
  <c r="F3" i="37"/>
  <c r="E3" i="37"/>
  <c r="D3" i="37"/>
  <c r="C3" i="37"/>
  <c r="B3" i="37"/>
  <c r="G2" i="37"/>
  <c r="F2" i="37"/>
  <c r="E2" i="37"/>
  <c r="D2" i="37"/>
  <c r="C2" i="37"/>
  <c r="B2" i="37"/>
  <c r="G80" i="34"/>
  <c r="F80" i="34"/>
  <c r="E80" i="34"/>
  <c r="D80" i="34"/>
  <c r="M80" i="34" s="1"/>
  <c r="C80" i="34"/>
  <c r="B80" i="34"/>
  <c r="E148" i="32"/>
  <c r="D148" i="32"/>
  <c r="M148" i="32" s="1"/>
  <c r="F148" i="32"/>
  <c r="G148" i="32"/>
  <c r="C148" i="32"/>
  <c r="B148" i="32"/>
  <c r="L148" i="32" s="1"/>
  <c r="G104" i="32"/>
  <c r="F104" i="32"/>
  <c r="E104" i="32"/>
  <c r="D104" i="32"/>
  <c r="M104" i="32" s="1"/>
  <c r="C104" i="32"/>
  <c r="B104" i="32"/>
  <c r="C64" i="34"/>
  <c r="B64" i="34"/>
  <c r="G64" i="34"/>
  <c r="F64" i="34"/>
  <c r="E64" i="34"/>
  <c r="D64" i="34"/>
  <c r="M64" i="34" s="1"/>
  <c r="G114" i="34"/>
  <c r="F114" i="34"/>
  <c r="E114" i="34"/>
  <c r="D114" i="34"/>
  <c r="M114" i="34" s="1"/>
  <c r="C114" i="34"/>
  <c r="B114" i="34"/>
  <c r="G399" i="32"/>
  <c r="F399" i="32"/>
  <c r="E399" i="32"/>
  <c r="D399" i="32"/>
  <c r="M399" i="32" s="1"/>
  <c r="C399" i="32"/>
  <c r="B399" i="32"/>
  <c r="G96" i="34"/>
  <c r="F96" i="34"/>
  <c r="E96" i="34"/>
  <c r="D96" i="34"/>
  <c r="M96" i="34" s="1"/>
  <c r="C96" i="34"/>
  <c r="B96" i="34"/>
  <c r="G202" i="32"/>
  <c r="F202" i="32"/>
  <c r="E202" i="32"/>
  <c r="D202" i="32"/>
  <c r="M202" i="32" s="1"/>
  <c r="C202" i="32"/>
  <c r="B202" i="32"/>
  <c r="G201" i="32"/>
  <c r="F201" i="32"/>
  <c r="E201" i="32"/>
  <c r="D201" i="32"/>
  <c r="M201" i="32" s="1"/>
  <c r="C201" i="32"/>
  <c r="B201" i="32"/>
  <c r="G200" i="32"/>
  <c r="F200" i="32"/>
  <c r="E200" i="32"/>
  <c r="D200" i="32"/>
  <c r="M200" i="32" s="1"/>
  <c r="C200" i="32"/>
  <c r="B200" i="32"/>
  <c r="G11" i="11"/>
  <c r="F11" i="11"/>
  <c r="E11" i="11"/>
  <c r="D11" i="11"/>
  <c r="C11" i="11"/>
  <c r="B11" i="11"/>
  <c r="G94" i="34"/>
  <c r="G95" i="34"/>
  <c r="C95" i="34"/>
  <c r="F95" i="34"/>
  <c r="E95" i="34"/>
  <c r="D95" i="34"/>
  <c r="M95" i="34" s="1"/>
  <c r="B95" i="34"/>
  <c r="F94" i="34"/>
  <c r="E94" i="34"/>
  <c r="D94" i="34"/>
  <c r="M94" i="34" s="1"/>
  <c r="C94" i="34"/>
  <c r="B94" i="34"/>
  <c r="G9" i="11"/>
  <c r="F9" i="11"/>
  <c r="D9" i="11"/>
  <c r="C9" i="11"/>
  <c r="G37" i="24"/>
  <c r="F37" i="24"/>
  <c r="E37" i="24"/>
  <c r="D37" i="24"/>
  <c r="C37" i="24"/>
  <c r="B37" i="24"/>
  <c r="G44" i="11"/>
  <c r="F44" i="11"/>
  <c r="E44" i="11"/>
  <c r="D44" i="11"/>
  <c r="C44" i="11"/>
  <c r="B44" i="11"/>
  <c r="E9" i="11"/>
  <c r="B9" i="11"/>
  <c r="F3" i="11"/>
  <c r="E3" i="11"/>
  <c r="C3" i="11"/>
  <c r="B3" i="11"/>
  <c r="G3" i="11"/>
  <c r="D3" i="11"/>
  <c r="G222" i="32"/>
  <c r="F222" i="32"/>
  <c r="E222" i="32"/>
  <c r="D222" i="32"/>
  <c r="M222" i="32" s="1"/>
  <c r="C222" i="32"/>
  <c r="B222" i="32"/>
  <c r="B427" i="32"/>
  <c r="G38" i="24"/>
  <c r="F38" i="24"/>
  <c r="E38" i="24"/>
  <c r="C38" i="24"/>
  <c r="B38" i="24"/>
  <c r="D38" i="24"/>
  <c r="G215" i="32"/>
  <c r="F215" i="32"/>
  <c r="E215" i="32"/>
  <c r="D215" i="32"/>
  <c r="M215" i="32" s="1"/>
  <c r="C215" i="32"/>
  <c r="B215" i="32"/>
  <c r="G214" i="32"/>
  <c r="F214" i="32"/>
  <c r="E214" i="32"/>
  <c r="D214" i="32"/>
  <c r="M214" i="32" s="1"/>
  <c r="C214" i="32"/>
  <c r="B214" i="32"/>
  <c r="G106" i="34"/>
  <c r="F106" i="34"/>
  <c r="E106" i="34"/>
  <c r="D106" i="34"/>
  <c r="M106" i="34" s="1"/>
  <c r="C106" i="34"/>
  <c r="B106" i="34"/>
  <c r="G105" i="34"/>
  <c r="F105" i="34"/>
  <c r="E105" i="34"/>
  <c r="D105" i="34"/>
  <c r="M105" i="34" s="1"/>
  <c r="C105" i="34"/>
  <c r="B105" i="34"/>
  <c r="C54" i="9"/>
  <c r="B54" i="9"/>
  <c r="G54" i="9"/>
  <c r="F54" i="9"/>
  <c r="E54" i="9"/>
  <c r="D54" i="9"/>
  <c r="E16" i="24"/>
  <c r="F12" i="6"/>
  <c r="E53" i="9"/>
  <c r="D53" i="9"/>
  <c r="C53" i="9"/>
  <c r="B53" i="9"/>
  <c r="G53" i="9"/>
  <c r="F53" i="9"/>
  <c r="G112" i="32"/>
  <c r="F112" i="32"/>
  <c r="E112" i="32"/>
  <c r="D112" i="32"/>
  <c r="M112" i="32" s="1"/>
  <c r="C112" i="32"/>
  <c r="B112" i="32"/>
  <c r="G111" i="32"/>
  <c r="F111" i="32"/>
  <c r="E111" i="32"/>
  <c r="D111" i="32"/>
  <c r="M111" i="32" s="1"/>
  <c r="C111" i="32"/>
  <c r="B111" i="32"/>
  <c r="G12" i="6"/>
  <c r="C12" i="6"/>
  <c r="B12" i="6"/>
  <c r="G341" i="32"/>
  <c r="F341" i="32"/>
  <c r="E341" i="32"/>
  <c r="D341" i="32"/>
  <c r="M341" i="32" s="1"/>
  <c r="C341" i="32"/>
  <c r="B341" i="32"/>
  <c r="G216" i="34"/>
  <c r="F216" i="34"/>
  <c r="E216" i="34"/>
  <c r="D216" i="34"/>
  <c r="M216" i="34" s="1"/>
  <c r="C216" i="34"/>
  <c r="B216" i="34"/>
  <c r="G404" i="32"/>
  <c r="F404" i="32"/>
  <c r="E404" i="32"/>
  <c r="D404" i="32"/>
  <c r="M404" i="32" s="1"/>
  <c r="C404" i="32"/>
  <c r="B404" i="32"/>
  <c r="G237" i="34"/>
  <c r="F237" i="34"/>
  <c r="E237" i="34"/>
  <c r="D237" i="34"/>
  <c r="M237" i="34" s="1"/>
  <c r="C237" i="34"/>
  <c r="B237" i="34"/>
  <c r="G403" i="32"/>
  <c r="F403" i="32"/>
  <c r="E403" i="32"/>
  <c r="D403" i="32"/>
  <c r="M403" i="32" s="1"/>
  <c r="C403" i="32"/>
  <c r="B403" i="32"/>
  <c r="G402" i="32"/>
  <c r="F402" i="32"/>
  <c r="E402" i="32"/>
  <c r="D402" i="32"/>
  <c r="M402" i="32" s="1"/>
  <c r="C402" i="32"/>
  <c r="B402" i="32"/>
  <c r="G401" i="32"/>
  <c r="F401" i="32"/>
  <c r="E401" i="32"/>
  <c r="D401" i="32"/>
  <c r="M401" i="32" s="1"/>
  <c r="C401" i="32"/>
  <c r="B401" i="32"/>
  <c r="G234" i="34"/>
  <c r="D234" i="34"/>
  <c r="M234" i="34" s="1"/>
  <c r="C234" i="34"/>
  <c r="B234" i="34"/>
  <c r="F55" i="9"/>
  <c r="E55" i="9"/>
  <c r="D55" i="9"/>
  <c r="B55" i="9"/>
  <c r="G236" i="34"/>
  <c r="C236" i="34"/>
  <c r="B236" i="34"/>
  <c r="F236" i="34"/>
  <c r="E236" i="34"/>
  <c r="D236" i="34"/>
  <c r="M236" i="34" s="1"/>
  <c r="B406" i="32"/>
  <c r="C406" i="32"/>
  <c r="D406" i="32"/>
  <c r="M406" i="32" s="1"/>
  <c r="E406" i="32"/>
  <c r="F406" i="32"/>
  <c r="G406" i="32"/>
  <c r="G235" i="34"/>
  <c r="D235" i="34"/>
  <c r="M235" i="34" s="1"/>
  <c r="C235" i="34"/>
  <c r="B235" i="34"/>
  <c r="F235" i="34"/>
  <c r="E235" i="34"/>
  <c r="G39" i="42"/>
  <c r="G40" i="42" s="1"/>
  <c r="E47" i="39"/>
  <c r="D12" i="6"/>
  <c r="E12" i="6"/>
  <c r="E234" i="34"/>
  <c r="G230" i="34"/>
  <c r="C230" i="34"/>
  <c r="B230" i="34"/>
  <c r="G231" i="34"/>
  <c r="C231" i="34"/>
  <c r="B231" i="34"/>
  <c r="F231" i="34"/>
  <c r="E231" i="34"/>
  <c r="D231" i="34"/>
  <c r="M231" i="34" s="1"/>
  <c r="G408" i="32"/>
  <c r="F408" i="32"/>
  <c r="E408" i="32"/>
  <c r="D408" i="32"/>
  <c r="M408" i="32" s="1"/>
  <c r="C408" i="32"/>
  <c r="B408" i="32"/>
  <c r="L408" i="32" s="1"/>
  <c r="F241" i="34"/>
  <c r="G241" i="34"/>
  <c r="C241" i="34"/>
  <c r="B241" i="34"/>
  <c r="E241" i="34"/>
  <c r="D241" i="34"/>
  <c r="M241" i="34" s="1"/>
  <c r="G265" i="32"/>
  <c r="F265" i="32"/>
  <c r="E265" i="32"/>
  <c r="D265" i="32"/>
  <c r="M265" i="32"/>
  <c r="C265" i="32"/>
  <c r="B265" i="32"/>
  <c r="D48" i="11"/>
  <c r="B48" i="11"/>
  <c r="G48" i="11"/>
  <c r="F48" i="11"/>
  <c r="E48" i="11"/>
  <c r="C48" i="11"/>
  <c r="G407" i="32"/>
  <c r="F407" i="32"/>
  <c r="E407" i="32"/>
  <c r="D407" i="32"/>
  <c r="M407" i="32" s="1"/>
  <c r="C407" i="32"/>
  <c r="B407" i="32"/>
  <c r="G240" i="34"/>
  <c r="C240" i="34"/>
  <c r="B240" i="34"/>
  <c r="F240" i="34"/>
  <c r="E240" i="34"/>
  <c r="D240" i="34"/>
  <c r="M240" i="34" s="1"/>
  <c r="G414" i="32"/>
  <c r="F414" i="32"/>
  <c r="E414" i="32"/>
  <c r="D414" i="32"/>
  <c r="M414" i="32" s="1"/>
  <c r="C414" i="32"/>
  <c r="B414" i="32"/>
  <c r="E247" i="34"/>
  <c r="F247" i="34"/>
  <c r="G68" i="34"/>
  <c r="F68" i="34"/>
  <c r="E68" i="34"/>
  <c r="D68" i="34"/>
  <c r="M68" i="34" s="1"/>
  <c r="C68" i="34"/>
  <c r="B68" i="34"/>
  <c r="G110" i="32"/>
  <c r="F110" i="32"/>
  <c r="E110" i="32"/>
  <c r="D110" i="32"/>
  <c r="M110" i="32" s="1"/>
  <c r="C110" i="32"/>
  <c r="B110" i="32"/>
  <c r="G32" i="24"/>
  <c r="F32" i="24"/>
  <c r="E32" i="24"/>
  <c r="D32" i="24"/>
  <c r="C32" i="24"/>
  <c r="B32" i="24"/>
  <c r="G88" i="32"/>
  <c r="F88" i="32"/>
  <c r="E88" i="32"/>
  <c r="D88" i="32"/>
  <c r="M88" i="32" s="1"/>
  <c r="C88" i="32"/>
  <c r="B88" i="32"/>
  <c r="E2" i="11"/>
  <c r="G47" i="11"/>
  <c r="F47" i="11"/>
  <c r="E47" i="11"/>
  <c r="D47" i="11"/>
  <c r="C47" i="11"/>
  <c r="B47" i="11"/>
  <c r="G51" i="11"/>
  <c r="G53" i="11"/>
  <c r="F53" i="11"/>
  <c r="E53" i="11"/>
  <c r="D53" i="11"/>
  <c r="C53" i="11"/>
  <c r="B53" i="11"/>
  <c r="G52" i="11"/>
  <c r="F52" i="11"/>
  <c r="E52" i="11"/>
  <c r="D52" i="11"/>
  <c r="C52" i="11"/>
  <c r="B52" i="11"/>
  <c r="F51" i="11"/>
  <c r="E51" i="11"/>
  <c r="D51" i="11"/>
  <c r="C51" i="11"/>
  <c r="B51" i="11"/>
  <c r="G50" i="11"/>
  <c r="F50" i="11"/>
  <c r="E50" i="11"/>
  <c r="D50" i="11"/>
  <c r="C50" i="11"/>
  <c r="B50" i="11"/>
  <c r="G29" i="11"/>
  <c r="F29" i="11"/>
  <c r="E29" i="11"/>
  <c r="D29" i="11"/>
  <c r="C29" i="11"/>
  <c r="B29" i="11"/>
  <c r="G38" i="11"/>
  <c r="F38" i="11"/>
  <c r="E38" i="11"/>
  <c r="D38" i="11"/>
  <c r="C38" i="11"/>
  <c r="B38" i="11"/>
  <c r="G37" i="11"/>
  <c r="F37" i="11"/>
  <c r="E37" i="11"/>
  <c r="D37" i="11"/>
  <c r="C37" i="11"/>
  <c r="B37" i="11"/>
  <c r="G36" i="11"/>
  <c r="F36" i="11"/>
  <c r="E36" i="11"/>
  <c r="D36" i="11"/>
  <c r="C36" i="11"/>
  <c r="B36" i="11"/>
  <c r="G35" i="11"/>
  <c r="F35" i="11"/>
  <c r="E35" i="11"/>
  <c r="D35" i="11"/>
  <c r="C35" i="11"/>
  <c r="B35" i="11"/>
  <c r="G34" i="11"/>
  <c r="F34" i="11"/>
  <c r="E34" i="11"/>
  <c r="D34" i="11"/>
  <c r="C34" i="11"/>
  <c r="B34" i="11"/>
  <c r="G33" i="11"/>
  <c r="F33" i="11"/>
  <c r="E33" i="11"/>
  <c r="D33" i="11"/>
  <c r="C33" i="11"/>
  <c r="B33" i="11"/>
  <c r="G32" i="11"/>
  <c r="F32" i="11"/>
  <c r="E32" i="11"/>
  <c r="D32" i="11"/>
  <c r="C32" i="11"/>
  <c r="B32" i="11"/>
  <c r="G31" i="11"/>
  <c r="F31" i="11"/>
  <c r="E31" i="11"/>
  <c r="D31" i="11"/>
  <c r="C31" i="11"/>
  <c r="B31" i="11"/>
  <c r="G30" i="11"/>
  <c r="F30" i="11"/>
  <c r="E30" i="11"/>
  <c r="D30" i="11"/>
  <c r="C30" i="11"/>
  <c r="B30" i="11"/>
  <c r="G19" i="11"/>
  <c r="F19" i="11"/>
  <c r="E19" i="11"/>
  <c r="D19" i="11"/>
  <c r="C19" i="11"/>
  <c r="B19" i="11"/>
  <c r="G18" i="11"/>
  <c r="F18" i="11"/>
  <c r="E18" i="11"/>
  <c r="D18" i="11"/>
  <c r="C18" i="11"/>
  <c r="B18" i="11"/>
  <c r="G17" i="11"/>
  <c r="F17" i="11"/>
  <c r="E17" i="11"/>
  <c r="D17" i="11"/>
  <c r="C17" i="11"/>
  <c r="B17" i="11"/>
  <c r="G16" i="11"/>
  <c r="F16" i="11"/>
  <c r="E16" i="11"/>
  <c r="D16" i="11"/>
  <c r="C16" i="11"/>
  <c r="B16" i="11"/>
  <c r="G15" i="11"/>
  <c r="F15" i="11"/>
  <c r="E15" i="11"/>
  <c r="D15" i="11"/>
  <c r="C15" i="11"/>
  <c r="B15" i="11"/>
  <c r="G14" i="11"/>
  <c r="F14" i="11"/>
  <c r="E14" i="11"/>
  <c r="D14" i="11"/>
  <c r="C14" i="11"/>
  <c r="B14" i="11"/>
  <c r="G13" i="11"/>
  <c r="F13" i="11"/>
  <c r="E13" i="11"/>
  <c r="D13" i="11"/>
  <c r="C13" i="11"/>
  <c r="B13" i="11"/>
  <c r="G12" i="11"/>
  <c r="F12" i="11"/>
  <c r="E12" i="11"/>
  <c r="D12" i="11"/>
  <c r="C12" i="11"/>
  <c r="B12" i="11"/>
  <c r="G27" i="11"/>
  <c r="F27" i="11"/>
  <c r="E27" i="11"/>
  <c r="D27" i="11"/>
  <c r="C27" i="11"/>
  <c r="B27" i="11"/>
  <c r="G26" i="11"/>
  <c r="F26" i="11"/>
  <c r="E26" i="11"/>
  <c r="D26" i="11"/>
  <c r="C26" i="11"/>
  <c r="B26" i="11"/>
  <c r="G25" i="11"/>
  <c r="F25" i="11"/>
  <c r="E25" i="11"/>
  <c r="D25" i="11"/>
  <c r="C25" i="11"/>
  <c r="B25" i="11"/>
  <c r="G24" i="11"/>
  <c r="F24" i="11"/>
  <c r="E24" i="11"/>
  <c r="D24" i="11"/>
  <c r="C24" i="11"/>
  <c r="B24" i="11"/>
  <c r="G23" i="11"/>
  <c r="F23" i="11"/>
  <c r="E23" i="11"/>
  <c r="D23" i="11"/>
  <c r="C23" i="11"/>
  <c r="B23" i="11"/>
  <c r="G22" i="11"/>
  <c r="F22" i="11"/>
  <c r="E22" i="11"/>
  <c r="D22" i="11"/>
  <c r="C22" i="11"/>
  <c r="B22" i="11"/>
  <c r="G21" i="11"/>
  <c r="F21" i="11"/>
  <c r="E21" i="11"/>
  <c r="D21" i="11"/>
  <c r="C21" i="11"/>
  <c r="B21" i="11"/>
  <c r="G20" i="11"/>
  <c r="F20" i="11"/>
  <c r="E20" i="11"/>
  <c r="D20" i="11"/>
  <c r="C20" i="11"/>
  <c r="B20" i="11"/>
  <c r="G8" i="11"/>
  <c r="F8" i="11"/>
  <c r="E8" i="11"/>
  <c r="D8" i="11"/>
  <c r="C8" i="11"/>
  <c r="B8" i="11"/>
  <c r="G5" i="11"/>
  <c r="F5" i="11"/>
  <c r="E5" i="11"/>
  <c r="D5" i="11"/>
  <c r="C5" i="11"/>
  <c r="B5" i="11"/>
  <c r="G2" i="11"/>
  <c r="F2" i="11"/>
  <c r="C2" i="11"/>
  <c r="B2" i="11"/>
  <c r="G36" i="24"/>
  <c r="F36" i="24"/>
  <c r="E36" i="24"/>
  <c r="D36" i="24"/>
  <c r="C36" i="24"/>
  <c r="B36" i="24"/>
  <c r="G35" i="24"/>
  <c r="F35" i="24"/>
  <c r="E35" i="24"/>
  <c r="D35" i="24"/>
  <c r="C35" i="24"/>
  <c r="B35" i="24"/>
  <c r="G102" i="34"/>
  <c r="F102" i="34"/>
  <c r="E102" i="34"/>
  <c r="D102" i="34"/>
  <c r="M102" i="34" s="1"/>
  <c r="C102" i="34"/>
  <c r="B102" i="34"/>
  <c r="G211" i="32"/>
  <c r="F211" i="32"/>
  <c r="E211" i="32"/>
  <c r="D211" i="32"/>
  <c r="M211" i="32" s="1"/>
  <c r="L211" i="32" s="1"/>
  <c r="C211" i="32"/>
  <c r="B211" i="32"/>
  <c r="G20" i="9"/>
  <c r="F20" i="9"/>
  <c r="E20" i="9"/>
  <c r="D20" i="9"/>
  <c r="C20" i="9"/>
  <c r="B20" i="9"/>
  <c r="G57" i="9"/>
  <c r="F57" i="9"/>
  <c r="D57" i="9"/>
  <c r="C57" i="9"/>
  <c r="B57" i="9"/>
  <c r="G309" i="32"/>
  <c r="F309" i="32"/>
  <c r="E309" i="32"/>
  <c r="D309" i="32"/>
  <c r="M309" i="32" s="1"/>
  <c r="C309" i="32"/>
  <c r="B309" i="32"/>
  <c r="D161" i="34"/>
  <c r="M161" i="34" s="1"/>
  <c r="C161" i="34"/>
  <c r="B161" i="34"/>
  <c r="B260" i="34"/>
  <c r="H248" i="34"/>
  <c r="G242" i="34"/>
  <c r="F242" i="34"/>
  <c r="E242" i="34"/>
  <c r="D242" i="34"/>
  <c r="M242" i="34" s="1"/>
  <c r="C242" i="34"/>
  <c r="B242" i="34"/>
  <c r="G239" i="34"/>
  <c r="F239" i="34"/>
  <c r="E239" i="34"/>
  <c r="D239" i="34"/>
  <c r="M239" i="34" s="1"/>
  <c r="C239" i="34"/>
  <c r="B239" i="34"/>
  <c r="G232" i="34"/>
  <c r="F232" i="34"/>
  <c r="E232" i="34"/>
  <c r="D232" i="34"/>
  <c r="M232" i="34" s="1"/>
  <c r="C232" i="34"/>
  <c r="B232" i="34"/>
  <c r="F230" i="34"/>
  <c r="E230" i="34"/>
  <c r="D230" i="34"/>
  <c r="M230" i="34" s="1"/>
  <c r="G229" i="34"/>
  <c r="F229" i="34"/>
  <c r="E229" i="34"/>
  <c r="D229" i="34"/>
  <c r="M229" i="34" s="1"/>
  <c r="C229" i="34"/>
  <c r="B229" i="34"/>
  <c r="G228" i="34"/>
  <c r="F228" i="34"/>
  <c r="E228" i="34"/>
  <c r="D228" i="34"/>
  <c r="M228" i="34" s="1"/>
  <c r="C228" i="34"/>
  <c r="B228" i="34"/>
  <c r="G227" i="34"/>
  <c r="F227" i="34"/>
  <c r="E227" i="34"/>
  <c r="D227" i="34"/>
  <c r="M227" i="34" s="1"/>
  <c r="C227" i="34"/>
  <c r="B227" i="34"/>
  <c r="G225" i="34"/>
  <c r="F225" i="34"/>
  <c r="E225" i="34"/>
  <c r="D225" i="34"/>
  <c r="M225" i="34" s="1"/>
  <c r="C225" i="34"/>
  <c r="B225" i="34"/>
  <c r="G224" i="34"/>
  <c r="F224" i="34"/>
  <c r="E224" i="34"/>
  <c r="D224" i="34"/>
  <c r="M224" i="34" s="1"/>
  <c r="C224" i="34"/>
  <c r="B224" i="34"/>
  <c r="G215" i="34"/>
  <c r="F215" i="34"/>
  <c r="E215" i="34"/>
  <c r="D215" i="34"/>
  <c r="M215" i="34" s="1"/>
  <c r="C215" i="34"/>
  <c r="B215" i="34"/>
  <c r="G214" i="34"/>
  <c r="F214" i="34"/>
  <c r="E214" i="34"/>
  <c r="D214" i="34"/>
  <c r="M214" i="34" s="1"/>
  <c r="C214" i="34"/>
  <c r="B214" i="34"/>
  <c r="G213" i="34"/>
  <c r="F213" i="34"/>
  <c r="E213" i="34"/>
  <c r="D213" i="34"/>
  <c r="M213" i="34" s="1"/>
  <c r="C213" i="34"/>
  <c r="B213" i="34"/>
  <c r="G212" i="34"/>
  <c r="F212" i="34"/>
  <c r="E212" i="34"/>
  <c r="D212" i="34"/>
  <c r="M212" i="34" s="1"/>
  <c r="C212" i="34"/>
  <c r="B212" i="34"/>
  <c r="G211" i="34"/>
  <c r="F211" i="34"/>
  <c r="E211" i="34"/>
  <c r="D211" i="34"/>
  <c r="M211" i="34" s="1"/>
  <c r="C211" i="34"/>
  <c r="B211" i="34"/>
  <c r="G210" i="34"/>
  <c r="F210" i="34"/>
  <c r="E210" i="34"/>
  <c r="D210" i="34"/>
  <c r="M210" i="34" s="1"/>
  <c r="C210" i="34"/>
  <c r="B210" i="34"/>
  <c r="G209" i="34"/>
  <c r="F209" i="34"/>
  <c r="E209" i="34"/>
  <c r="D209" i="34"/>
  <c r="M209" i="34" s="1"/>
  <c r="C209" i="34"/>
  <c r="B209" i="34"/>
  <c r="G208" i="34"/>
  <c r="F208" i="34"/>
  <c r="E208" i="34"/>
  <c r="D208" i="34"/>
  <c r="M208" i="34" s="1"/>
  <c r="C208" i="34"/>
  <c r="B208" i="34"/>
  <c r="G207" i="34"/>
  <c r="F207" i="34"/>
  <c r="E207" i="34"/>
  <c r="D207" i="34"/>
  <c r="M207" i="34" s="1"/>
  <c r="C207" i="34"/>
  <c r="B207" i="34"/>
  <c r="G206" i="34"/>
  <c r="F206" i="34"/>
  <c r="E206" i="34"/>
  <c r="D206" i="34"/>
  <c r="M206" i="34" s="1"/>
  <c r="C206" i="34"/>
  <c r="B206" i="34"/>
  <c r="G205" i="34"/>
  <c r="F205" i="34"/>
  <c r="E205" i="34"/>
  <c r="D205" i="34"/>
  <c r="M205" i="34" s="1"/>
  <c r="C205" i="34"/>
  <c r="B205" i="34"/>
  <c r="G204" i="34"/>
  <c r="F204" i="34"/>
  <c r="E204" i="34"/>
  <c r="D204" i="34"/>
  <c r="M204" i="34" s="1"/>
  <c r="C204" i="34"/>
  <c r="B204" i="34"/>
  <c r="G203" i="34"/>
  <c r="F203" i="34"/>
  <c r="E203" i="34"/>
  <c r="D203" i="34"/>
  <c r="M203" i="34" s="1"/>
  <c r="C203" i="34"/>
  <c r="B203" i="34"/>
  <c r="G202" i="34"/>
  <c r="F202" i="34"/>
  <c r="E202" i="34"/>
  <c r="D202" i="34"/>
  <c r="M202" i="34" s="1"/>
  <c r="C202" i="34"/>
  <c r="B202" i="34"/>
  <c r="G201" i="34"/>
  <c r="F201" i="34"/>
  <c r="E201" i="34"/>
  <c r="D201" i="34"/>
  <c r="M201" i="34" s="1"/>
  <c r="C201" i="34"/>
  <c r="B201" i="34"/>
  <c r="G200" i="34"/>
  <c r="F200" i="34"/>
  <c r="E200" i="34"/>
  <c r="D200" i="34"/>
  <c r="M200" i="34" s="1"/>
  <c r="C200" i="34"/>
  <c r="B200" i="34"/>
  <c r="G199" i="34"/>
  <c r="F199" i="34"/>
  <c r="E199" i="34"/>
  <c r="D199" i="34"/>
  <c r="M199" i="34" s="1"/>
  <c r="C199" i="34"/>
  <c r="B199" i="34"/>
  <c r="G198" i="34"/>
  <c r="F198" i="34"/>
  <c r="E198" i="34"/>
  <c r="D198" i="34"/>
  <c r="M198" i="34" s="1"/>
  <c r="C198" i="34"/>
  <c r="G176" i="34"/>
  <c r="F176" i="34"/>
  <c r="E176" i="34"/>
  <c r="D176" i="34"/>
  <c r="M176" i="34" s="1"/>
  <c r="C176" i="34"/>
  <c r="B176" i="34"/>
  <c r="G175" i="34"/>
  <c r="F175" i="34"/>
  <c r="E175" i="34"/>
  <c r="D175" i="34"/>
  <c r="M175" i="34" s="1"/>
  <c r="C175" i="34"/>
  <c r="B175" i="34"/>
  <c r="G174" i="34"/>
  <c r="F174" i="34"/>
  <c r="E174" i="34"/>
  <c r="D174" i="34"/>
  <c r="M174" i="34" s="1"/>
  <c r="C174" i="34"/>
  <c r="B174" i="34"/>
  <c r="G173" i="34"/>
  <c r="F173" i="34"/>
  <c r="E173" i="34"/>
  <c r="D173" i="34"/>
  <c r="M173" i="34" s="1"/>
  <c r="C173" i="34"/>
  <c r="B173" i="34"/>
  <c r="G172" i="34"/>
  <c r="F172" i="34"/>
  <c r="E172" i="34"/>
  <c r="D172" i="34"/>
  <c r="M172" i="34" s="1"/>
  <c r="C172" i="34"/>
  <c r="B172" i="34"/>
  <c r="G171" i="34"/>
  <c r="F171" i="34"/>
  <c r="E171" i="34"/>
  <c r="D171" i="34"/>
  <c r="M171" i="34" s="1"/>
  <c r="C171" i="34"/>
  <c r="B171" i="34"/>
  <c r="G164" i="34"/>
  <c r="F164" i="34"/>
  <c r="E164" i="34"/>
  <c r="D164" i="34"/>
  <c r="M164" i="34" s="1"/>
  <c r="C164" i="34"/>
  <c r="B164" i="34"/>
  <c r="G163" i="34"/>
  <c r="F163" i="34"/>
  <c r="E163" i="34"/>
  <c r="D163" i="34"/>
  <c r="M163" i="34" s="1"/>
  <c r="C163" i="34"/>
  <c r="B163" i="34"/>
  <c r="G162" i="34"/>
  <c r="F162" i="34"/>
  <c r="E162" i="34"/>
  <c r="D162" i="34"/>
  <c r="M162" i="34" s="1"/>
  <c r="C162" i="34"/>
  <c r="B162" i="34"/>
  <c r="G161" i="34"/>
  <c r="F161" i="34"/>
  <c r="E161" i="34"/>
  <c r="G160" i="34"/>
  <c r="F160" i="34"/>
  <c r="E160" i="34"/>
  <c r="D160" i="34"/>
  <c r="M160" i="34" s="1"/>
  <c r="C160" i="34"/>
  <c r="B160" i="34"/>
  <c r="G158" i="34"/>
  <c r="F158" i="34"/>
  <c r="E158" i="34"/>
  <c r="D158" i="34"/>
  <c r="M158" i="34" s="1"/>
  <c r="C158" i="34"/>
  <c r="B158" i="34"/>
  <c r="G157" i="34"/>
  <c r="F157" i="34"/>
  <c r="E157" i="34"/>
  <c r="D157" i="34"/>
  <c r="M157" i="34" s="1"/>
  <c r="C157" i="34"/>
  <c r="B157" i="34"/>
  <c r="G156" i="34"/>
  <c r="F156" i="34"/>
  <c r="E156" i="34"/>
  <c r="D156" i="34"/>
  <c r="M156" i="34" s="1"/>
  <c r="C156" i="34"/>
  <c r="B156" i="34"/>
  <c r="G151" i="34"/>
  <c r="F151" i="34"/>
  <c r="E151" i="34"/>
  <c r="D151" i="34"/>
  <c r="M151" i="34" s="1"/>
  <c r="C151" i="34"/>
  <c r="B151" i="34"/>
  <c r="G159" i="34"/>
  <c r="F159" i="34"/>
  <c r="E159" i="34"/>
  <c r="D159" i="34"/>
  <c r="M159" i="34" s="1"/>
  <c r="C159" i="34"/>
  <c r="B159" i="34"/>
  <c r="G150" i="34"/>
  <c r="F150" i="34"/>
  <c r="E150" i="34"/>
  <c r="D150" i="34"/>
  <c r="M150" i="34" s="1"/>
  <c r="C150" i="34"/>
  <c r="B150" i="34"/>
  <c r="G149" i="34"/>
  <c r="F149" i="34"/>
  <c r="E149" i="34"/>
  <c r="D149" i="34"/>
  <c r="M149" i="34" s="1"/>
  <c r="C149" i="34"/>
  <c r="B149" i="34"/>
  <c r="G146" i="34"/>
  <c r="F146" i="34"/>
  <c r="E146" i="34"/>
  <c r="D146" i="34"/>
  <c r="M146" i="34" s="1"/>
  <c r="C146" i="34"/>
  <c r="B146" i="34"/>
  <c r="G144" i="34"/>
  <c r="F144" i="34"/>
  <c r="E144" i="34"/>
  <c r="D144" i="34"/>
  <c r="M144" i="34" s="1"/>
  <c r="C144" i="34"/>
  <c r="B144" i="34"/>
  <c r="G143" i="34"/>
  <c r="F143" i="34"/>
  <c r="E143" i="34"/>
  <c r="D143" i="34"/>
  <c r="M143" i="34" s="1"/>
  <c r="C143" i="34"/>
  <c r="B143" i="34"/>
  <c r="G139" i="34"/>
  <c r="F139" i="34"/>
  <c r="E139" i="34"/>
  <c r="D139" i="34"/>
  <c r="M139" i="34" s="1"/>
  <c r="C139" i="34"/>
  <c r="B139" i="34"/>
  <c r="G138" i="34"/>
  <c r="F138" i="34"/>
  <c r="E138" i="34"/>
  <c r="D138" i="34"/>
  <c r="M138" i="34" s="1"/>
  <c r="C138" i="34"/>
  <c r="B138" i="34"/>
  <c r="G142" i="34"/>
  <c r="F142" i="34"/>
  <c r="E142" i="34"/>
  <c r="D142" i="34"/>
  <c r="M142" i="34" s="1"/>
  <c r="C142" i="34"/>
  <c r="B142" i="34"/>
  <c r="G140" i="34"/>
  <c r="F140" i="34"/>
  <c r="E140" i="34"/>
  <c r="D140" i="34"/>
  <c r="M140" i="34" s="1"/>
  <c r="C140" i="34"/>
  <c r="B140" i="34"/>
  <c r="G137" i="34"/>
  <c r="F137" i="34"/>
  <c r="E137" i="34"/>
  <c r="D137" i="34"/>
  <c r="M137" i="34" s="1"/>
  <c r="C137" i="34"/>
  <c r="B137" i="34"/>
  <c r="G136" i="34"/>
  <c r="F136" i="34"/>
  <c r="E136" i="34"/>
  <c r="D136" i="34"/>
  <c r="M136" i="34" s="1"/>
  <c r="C136" i="34"/>
  <c r="B136" i="34"/>
  <c r="G135" i="34"/>
  <c r="F135" i="34"/>
  <c r="E135" i="34"/>
  <c r="D135" i="34"/>
  <c r="M135" i="34" s="1"/>
  <c r="C135" i="34"/>
  <c r="B135" i="34"/>
  <c r="G134" i="34"/>
  <c r="F134" i="34"/>
  <c r="E134" i="34"/>
  <c r="D134" i="34"/>
  <c r="M134" i="34" s="1"/>
  <c r="C134" i="34"/>
  <c r="B134" i="34"/>
  <c r="G133" i="34"/>
  <c r="F133" i="34"/>
  <c r="E133" i="34"/>
  <c r="D133" i="34"/>
  <c r="M133" i="34" s="1"/>
  <c r="C133" i="34"/>
  <c r="B133" i="34"/>
  <c r="G131" i="34"/>
  <c r="F131" i="34"/>
  <c r="E131" i="34"/>
  <c r="D131" i="34"/>
  <c r="M131" i="34" s="1"/>
  <c r="C131" i="34"/>
  <c r="B131" i="34"/>
  <c r="G130" i="34"/>
  <c r="F130" i="34"/>
  <c r="E130" i="34"/>
  <c r="D130" i="34"/>
  <c r="M130" i="34" s="1"/>
  <c r="C130" i="34"/>
  <c r="B130" i="34"/>
  <c r="G128" i="34"/>
  <c r="F128" i="34"/>
  <c r="E128" i="34"/>
  <c r="D128" i="34"/>
  <c r="M128" i="34" s="1"/>
  <c r="C128" i="34"/>
  <c r="B128" i="34"/>
  <c r="G124" i="34"/>
  <c r="F124" i="34"/>
  <c r="E124" i="34"/>
  <c r="D124" i="34"/>
  <c r="M124" i="34" s="1"/>
  <c r="C124" i="34"/>
  <c r="B124" i="34"/>
  <c r="G123" i="34"/>
  <c r="F123" i="34"/>
  <c r="E123" i="34"/>
  <c r="D123" i="34"/>
  <c r="M123" i="34" s="1"/>
  <c r="C123" i="34"/>
  <c r="B123" i="34"/>
  <c r="G122" i="34"/>
  <c r="F122" i="34"/>
  <c r="E122" i="34"/>
  <c r="D122" i="34"/>
  <c r="M122" i="34" s="1"/>
  <c r="C122" i="34"/>
  <c r="B122" i="34"/>
  <c r="G120" i="34"/>
  <c r="F120" i="34"/>
  <c r="E120" i="34"/>
  <c r="D120" i="34"/>
  <c r="M120" i="34" s="1"/>
  <c r="C120" i="34"/>
  <c r="B120" i="34"/>
  <c r="G118" i="34"/>
  <c r="F118" i="34"/>
  <c r="E118" i="34"/>
  <c r="D118" i="34"/>
  <c r="M118" i="34" s="1"/>
  <c r="C118" i="34"/>
  <c r="B118" i="34"/>
  <c r="G117" i="34"/>
  <c r="F117" i="34"/>
  <c r="E117" i="34"/>
  <c r="D117" i="34"/>
  <c r="M117" i="34" s="1"/>
  <c r="C117" i="34"/>
  <c r="B117" i="34"/>
  <c r="G116" i="34"/>
  <c r="F116" i="34"/>
  <c r="E116" i="34"/>
  <c r="D116" i="34"/>
  <c r="M116" i="34" s="1"/>
  <c r="C116" i="34"/>
  <c r="B116" i="34"/>
  <c r="G115" i="34"/>
  <c r="F115" i="34"/>
  <c r="E115" i="34"/>
  <c r="D115" i="34"/>
  <c r="M115" i="34" s="1"/>
  <c r="C115" i="34"/>
  <c r="B115" i="34"/>
  <c r="G113" i="34"/>
  <c r="F113" i="34"/>
  <c r="E113" i="34"/>
  <c r="D113" i="34"/>
  <c r="M113" i="34" s="1"/>
  <c r="C113" i="34"/>
  <c r="B113" i="34"/>
  <c r="G112" i="34"/>
  <c r="F112" i="34"/>
  <c r="E112" i="34"/>
  <c r="D112" i="34"/>
  <c r="M112" i="34" s="1"/>
  <c r="C112" i="34"/>
  <c r="B112" i="34"/>
  <c r="G111" i="34"/>
  <c r="F111" i="34"/>
  <c r="E111" i="34"/>
  <c r="D111" i="34"/>
  <c r="M111" i="34" s="1"/>
  <c r="C111" i="34"/>
  <c r="B111" i="34"/>
  <c r="G110" i="34"/>
  <c r="F110" i="34"/>
  <c r="E110" i="34"/>
  <c r="D110" i="34"/>
  <c r="M110" i="34" s="1"/>
  <c r="C110" i="34"/>
  <c r="B110" i="34"/>
  <c r="G109" i="34"/>
  <c r="F109" i="34"/>
  <c r="E109" i="34"/>
  <c r="D109" i="34"/>
  <c r="M109" i="34" s="1"/>
  <c r="C109" i="34"/>
  <c r="B109" i="34"/>
  <c r="G107" i="34"/>
  <c r="F107" i="34"/>
  <c r="E107" i="34"/>
  <c r="D107" i="34"/>
  <c r="M107" i="34" s="1"/>
  <c r="C107" i="34"/>
  <c r="B107" i="34"/>
  <c r="G104" i="34"/>
  <c r="F104" i="34"/>
  <c r="E104" i="34"/>
  <c r="D104" i="34"/>
  <c r="M104" i="34" s="1"/>
  <c r="C104" i="34"/>
  <c r="B104" i="34"/>
  <c r="G103" i="34"/>
  <c r="F103" i="34"/>
  <c r="E103" i="34"/>
  <c r="D103" i="34"/>
  <c r="M103" i="34" s="1"/>
  <c r="C103" i="34"/>
  <c r="B103" i="34"/>
  <c r="G101" i="34"/>
  <c r="F101" i="34"/>
  <c r="E101" i="34"/>
  <c r="D101" i="34"/>
  <c r="M101" i="34" s="1"/>
  <c r="C101" i="34"/>
  <c r="B101" i="34"/>
  <c r="G100" i="34"/>
  <c r="F100" i="34"/>
  <c r="E100" i="34"/>
  <c r="D100" i="34"/>
  <c r="M100" i="34" s="1"/>
  <c r="C100" i="34"/>
  <c r="B100" i="34"/>
  <c r="G99" i="34"/>
  <c r="F99" i="34"/>
  <c r="E99" i="34"/>
  <c r="D99" i="34"/>
  <c r="M99" i="34" s="1"/>
  <c r="C99" i="34"/>
  <c r="B99" i="34"/>
  <c r="G98" i="34"/>
  <c r="F98" i="34"/>
  <c r="E98" i="34"/>
  <c r="D98" i="34"/>
  <c r="M98" i="34" s="1"/>
  <c r="C98" i="34"/>
  <c r="B98" i="34"/>
  <c r="G93" i="34"/>
  <c r="F93" i="34"/>
  <c r="E93" i="34"/>
  <c r="D93" i="34"/>
  <c r="M93" i="34" s="1"/>
  <c r="C93" i="34"/>
  <c r="B93" i="34"/>
  <c r="G92" i="34"/>
  <c r="F92" i="34"/>
  <c r="E92" i="34"/>
  <c r="D92" i="34"/>
  <c r="M92" i="34" s="1"/>
  <c r="C92" i="34"/>
  <c r="B92" i="34"/>
  <c r="G85" i="34"/>
  <c r="F85" i="34"/>
  <c r="E85" i="34"/>
  <c r="D85" i="34"/>
  <c r="M85" i="34" s="1"/>
  <c r="C85" i="34"/>
  <c r="B85" i="34"/>
  <c r="G84" i="34"/>
  <c r="F84" i="34"/>
  <c r="E84" i="34"/>
  <c r="D84" i="34"/>
  <c r="M84" i="34" s="1"/>
  <c r="C84" i="34"/>
  <c r="B84" i="34"/>
  <c r="G83" i="34"/>
  <c r="F83" i="34"/>
  <c r="E83" i="34"/>
  <c r="D83" i="34"/>
  <c r="M83" i="34" s="1"/>
  <c r="C83" i="34"/>
  <c r="B83" i="34"/>
  <c r="G82" i="34"/>
  <c r="F82" i="34"/>
  <c r="E82" i="34"/>
  <c r="D82" i="34"/>
  <c r="M82" i="34" s="1"/>
  <c r="C82" i="34"/>
  <c r="B82" i="34"/>
  <c r="G81" i="34"/>
  <c r="F81" i="34"/>
  <c r="E81" i="34"/>
  <c r="D81" i="34"/>
  <c r="M81" i="34" s="1"/>
  <c r="C81" i="34"/>
  <c r="B81" i="34"/>
  <c r="G79" i="34"/>
  <c r="F79" i="34"/>
  <c r="E79" i="34"/>
  <c r="D79" i="34"/>
  <c r="M79" i="34" s="1"/>
  <c r="C79" i="34"/>
  <c r="G77" i="34"/>
  <c r="F77" i="34"/>
  <c r="E77" i="34"/>
  <c r="C77" i="34"/>
  <c r="B77" i="34"/>
  <c r="G76" i="34"/>
  <c r="F76" i="34"/>
  <c r="E76" i="34"/>
  <c r="D76" i="34"/>
  <c r="M76" i="34" s="1"/>
  <c r="C76" i="34"/>
  <c r="B76" i="34"/>
  <c r="G75" i="34"/>
  <c r="F75" i="34"/>
  <c r="E75" i="34"/>
  <c r="D75" i="34"/>
  <c r="M75" i="34" s="1"/>
  <c r="C75" i="34"/>
  <c r="B75" i="34"/>
  <c r="G72" i="34"/>
  <c r="F72" i="34"/>
  <c r="E72" i="34"/>
  <c r="D72" i="34"/>
  <c r="M72" i="34" s="1"/>
  <c r="C72" i="34"/>
  <c r="B72" i="34"/>
  <c r="G70" i="34"/>
  <c r="F70" i="34"/>
  <c r="E70" i="34"/>
  <c r="D70" i="34"/>
  <c r="M70" i="34" s="1"/>
  <c r="C70" i="34"/>
  <c r="B70" i="34"/>
  <c r="G67" i="34"/>
  <c r="F67" i="34"/>
  <c r="E67" i="34"/>
  <c r="D67" i="34"/>
  <c r="M67" i="34" s="1"/>
  <c r="C67" i="34"/>
  <c r="B67" i="34"/>
  <c r="G66" i="34"/>
  <c r="F66" i="34"/>
  <c r="E66" i="34"/>
  <c r="D66" i="34"/>
  <c r="M66" i="34" s="1"/>
  <c r="C66" i="34"/>
  <c r="B66" i="34"/>
  <c r="G65" i="34"/>
  <c r="F65" i="34"/>
  <c r="E65" i="34"/>
  <c r="D65" i="34"/>
  <c r="M65" i="34" s="1"/>
  <c r="C65" i="34"/>
  <c r="B65" i="34"/>
  <c r="G63" i="34"/>
  <c r="F63" i="34"/>
  <c r="E63" i="34"/>
  <c r="D63" i="34"/>
  <c r="M63" i="34" s="1"/>
  <c r="C63" i="34"/>
  <c r="B63" i="34"/>
  <c r="G62" i="34"/>
  <c r="F62" i="34"/>
  <c r="E62" i="34"/>
  <c r="D62" i="34"/>
  <c r="M62" i="34" s="1"/>
  <c r="C62" i="34"/>
  <c r="B62" i="34"/>
  <c r="G61" i="34"/>
  <c r="F61" i="34"/>
  <c r="E61" i="34"/>
  <c r="D61" i="34"/>
  <c r="M61" i="34" s="1"/>
  <c r="C61" i="34"/>
  <c r="B61" i="34"/>
  <c r="G60" i="34"/>
  <c r="F60" i="34"/>
  <c r="E60" i="34"/>
  <c r="D60" i="34"/>
  <c r="M60" i="34" s="1"/>
  <c r="C60" i="34"/>
  <c r="B60" i="34"/>
  <c r="G59" i="34"/>
  <c r="F59" i="34"/>
  <c r="E59" i="34"/>
  <c r="D59" i="34"/>
  <c r="M59" i="34" s="1"/>
  <c r="C59" i="34"/>
  <c r="B59" i="34"/>
  <c r="G58" i="34"/>
  <c r="F58" i="34"/>
  <c r="E58" i="34"/>
  <c r="D58" i="34"/>
  <c r="M58" i="34" s="1"/>
  <c r="C58" i="34"/>
  <c r="B58" i="34"/>
  <c r="G57" i="34"/>
  <c r="F57" i="34"/>
  <c r="E57" i="34"/>
  <c r="D57" i="34"/>
  <c r="M57" i="34" s="1"/>
  <c r="C57" i="34"/>
  <c r="B57" i="34"/>
  <c r="G56" i="34"/>
  <c r="F56" i="34"/>
  <c r="E56" i="34"/>
  <c r="D56" i="34"/>
  <c r="M56" i="34" s="1"/>
  <c r="C56" i="34"/>
  <c r="B56" i="34"/>
  <c r="G55" i="34"/>
  <c r="F55" i="34"/>
  <c r="E55" i="34"/>
  <c r="D55" i="34"/>
  <c r="M55" i="34" s="1"/>
  <c r="C55" i="34"/>
  <c r="B55" i="34"/>
  <c r="G54" i="34"/>
  <c r="F54" i="34"/>
  <c r="E54" i="34"/>
  <c r="D54" i="34"/>
  <c r="M54" i="34" s="1"/>
  <c r="C54" i="34"/>
  <c r="B54" i="34"/>
  <c r="G53" i="34"/>
  <c r="F53" i="34"/>
  <c r="E53" i="34"/>
  <c r="D53" i="34"/>
  <c r="M53" i="34" s="1"/>
  <c r="C53" i="34"/>
  <c r="B53" i="34"/>
  <c r="G52" i="34"/>
  <c r="F52" i="34"/>
  <c r="E52" i="34"/>
  <c r="D52" i="34"/>
  <c r="M52" i="34" s="1"/>
  <c r="C52" i="34"/>
  <c r="B52" i="34"/>
  <c r="G51" i="34"/>
  <c r="F51" i="34"/>
  <c r="E51" i="34"/>
  <c r="D51" i="34"/>
  <c r="M51" i="34" s="1"/>
  <c r="C51" i="34"/>
  <c r="B51" i="34"/>
  <c r="G49" i="34"/>
  <c r="F49" i="34"/>
  <c r="E49" i="34"/>
  <c r="D49" i="34"/>
  <c r="M49" i="34" s="1"/>
  <c r="C49" i="34"/>
  <c r="B49" i="34"/>
  <c r="G42" i="34"/>
  <c r="F42" i="34"/>
  <c r="E42" i="34"/>
  <c r="D42" i="34"/>
  <c r="M42" i="34" s="1"/>
  <c r="C42" i="34"/>
  <c r="B42" i="34"/>
  <c r="G40" i="34"/>
  <c r="F40" i="34"/>
  <c r="E40" i="34"/>
  <c r="D40" i="34"/>
  <c r="M40" i="34" s="1"/>
  <c r="C40" i="34"/>
  <c r="B40" i="34"/>
  <c r="G39" i="34"/>
  <c r="F39" i="34"/>
  <c r="E39" i="34"/>
  <c r="D39" i="34"/>
  <c r="M39" i="34" s="1"/>
  <c r="C39" i="34"/>
  <c r="B39" i="34"/>
  <c r="G38" i="34"/>
  <c r="F38" i="34"/>
  <c r="E38" i="34"/>
  <c r="D38" i="34"/>
  <c r="M38" i="34" s="1"/>
  <c r="C38" i="34"/>
  <c r="B38" i="34"/>
  <c r="G37" i="34"/>
  <c r="F37" i="34"/>
  <c r="E37" i="34"/>
  <c r="D37" i="34"/>
  <c r="M37" i="34" s="1"/>
  <c r="C37" i="34"/>
  <c r="B37" i="34"/>
  <c r="G36" i="34"/>
  <c r="F36" i="34"/>
  <c r="E36" i="34"/>
  <c r="D36" i="34"/>
  <c r="M36" i="34" s="1"/>
  <c r="C36" i="34"/>
  <c r="B36" i="34"/>
  <c r="G35" i="34"/>
  <c r="F35" i="34"/>
  <c r="E35" i="34"/>
  <c r="D35" i="34"/>
  <c r="M35" i="34" s="1"/>
  <c r="C35" i="34"/>
  <c r="B35" i="34"/>
  <c r="G33" i="34"/>
  <c r="F33" i="34"/>
  <c r="E33" i="34"/>
  <c r="D33" i="34"/>
  <c r="M33" i="34" s="1"/>
  <c r="C33" i="34"/>
  <c r="B33" i="34"/>
  <c r="G32" i="34"/>
  <c r="F32" i="34"/>
  <c r="E32" i="34"/>
  <c r="D32" i="34"/>
  <c r="M32" i="34" s="1"/>
  <c r="C32" i="34"/>
  <c r="B32" i="34"/>
  <c r="G31" i="34"/>
  <c r="F31" i="34"/>
  <c r="E31" i="34"/>
  <c r="D31" i="34"/>
  <c r="M31" i="34" s="1"/>
  <c r="C31" i="34"/>
  <c r="B31" i="34"/>
  <c r="G30" i="34"/>
  <c r="F30" i="34"/>
  <c r="E30" i="34"/>
  <c r="D30" i="34"/>
  <c r="M30" i="34" s="1"/>
  <c r="C30" i="34"/>
  <c r="B30" i="34"/>
  <c r="G29" i="34"/>
  <c r="F29" i="34"/>
  <c r="E29" i="34"/>
  <c r="D29" i="34"/>
  <c r="M29" i="34" s="1"/>
  <c r="C29" i="34"/>
  <c r="B29" i="34"/>
  <c r="G28" i="34"/>
  <c r="F28" i="34"/>
  <c r="E28" i="34"/>
  <c r="D28" i="34"/>
  <c r="M28" i="34" s="1"/>
  <c r="C28" i="34"/>
  <c r="B28" i="34"/>
  <c r="G27" i="34"/>
  <c r="F27" i="34"/>
  <c r="E27" i="34"/>
  <c r="D27" i="34"/>
  <c r="M27" i="34" s="1"/>
  <c r="C27" i="34"/>
  <c r="B27" i="34"/>
  <c r="G26" i="34"/>
  <c r="F26" i="34"/>
  <c r="E26" i="34"/>
  <c r="D26" i="34"/>
  <c r="M26" i="34" s="1"/>
  <c r="C26" i="34"/>
  <c r="B26" i="34"/>
  <c r="F25" i="34"/>
  <c r="E25" i="34"/>
  <c r="D25" i="34"/>
  <c r="M25" i="34" s="1"/>
  <c r="C25" i="34"/>
  <c r="B25" i="34"/>
  <c r="I23" i="34"/>
  <c r="I22" i="34"/>
  <c r="I8" i="34"/>
  <c r="I21" i="34"/>
  <c r="I20" i="34"/>
  <c r="I17" i="34"/>
  <c r="I16" i="34"/>
  <c r="I4" i="34"/>
  <c r="E94" i="32"/>
  <c r="C94" i="32"/>
  <c r="B94" i="32"/>
  <c r="G94" i="32"/>
  <c r="F94" i="32"/>
  <c r="D94" i="32"/>
  <c r="M94" i="32" s="1"/>
  <c r="G93" i="32"/>
  <c r="F93" i="32"/>
  <c r="E93" i="32"/>
  <c r="D93" i="32"/>
  <c r="M93" i="32" s="1"/>
  <c r="C93" i="32"/>
  <c r="B93" i="32"/>
  <c r="L93" i="32" s="1"/>
  <c r="E232" i="32"/>
  <c r="F232" i="32"/>
  <c r="G232" i="32"/>
  <c r="D232" i="32"/>
  <c r="M232" i="32" s="1"/>
  <c r="C232" i="32"/>
  <c r="B232" i="32"/>
  <c r="C231" i="32"/>
  <c r="D231" i="32"/>
  <c r="M231" i="32" s="1"/>
  <c r="E231" i="32"/>
  <c r="F231" i="32"/>
  <c r="G231" i="32"/>
  <c r="B231" i="32"/>
  <c r="C230" i="32"/>
  <c r="D230" i="32"/>
  <c r="M230" i="32" s="1"/>
  <c r="E230" i="32"/>
  <c r="F230" i="32"/>
  <c r="G230" i="32"/>
  <c r="B230" i="32"/>
  <c r="C228" i="32"/>
  <c r="D228" i="32"/>
  <c r="M228" i="32" s="1"/>
  <c r="E228" i="32"/>
  <c r="F228" i="32"/>
  <c r="G228" i="32"/>
  <c r="C229" i="32"/>
  <c r="D229" i="32"/>
  <c r="M229" i="32" s="1"/>
  <c r="E229" i="32"/>
  <c r="F229" i="32"/>
  <c r="G229" i="32"/>
  <c r="B229" i="32"/>
  <c r="B228" i="32"/>
  <c r="G264" i="32"/>
  <c r="F264" i="32"/>
  <c r="E264" i="32"/>
  <c r="D264" i="32"/>
  <c r="M264" i="32" s="1"/>
  <c r="C264" i="32"/>
  <c r="B264" i="32"/>
  <c r="G252" i="32"/>
  <c r="F252" i="32"/>
  <c r="E252" i="32"/>
  <c r="D252" i="32"/>
  <c r="M252" i="32" s="1"/>
  <c r="C252" i="32"/>
  <c r="B252" i="32"/>
  <c r="G195" i="32"/>
  <c r="F195" i="32"/>
  <c r="E195" i="32"/>
  <c r="D195" i="32"/>
  <c r="M195" i="32" s="1"/>
  <c r="C195" i="32"/>
  <c r="B195" i="32"/>
  <c r="G194" i="32"/>
  <c r="F194" i="32"/>
  <c r="E194" i="32"/>
  <c r="D194" i="32"/>
  <c r="M194" i="32" s="1"/>
  <c r="C194" i="32"/>
  <c r="B194" i="32"/>
  <c r="G124" i="32"/>
  <c r="F124" i="32"/>
  <c r="E124" i="32"/>
  <c r="D124" i="32"/>
  <c r="M124" i="32" s="1"/>
  <c r="C124" i="32"/>
  <c r="B124" i="32"/>
  <c r="G80" i="32"/>
  <c r="F80" i="32"/>
  <c r="E80" i="32"/>
  <c r="D80" i="32"/>
  <c r="M80" i="32" s="1"/>
  <c r="C80" i="32"/>
  <c r="B80" i="32"/>
  <c r="G59" i="32"/>
  <c r="F59" i="32"/>
  <c r="E59" i="32"/>
  <c r="D59" i="32"/>
  <c r="M59" i="32" s="1"/>
  <c r="C59" i="32"/>
  <c r="B59" i="32"/>
  <c r="E387" i="32"/>
  <c r="D387" i="32"/>
  <c r="M387" i="32" s="1"/>
  <c r="C387" i="32"/>
  <c r="B387" i="32"/>
  <c r="G387" i="32"/>
  <c r="F387" i="32"/>
  <c r="G409" i="32"/>
  <c r="F409" i="32"/>
  <c r="E409" i="32"/>
  <c r="D409" i="32"/>
  <c r="M409" i="32" s="1"/>
  <c r="C409" i="32"/>
  <c r="B409" i="32"/>
  <c r="G398" i="32"/>
  <c r="F398" i="32"/>
  <c r="E398" i="32"/>
  <c r="D398" i="32"/>
  <c r="M398" i="32" s="1"/>
  <c r="C398" i="32"/>
  <c r="B398" i="32"/>
  <c r="G397" i="32"/>
  <c r="F397" i="32"/>
  <c r="E397" i="32"/>
  <c r="D397" i="32"/>
  <c r="M397" i="32" s="1"/>
  <c r="C397" i="32"/>
  <c r="B397" i="32"/>
  <c r="G396" i="32"/>
  <c r="F396" i="32"/>
  <c r="E396" i="32"/>
  <c r="D396" i="32"/>
  <c r="M396" i="32" s="1"/>
  <c r="C396" i="32"/>
  <c r="B396" i="32"/>
  <c r="G395" i="32"/>
  <c r="F395" i="32"/>
  <c r="E395" i="32"/>
  <c r="D395" i="32"/>
  <c r="M395" i="32" s="1"/>
  <c r="C395" i="32"/>
  <c r="B395" i="32"/>
  <c r="G394" i="32"/>
  <c r="F394" i="32"/>
  <c r="E394" i="32"/>
  <c r="D394" i="32"/>
  <c r="M394" i="32" s="1"/>
  <c r="C394" i="32"/>
  <c r="B394" i="32"/>
  <c r="G392" i="32"/>
  <c r="F392" i="32"/>
  <c r="E392" i="32"/>
  <c r="D392" i="32"/>
  <c r="M392" i="32" s="1"/>
  <c r="C392" i="32"/>
  <c r="B392" i="32"/>
  <c r="G391" i="32"/>
  <c r="F391" i="32"/>
  <c r="E391" i="32"/>
  <c r="D391" i="32"/>
  <c r="M391" i="32" s="1"/>
  <c r="C391" i="32"/>
  <c r="B391" i="32"/>
  <c r="G388" i="32"/>
  <c r="F388" i="32"/>
  <c r="E388" i="32"/>
  <c r="D388" i="32"/>
  <c r="M388" i="32" s="1"/>
  <c r="C388" i="32"/>
  <c r="B388" i="32"/>
  <c r="G386" i="32"/>
  <c r="F386" i="32"/>
  <c r="E386" i="32"/>
  <c r="D386" i="32"/>
  <c r="M386" i="32" s="1"/>
  <c r="C386" i="32"/>
  <c r="B386" i="32"/>
  <c r="G385" i="32"/>
  <c r="F385" i="32"/>
  <c r="E385" i="32"/>
  <c r="D385" i="32"/>
  <c r="M385" i="32" s="1"/>
  <c r="C385" i="32"/>
  <c r="B385" i="32"/>
  <c r="G384" i="32"/>
  <c r="F384" i="32"/>
  <c r="E384" i="32"/>
  <c r="D384" i="32"/>
  <c r="M384" i="32" s="1"/>
  <c r="C384" i="32"/>
  <c r="B384" i="32"/>
  <c r="G383" i="32"/>
  <c r="F383" i="32"/>
  <c r="E383" i="32"/>
  <c r="D383" i="32"/>
  <c r="M383" i="32" s="1"/>
  <c r="C383" i="32"/>
  <c r="B383" i="32"/>
  <c r="G382" i="32"/>
  <c r="F382" i="32"/>
  <c r="E382" i="32"/>
  <c r="D382" i="32"/>
  <c r="M382" i="32" s="1"/>
  <c r="C382" i="32"/>
  <c r="B382" i="32"/>
  <c r="G381" i="32"/>
  <c r="F381" i="32"/>
  <c r="E381" i="32"/>
  <c r="D381" i="32"/>
  <c r="M381" i="32" s="1"/>
  <c r="C381" i="32"/>
  <c r="B381" i="32"/>
  <c r="G380" i="32"/>
  <c r="F380" i="32"/>
  <c r="E380" i="32"/>
  <c r="D380" i="32"/>
  <c r="M380" i="32" s="1"/>
  <c r="C380" i="32"/>
  <c r="B380" i="32"/>
  <c r="G379" i="32"/>
  <c r="F379" i="32"/>
  <c r="E379" i="32"/>
  <c r="D379" i="32"/>
  <c r="M379" i="32" s="1"/>
  <c r="C379" i="32"/>
  <c r="B379" i="32"/>
  <c r="G378" i="32"/>
  <c r="F378" i="32"/>
  <c r="E378" i="32"/>
  <c r="D378" i="32"/>
  <c r="M378" i="32" s="1"/>
  <c r="C378" i="32"/>
  <c r="B378" i="32"/>
  <c r="G377" i="32"/>
  <c r="F377" i="32"/>
  <c r="E377" i="32"/>
  <c r="D377" i="32"/>
  <c r="M377" i="32" s="1"/>
  <c r="C377" i="32"/>
  <c r="B377" i="32"/>
  <c r="G376" i="32"/>
  <c r="F376" i="32"/>
  <c r="E376" i="32"/>
  <c r="D376" i="32"/>
  <c r="M376" i="32" s="1"/>
  <c r="C376" i="32"/>
  <c r="B376" i="32"/>
  <c r="G375" i="32"/>
  <c r="F375" i="32"/>
  <c r="E375" i="32"/>
  <c r="D375" i="32"/>
  <c r="M375" i="32" s="1"/>
  <c r="C375" i="32"/>
  <c r="B375" i="32"/>
  <c r="G374" i="32"/>
  <c r="F374" i="32"/>
  <c r="E374" i="32"/>
  <c r="D374" i="32"/>
  <c r="M374" i="32" s="1"/>
  <c r="C374" i="32"/>
  <c r="B374" i="32"/>
  <c r="G373" i="32"/>
  <c r="F373" i="32"/>
  <c r="E373" i="32"/>
  <c r="D373" i="32"/>
  <c r="M373" i="32" s="1"/>
  <c r="C373" i="32"/>
  <c r="B373" i="32"/>
  <c r="G372" i="32"/>
  <c r="F372" i="32"/>
  <c r="E372" i="32"/>
  <c r="D372" i="32"/>
  <c r="M372" i="32" s="1"/>
  <c r="C372" i="32"/>
  <c r="B372" i="32"/>
  <c r="G371" i="32"/>
  <c r="F371" i="32"/>
  <c r="E371" i="32"/>
  <c r="D371" i="32"/>
  <c r="M371" i="32" s="1"/>
  <c r="C371" i="32"/>
  <c r="B371" i="32"/>
  <c r="G370" i="32"/>
  <c r="F370" i="32"/>
  <c r="E370" i="32"/>
  <c r="D370" i="32"/>
  <c r="M370" i="32" s="1"/>
  <c r="C370" i="32"/>
  <c r="B370" i="32"/>
  <c r="G369" i="32"/>
  <c r="F369" i="32"/>
  <c r="E369" i="32"/>
  <c r="D369" i="32"/>
  <c r="M369" i="32" s="1"/>
  <c r="C369" i="32"/>
  <c r="B369" i="32"/>
  <c r="G368" i="32"/>
  <c r="F368" i="32"/>
  <c r="E368" i="32"/>
  <c r="D368" i="32"/>
  <c r="M368" i="32" s="1"/>
  <c r="C368" i="32"/>
  <c r="B368" i="32"/>
  <c r="G340" i="32"/>
  <c r="F340" i="32"/>
  <c r="E340" i="32"/>
  <c r="D340" i="32"/>
  <c r="M340" i="32" s="1"/>
  <c r="C340" i="32"/>
  <c r="B340" i="32"/>
  <c r="G339" i="32"/>
  <c r="F339" i="32"/>
  <c r="E339" i="32"/>
  <c r="D339" i="32"/>
  <c r="M339" i="32" s="1"/>
  <c r="C339" i="32"/>
  <c r="B339" i="32"/>
  <c r="G338" i="32"/>
  <c r="F338" i="32"/>
  <c r="E338" i="32"/>
  <c r="D338" i="32"/>
  <c r="M338" i="32" s="1"/>
  <c r="C338" i="32"/>
  <c r="B338" i="32"/>
  <c r="G337" i="32"/>
  <c r="F337" i="32"/>
  <c r="E337" i="32"/>
  <c r="D337" i="32"/>
  <c r="M337" i="32" s="1"/>
  <c r="C337" i="32"/>
  <c r="B337" i="32"/>
  <c r="G336" i="32"/>
  <c r="F336" i="32"/>
  <c r="E336" i="32"/>
  <c r="D336" i="32"/>
  <c r="M336" i="32" s="1"/>
  <c r="C336" i="32"/>
  <c r="B336" i="32"/>
  <c r="G335" i="32"/>
  <c r="F335" i="32"/>
  <c r="E335" i="32"/>
  <c r="D335" i="32"/>
  <c r="M335" i="32" s="1"/>
  <c r="C335" i="32"/>
  <c r="B335" i="32"/>
  <c r="G334" i="32"/>
  <c r="F334" i="32"/>
  <c r="E334" i="32"/>
  <c r="D334" i="32"/>
  <c r="M334" i="32" s="1"/>
  <c r="C334" i="32"/>
  <c r="B334" i="32"/>
  <c r="G333" i="32"/>
  <c r="F333" i="32"/>
  <c r="E333" i="32"/>
  <c r="D333" i="32"/>
  <c r="M333" i="32" s="1"/>
  <c r="C333" i="32"/>
  <c r="B333" i="32"/>
  <c r="G332" i="32"/>
  <c r="F332" i="32"/>
  <c r="E332" i="32"/>
  <c r="D332" i="32"/>
  <c r="M332" i="32" s="1"/>
  <c r="C332" i="32"/>
  <c r="B332" i="32"/>
  <c r="G331" i="32"/>
  <c r="F331" i="32"/>
  <c r="E331" i="32"/>
  <c r="D331" i="32"/>
  <c r="M331" i="32" s="1"/>
  <c r="C331" i="32"/>
  <c r="B331" i="32"/>
  <c r="G329" i="32"/>
  <c r="F329" i="32"/>
  <c r="E329" i="32"/>
  <c r="D329" i="32"/>
  <c r="M329" i="32" s="1"/>
  <c r="C329" i="32"/>
  <c r="B329" i="32"/>
  <c r="G328" i="32"/>
  <c r="F328" i="32"/>
  <c r="E328" i="32"/>
  <c r="D328" i="32"/>
  <c r="M328" i="32" s="1"/>
  <c r="C328" i="32"/>
  <c r="B328" i="32"/>
  <c r="G327" i="32"/>
  <c r="F327" i="32"/>
  <c r="E327" i="32"/>
  <c r="D327" i="32"/>
  <c r="M327" i="32" s="1"/>
  <c r="C327" i="32"/>
  <c r="B327" i="32"/>
  <c r="G326" i="32"/>
  <c r="F326" i="32"/>
  <c r="E326" i="32"/>
  <c r="D326" i="32"/>
  <c r="M326" i="32" s="1"/>
  <c r="C326" i="32"/>
  <c r="B326" i="32"/>
  <c r="G325" i="32"/>
  <c r="F325" i="32"/>
  <c r="E325" i="32"/>
  <c r="D325" i="32"/>
  <c r="M325" i="32" s="1"/>
  <c r="C325" i="32"/>
  <c r="B325" i="32"/>
  <c r="G324" i="32"/>
  <c r="F324" i="32"/>
  <c r="E324" i="32"/>
  <c r="D324" i="32"/>
  <c r="M324" i="32" s="1"/>
  <c r="C324" i="32"/>
  <c r="B324" i="32"/>
  <c r="G323" i="32"/>
  <c r="F323" i="32"/>
  <c r="E323" i="32"/>
  <c r="D323" i="32"/>
  <c r="M323" i="32" s="1"/>
  <c r="C323" i="32"/>
  <c r="B323" i="32"/>
  <c r="G322" i="32"/>
  <c r="F322" i="32"/>
  <c r="E322" i="32"/>
  <c r="D322" i="32"/>
  <c r="M322" i="32" s="1"/>
  <c r="C322" i="32"/>
  <c r="B322" i="32"/>
  <c r="G321" i="32"/>
  <c r="F321" i="32"/>
  <c r="E321" i="32"/>
  <c r="D321" i="32"/>
  <c r="M321" i="32" s="1"/>
  <c r="C321" i="32"/>
  <c r="B321" i="32"/>
  <c r="G320" i="32"/>
  <c r="F320" i="32"/>
  <c r="E320" i="32"/>
  <c r="D320" i="32"/>
  <c r="M320" i="32" s="1"/>
  <c r="C320" i="32"/>
  <c r="B320" i="32"/>
  <c r="G319" i="32"/>
  <c r="F319" i="32"/>
  <c r="E319" i="32"/>
  <c r="D319" i="32"/>
  <c r="M319" i="32" s="1"/>
  <c r="C319" i="32"/>
  <c r="B319" i="32"/>
  <c r="G312" i="32"/>
  <c r="F312" i="32"/>
  <c r="E312" i="32"/>
  <c r="D312" i="32"/>
  <c r="M312" i="32" s="1"/>
  <c r="C312" i="32"/>
  <c r="B312" i="32"/>
  <c r="G311" i="32"/>
  <c r="F311" i="32"/>
  <c r="E311" i="32"/>
  <c r="D311" i="32"/>
  <c r="M311" i="32" s="1"/>
  <c r="C311" i="32"/>
  <c r="B311" i="32"/>
  <c r="G310" i="32"/>
  <c r="F310" i="32"/>
  <c r="E310" i="32"/>
  <c r="D310" i="32"/>
  <c r="M310" i="32" s="1"/>
  <c r="C310" i="32"/>
  <c r="B310" i="32"/>
  <c r="G308" i="32"/>
  <c r="F308" i="32"/>
  <c r="E308" i="32"/>
  <c r="D308" i="32"/>
  <c r="M308" i="32" s="1"/>
  <c r="C308" i="32"/>
  <c r="B308" i="32"/>
  <c r="G307" i="32"/>
  <c r="F307" i="32"/>
  <c r="E307" i="32"/>
  <c r="D307" i="32"/>
  <c r="M307" i="32" s="1"/>
  <c r="C307" i="32"/>
  <c r="B307" i="32"/>
  <c r="G306" i="32"/>
  <c r="F306" i="32"/>
  <c r="E306" i="32"/>
  <c r="D306" i="32"/>
  <c r="M306" i="32" s="1"/>
  <c r="C306" i="32"/>
  <c r="B306" i="32"/>
  <c r="G305" i="32"/>
  <c r="F305" i="32"/>
  <c r="E305" i="32"/>
  <c r="D305" i="32"/>
  <c r="M305" i="32" s="1"/>
  <c r="C305" i="32"/>
  <c r="B305" i="32"/>
  <c r="G304" i="32"/>
  <c r="F304" i="32"/>
  <c r="E304" i="32"/>
  <c r="D304" i="32"/>
  <c r="M304" i="32" s="1"/>
  <c r="C304" i="32"/>
  <c r="B304" i="32"/>
  <c r="G299" i="32"/>
  <c r="F299" i="32"/>
  <c r="E299" i="32"/>
  <c r="D299" i="32"/>
  <c r="M299" i="32" s="1"/>
  <c r="C299" i="32"/>
  <c r="B299" i="32"/>
  <c r="G298" i="32"/>
  <c r="F298" i="32"/>
  <c r="E298" i="32"/>
  <c r="D298" i="32"/>
  <c r="M298" i="32" s="1"/>
  <c r="C298" i="32"/>
  <c r="B298" i="32"/>
  <c r="G297" i="32"/>
  <c r="F297" i="32"/>
  <c r="E297" i="32"/>
  <c r="D297" i="32"/>
  <c r="M297" i="32" s="1"/>
  <c r="C297" i="32"/>
  <c r="B297" i="32"/>
  <c r="G296" i="32"/>
  <c r="F296" i="32"/>
  <c r="E296" i="32"/>
  <c r="D296" i="32"/>
  <c r="M296" i="32" s="1"/>
  <c r="C296" i="32"/>
  <c r="B296" i="32"/>
  <c r="G291" i="32"/>
  <c r="F291" i="32"/>
  <c r="E291" i="32"/>
  <c r="D291" i="32"/>
  <c r="M291" i="32" s="1"/>
  <c r="C291" i="32"/>
  <c r="B291" i="32"/>
  <c r="G290" i="32"/>
  <c r="F290" i="32"/>
  <c r="E290" i="32"/>
  <c r="D290" i="32"/>
  <c r="M290" i="32" s="1"/>
  <c r="C290" i="32"/>
  <c r="B290" i="32"/>
  <c r="G289" i="32"/>
  <c r="F289" i="32"/>
  <c r="E289" i="32"/>
  <c r="D289" i="32"/>
  <c r="M289" i="32" s="1"/>
  <c r="C289" i="32"/>
  <c r="B289" i="32"/>
  <c r="G288" i="32"/>
  <c r="F288" i="32"/>
  <c r="E288" i="32"/>
  <c r="D288" i="32"/>
  <c r="M288" i="32" s="1"/>
  <c r="C288" i="32"/>
  <c r="B288" i="32"/>
  <c r="G287" i="32"/>
  <c r="F287" i="32"/>
  <c r="E287" i="32"/>
  <c r="D287" i="32"/>
  <c r="M287" i="32" s="1"/>
  <c r="C287" i="32"/>
  <c r="B287" i="32"/>
  <c r="G286" i="32"/>
  <c r="F286" i="32"/>
  <c r="E286" i="32"/>
  <c r="D286" i="32"/>
  <c r="M286" i="32" s="1"/>
  <c r="C286" i="32"/>
  <c r="B286" i="32"/>
  <c r="G284" i="32"/>
  <c r="F284" i="32"/>
  <c r="E284" i="32"/>
  <c r="D284" i="32"/>
  <c r="M284" i="32" s="1"/>
  <c r="C284" i="32"/>
  <c r="B284" i="32"/>
  <c r="G283" i="32"/>
  <c r="F283" i="32"/>
  <c r="E283" i="32"/>
  <c r="D283" i="32"/>
  <c r="M283" i="32" s="1"/>
  <c r="C283" i="32"/>
  <c r="B283" i="32"/>
  <c r="G282" i="32"/>
  <c r="F282" i="32"/>
  <c r="E282" i="32"/>
  <c r="D282" i="32"/>
  <c r="M282" i="32" s="1"/>
  <c r="C282" i="32"/>
  <c r="B282" i="32"/>
  <c r="G281" i="32"/>
  <c r="F281" i="32"/>
  <c r="E281" i="32"/>
  <c r="D281" i="32"/>
  <c r="M281" i="32" s="1"/>
  <c r="C281" i="32"/>
  <c r="B281" i="32"/>
  <c r="G280" i="32"/>
  <c r="F280" i="32"/>
  <c r="E280" i="32"/>
  <c r="D280" i="32"/>
  <c r="M280" i="32" s="1"/>
  <c r="C280" i="32"/>
  <c r="B280" i="32"/>
  <c r="G122" i="32"/>
  <c r="F122" i="32"/>
  <c r="E122" i="32"/>
  <c r="D122" i="32"/>
  <c r="M122" i="32" s="1"/>
  <c r="C122" i="32"/>
  <c r="B122" i="32"/>
  <c r="G121" i="32"/>
  <c r="F121" i="32"/>
  <c r="E121" i="32"/>
  <c r="D121" i="32"/>
  <c r="M121" i="32" s="1"/>
  <c r="C121" i="32"/>
  <c r="B121" i="32"/>
  <c r="G263" i="32"/>
  <c r="F263" i="32"/>
  <c r="E263" i="32"/>
  <c r="D263" i="32"/>
  <c r="M263" i="32" s="1"/>
  <c r="C263" i="32"/>
  <c r="B263" i="32"/>
  <c r="G259" i="32"/>
  <c r="F259" i="32"/>
  <c r="E259" i="32"/>
  <c r="D259" i="32"/>
  <c r="M259" i="32" s="1"/>
  <c r="C259" i="32"/>
  <c r="B259" i="32"/>
  <c r="G258" i="32"/>
  <c r="F258" i="32"/>
  <c r="E258" i="32"/>
  <c r="D258" i="32"/>
  <c r="M258" i="32" s="1"/>
  <c r="C258" i="32"/>
  <c r="B258" i="32"/>
  <c r="G257" i="32"/>
  <c r="F257" i="32"/>
  <c r="E257" i="32"/>
  <c r="D257" i="32"/>
  <c r="M257" i="32" s="1"/>
  <c r="C257" i="32"/>
  <c r="B257" i="32"/>
  <c r="G260" i="32"/>
  <c r="F260" i="32"/>
  <c r="E260" i="32"/>
  <c r="D260" i="32"/>
  <c r="M260" i="32" s="1"/>
  <c r="C260" i="32"/>
  <c r="B260" i="32"/>
  <c r="G256" i="32"/>
  <c r="F256" i="32"/>
  <c r="E256" i="32"/>
  <c r="D256" i="32"/>
  <c r="M256" i="32" s="1"/>
  <c r="C256" i="32"/>
  <c r="B256" i="32"/>
  <c r="G255" i="32"/>
  <c r="F255" i="32"/>
  <c r="E255" i="32"/>
  <c r="D255" i="32"/>
  <c r="M255" i="32" s="1"/>
  <c r="C255" i="32"/>
  <c r="B255" i="32"/>
  <c r="G251" i="32"/>
  <c r="F251" i="32"/>
  <c r="E251" i="32"/>
  <c r="D251" i="32"/>
  <c r="M251" i="32" s="1"/>
  <c r="C251" i="32"/>
  <c r="B251" i="32"/>
  <c r="G248" i="32"/>
  <c r="F248" i="32"/>
  <c r="E248" i="32"/>
  <c r="D248" i="32"/>
  <c r="M248" i="32" s="1"/>
  <c r="C248" i="32"/>
  <c r="B248" i="32"/>
  <c r="G245" i="32"/>
  <c r="F245" i="32"/>
  <c r="E245" i="32"/>
  <c r="D245" i="32"/>
  <c r="M245" i="32" s="1"/>
  <c r="C245" i="32"/>
  <c r="B245" i="32"/>
  <c r="G243" i="32"/>
  <c r="F243" i="32"/>
  <c r="E243" i="32"/>
  <c r="D243" i="32"/>
  <c r="M243" i="32" s="1"/>
  <c r="C243" i="32"/>
  <c r="B243" i="32"/>
  <c r="G242" i="32"/>
  <c r="F242" i="32"/>
  <c r="E242" i="32"/>
  <c r="D242" i="32"/>
  <c r="M242" i="32" s="1"/>
  <c r="C242" i="32"/>
  <c r="B242" i="32"/>
  <c r="G240" i="32"/>
  <c r="F240" i="32"/>
  <c r="E240" i="32"/>
  <c r="D240" i="32"/>
  <c r="M240" i="32" s="1"/>
  <c r="C240" i="32"/>
  <c r="B240" i="32"/>
  <c r="G238" i="32"/>
  <c r="F238" i="32"/>
  <c r="E238" i="32"/>
  <c r="D238" i="32"/>
  <c r="M238" i="32" s="1"/>
  <c r="C238" i="32"/>
  <c r="B238" i="32"/>
  <c r="G237" i="32"/>
  <c r="F237" i="32"/>
  <c r="E237" i="32"/>
  <c r="D237" i="32"/>
  <c r="M237" i="32" s="1"/>
  <c r="C237" i="32"/>
  <c r="B237" i="32"/>
  <c r="G236" i="32"/>
  <c r="F236" i="32"/>
  <c r="E236" i="32"/>
  <c r="D236" i="32"/>
  <c r="M236" i="32" s="1"/>
  <c r="C236" i="32"/>
  <c r="B236" i="32"/>
  <c r="G235" i="32"/>
  <c r="F235" i="32"/>
  <c r="E235" i="32"/>
  <c r="D235" i="32"/>
  <c r="M235" i="32" s="1"/>
  <c r="C235" i="32"/>
  <c r="B235" i="32"/>
  <c r="G233" i="32"/>
  <c r="F233" i="32"/>
  <c r="E233" i="32"/>
  <c r="D233" i="32"/>
  <c r="M233" i="32" s="1"/>
  <c r="C233" i="32"/>
  <c r="B233" i="32"/>
  <c r="G278" i="32"/>
  <c r="F278" i="32"/>
  <c r="E278" i="32"/>
  <c r="D278" i="32"/>
  <c r="M278" i="32" s="1"/>
  <c r="C278" i="32"/>
  <c r="B278" i="32"/>
  <c r="G277" i="32"/>
  <c r="F277" i="32"/>
  <c r="E277" i="32"/>
  <c r="D277" i="32"/>
  <c r="M277" i="32" s="1"/>
  <c r="C277" i="32"/>
  <c r="B277" i="32"/>
  <c r="G275" i="32"/>
  <c r="F275" i="32"/>
  <c r="E275" i="32"/>
  <c r="D275" i="32"/>
  <c r="M275" i="32" s="1"/>
  <c r="C275" i="32"/>
  <c r="B275" i="32"/>
  <c r="G271" i="32"/>
  <c r="F271" i="32"/>
  <c r="E271" i="32"/>
  <c r="D271" i="32"/>
  <c r="M271" i="32" s="1"/>
  <c r="C271" i="32"/>
  <c r="B271" i="32"/>
  <c r="G270" i="32"/>
  <c r="F270" i="32"/>
  <c r="E270" i="32"/>
  <c r="D270" i="32"/>
  <c r="M270" i="32" s="1"/>
  <c r="C270" i="32"/>
  <c r="B270" i="32"/>
  <c r="G269" i="32"/>
  <c r="F269" i="32"/>
  <c r="E269" i="32"/>
  <c r="D269" i="32"/>
  <c r="M269" i="32" s="1"/>
  <c r="C269" i="32"/>
  <c r="B269" i="32"/>
  <c r="G268" i="32"/>
  <c r="F268" i="32"/>
  <c r="E268" i="32"/>
  <c r="D268" i="32"/>
  <c r="M268" i="32" s="1"/>
  <c r="C268" i="32"/>
  <c r="B268" i="32"/>
  <c r="G267" i="32"/>
  <c r="F267" i="32"/>
  <c r="E267" i="32"/>
  <c r="D267" i="32"/>
  <c r="M267" i="32" s="1"/>
  <c r="C267" i="32"/>
  <c r="B267" i="32"/>
  <c r="G227" i="32"/>
  <c r="F227" i="32"/>
  <c r="E227" i="32"/>
  <c r="D227" i="32"/>
  <c r="M227" i="32" s="1"/>
  <c r="C227" i="32"/>
  <c r="B227" i="32"/>
  <c r="G226" i="32"/>
  <c r="F226" i="32"/>
  <c r="E226" i="32"/>
  <c r="D226" i="32"/>
  <c r="M226" i="32" s="1"/>
  <c r="C226" i="32"/>
  <c r="B226" i="32"/>
  <c r="G216" i="32"/>
  <c r="F216" i="32"/>
  <c r="E216" i="32"/>
  <c r="D216" i="32"/>
  <c r="M216" i="32" s="1"/>
  <c r="C216" i="32"/>
  <c r="B216" i="32"/>
  <c r="G213" i="32"/>
  <c r="F213" i="32"/>
  <c r="E213" i="32"/>
  <c r="D213" i="32"/>
  <c r="M213" i="32" s="1"/>
  <c r="C213" i="32"/>
  <c r="B213" i="32"/>
  <c r="G223" i="32"/>
  <c r="F223" i="32"/>
  <c r="E223" i="32"/>
  <c r="D223" i="32"/>
  <c r="M223" i="32" s="1"/>
  <c r="C223" i="32"/>
  <c r="B223" i="32"/>
  <c r="G220" i="32"/>
  <c r="F220" i="32"/>
  <c r="E220" i="32"/>
  <c r="D220" i="32"/>
  <c r="M220" i="32" s="1"/>
  <c r="C220" i="32"/>
  <c r="B220" i="32"/>
  <c r="G219" i="32"/>
  <c r="F219" i="32"/>
  <c r="E219" i="32"/>
  <c r="D219" i="32"/>
  <c r="M219" i="32" s="1"/>
  <c r="C219" i="32"/>
  <c r="B219" i="32"/>
  <c r="G218" i="32"/>
  <c r="F218" i="32"/>
  <c r="E218" i="32"/>
  <c r="D218" i="32"/>
  <c r="M218" i="32" s="1"/>
  <c r="B218" i="32"/>
  <c r="G212" i="32"/>
  <c r="F212" i="32"/>
  <c r="E212" i="32"/>
  <c r="D212" i="32"/>
  <c r="M212" i="32" s="1"/>
  <c r="C212" i="32"/>
  <c r="B212" i="32"/>
  <c r="G210" i="32"/>
  <c r="F210" i="32"/>
  <c r="E210" i="32"/>
  <c r="D210" i="32"/>
  <c r="M210" i="32" s="1"/>
  <c r="C210" i="32"/>
  <c r="B210" i="32"/>
  <c r="G209" i="32"/>
  <c r="F209" i="32"/>
  <c r="E209" i="32"/>
  <c r="D209" i="32"/>
  <c r="M209" i="32" s="1"/>
  <c r="C209" i="32"/>
  <c r="B209" i="32"/>
  <c r="G208" i="32"/>
  <c r="F208" i="32"/>
  <c r="E208" i="32"/>
  <c r="D208" i="32"/>
  <c r="M208" i="32" s="1"/>
  <c r="C208" i="32"/>
  <c r="B208" i="32"/>
  <c r="G207" i="32"/>
  <c r="F207" i="32"/>
  <c r="E207" i="32"/>
  <c r="D207" i="32"/>
  <c r="M207" i="32" s="1"/>
  <c r="C207" i="32"/>
  <c r="B207" i="32"/>
  <c r="G206" i="32"/>
  <c r="F206" i="32"/>
  <c r="E206" i="32"/>
  <c r="D206" i="32"/>
  <c r="M206" i="32" s="1"/>
  <c r="C206" i="32"/>
  <c r="B206" i="32"/>
  <c r="G205" i="32"/>
  <c r="F205" i="32"/>
  <c r="E205" i="32"/>
  <c r="D205" i="32"/>
  <c r="M205" i="32" s="1"/>
  <c r="C205" i="32"/>
  <c r="B205" i="32"/>
  <c r="G204" i="32"/>
  <c r="F204" i="32"/>
  <c r="E204" i="32"/>
  <c r="D204" i="32"/>
  <c r="M204" i="32" s="1"/>
  <c r="C204" i="32"/>
  <c r="B204" i="32"/>
  <c r="G193" i="32"/>
  <c r="F193" i="32"/>
  <c r="E193" i="32"/>
  <c r="D193" i="32"/>
  <c r="M193" i="32" s="1"/>
  <c r="C193" i="32"/>
  <c r="B193" i="32"/>
  <c r="G192" i="32"/>
  <c r="F192" i="32"/>
  <c r="E192" i="32"/>
  <c r="D192" i="32"/>
  <c r="M192" i="32" s="1"/>
  <c r="C192" i="32"/>
  <c r="B192" i="32"/>
  <c r="G191" i="32"/>
  <c r="F191" i="32"/>
  <c r="E191" i="32"/>
  <c r="D191" i="32"/>
  <c r="M191" i="32" s="1"/>
  <c r="C191" i="32"/>
  <c r="B191" i="32"/>
  <c r="G190" i="32"/>
  <c r="F190" i="32"/>
  <c r="E190" i="32"/>
  <c r="D190" i="32"/>
  <c r="M190" i="32" s="1"/>
  <c r="C190" i="32"/>
  <c r="B190" i="32"/>
  <c r="G189" i="32"/>
  <c r="F189" i="32"/>
  <c r="E189" i="32"/>
  <c r="D189" i="32"/>
  <c r="M189" i="32" s="1"/>
  <c r="C189" i="32"/>
  <c r="B189" i="32"/>
  <c r="G187" i="32"/>
  <c r="E187" i="32"/>
  <c r="D187" i="32"/>
  <c r="M187" i="32" s="1"/>
  <c r="C187" i="32"/>
  <c r="B187" i="32"/>
  <c r="G165" i="32"/>
  <c r="G143" i="32"/>
  <c r="F143" i="32"/>
  <c r="E143" i="32"/>
  <c r="D143" i="32"/>
  <c r="M143" i="32" s="1"/>
  <c r="C143" i="32"/>
  <c r="B143" i="32"/>
  <c r="G151" i="32"/>
  <c r="F151" i="32"/>
  <c r="E151" i="32"/>
  <c r="D151" i="32"/>
  <c r="M151" i="32" s="1"/>
  <c r="C151" i="32"/>
  <c r="B151" i="32"/>
  <c r="G153" i="32"/>
  <c r="F153" i="32"/>
  <c r="E153" i="32"/>
  <c r="D153" i="32"/>
  <c r="M153" i="32" s="1"/>
  <c r="C153" i="32"/>
  <c r="B153" i="32"/>
  <c r="G150" i="32"/>
  <c r="F150" i="32"/>
  <c r="E150" i="32"/>
  <c r="D150" i="32"/>
  <c r="M150" i="32" s="1"/>
  <c r="C150" i="32"/>
  <c r="B150" i="32"/>
  <c r="G179" i="32"/>
  <c r="F179" i="32"/>
  <c r="E179" i="32"/>
  <c r="D179" i="32"/>
  <c r="M179" i="32" s="1"/>
  <c r="C179" i="32"/>
  <c r="B179" i="32"/>
  <c r="G181" i="32"/>
  <c r="F181" i="32"/>
  <c r="E181" i="32"/>
  <c r="D181" i="32"/>
  <c r="M181" i="32" s="1"/>
  <c r="C181" i="32"/>
  <c r="B181" i="32"/>
  <c r="G180" i="32"/>
  <c r="F180" i="32"/>
  <c r="E180" i="32"/>
  <c r="D180" i="32"/>
  <c r="M180" i="32" s="1"/>
  <c r="C180" i="32"/>
  <c r="B180" i="32"/>
  <c r="G178" i="32"/>
  <c r="F178" i="32"/>
  <c r="E178" i="32"/>
  <c r="D178" i="32"/>
  <c r="M178" i="32" s="1"/>
  <c r="C178" i="32"/>
  <c r="B178" i="32"/>
  <c r="G173" i="32"/>
  <c r="F173" i="32"/>
  <c r="E173" i="32"/>
  <c r="D173" i="32"/>
  <c r="M173" i="32" s="1"/>
  <c r="C173" i="32"/>
  <c r="B173" i="32"/>
  <c r="G172" i="32"/>
  <c r="F172" i="32"/>
  <c r="E172" i="32"/>
  <c r="D172" i="32"/>
  <c r="M172" i="32" s="1"/>
  <c r="C172" i="32"/>
  <c r="B172" i="32"/>
  <c r="F187" i="32"/>
  <c r="G184" i="32"/>
  <c r="F184" i="32"/>
  <c r="E184" i="32"/>
  <c r="D184" i="32"/>
  <c r="M184" i="32" s="1"/>
  <c r="C184" i="32"/>
  <c r="B184" i="32"/>
  <c r="G177" i="32"/>
  <c r="F177" i="32"/>
  <c r="E177" i="32"/>
  <c r="D177" i="32"/>
  <c r="M177" i="32" s="1"/>
  <c r="C177" i="32"/>
  <c r="B177" i="32"/>
  <c r="G176" i="32"/>
  <c r="F176" i="32"/>
  <c r="E176" i="32"/>
  <c r="D176" i="32"/>
  <c r="M176" i="32" s="1"/>
  <c r="C176" i="32"/>
  <c r="B176" i="32"/>
  <c r="G175" i="32"/>
  <c r="F175" i="32"/>
  <c r="E175" i="32"/>
  <c r="D175" i="32"/>
  <c r="M175" i="32" s="1"/>
  <c r="C175" i="32"/>
  <c r="B175" i="32"/>
  <c r="G182" i="32"/>
  <c r="F182" i="32"/>
  <c r="E182" i="32"/>
  <c r="D182" i="32"/>
  <c r="M182" i="32" s="1"/>
  <c r="C182" i="32"/>
  <c r="B182" i="32"/>
  <c r="G171" i="32"/>
  <c r="F171" i="32"/>
  <c r="E171" i="32"/>
  <c r="D171" i="32"/>
  <c r="M171" i="32" s="1"/>
  <c r="C171" i="32"/>
  <c r="B171" i="32"/>
  <c r="G170" i="32"/>
  <c r="F170" i="32"/>
  <c r="E170" i="32"/>
  <c r="D170" i="32"/>
  <c r="M170" i="32" s="1"/>
  <c r="C170" i="32"/>
  <c r="B170" i="32"/>
  <c r="G169" i="32"/>
  <c r="F169" i="32"/>
  <c r="E169" i="32"/>
  <c r="D169" i="32"/>
  <c r="M169" i="32" s="1"/>
  <c r="C169" i="32"/>
  <c r="B169" i="32"/>
  <c r="F164" i="32"/>
  <c r="G163" i="32"/>
  <c r="F163" i="32"/>
  <c r="E163" i="32"/>
  <c r="D163" i="32"/>
  <c r="M163" i="32" s="1"/>
  <c r="C163" i="32"/>
  <c r="B163" i="32"/>
  <c r="G162" i="32"/>
  <c r="F162" i="32"/>
  <c r="E162" i="32"/>
  <c r="D162" i="32"/>
  <c r="M162" i="32" s="1"/>
  <c r="C162" i="32"/>
  <c r="B162" i="32"/>
  <c r="G161" i="32"/>
  <c r="G160" i="32"/>
  <c r="G158" i="32"/>
  <c r="F158" i="32"/>
  <c r="E158" i="32"/>
  <c r="D158" i="32"/>
  <c r="M158" i="32" s="1"/>
  <c r="C158" i="32"/>
  <c r="B158" i="32"/>
  <c r="G157" i="32"/>
  <c r="F157" i="32"/>
  <c r="E157" i="32"/>
  <c r="D157" i="32"/>
  <c r="M157" i="32" s="1"/>
  <c r="C157" i="32"/>
  <c r="B157" i="32"/>
  <c r="G156" i="32"/>
  <c r="F156" i="32"/>
  <c r="E156" i="32"/>
  <c r="D156" i="32"/>
  <c r="M156" i="32" s="1"/>
  <c r="C156" i="32"/>
  <c r="G155" i="32"/>
  <c r="F155" i="32"/>
  <c r="E155" i="32"/>
  <c r="D155" i="32"/>
  <c r="M155" i="32" s="1"/>
  <c r="L155" i="32" s="1"/>
  <c r="C155" i="32"/>
  <c r="G154" i="32"/>
  <c r="F154" i="32"/>
  <c r="E154" i="32"/>
  <c r="D154" i="32"/>
  <c r="M154" i="32" s="1"/>
  <c r="C154" i="32"/>
  <c r="B154" i="32"/>
  <c r="G149" i="32"/>
  <c r="F149" i="32"/>
  <c r="E149" i="32"/>
  <c r="D149" i="32"/>
  <c r="M149" i="32" s="1"/>
  <c r="C149" i="32"/>
  <c r="B149" i="32"/>
  <c r="G144" i="32"/>
  <c r="F144" i="32"/>
  <c r="E144" i="32"/>
  <c r="D144" i="32"/>
  <c r="M144" i="32" s="1"/>
  <c r="C144" i="32"/>
  <c r="B144" i="32"/>
  <c r="G142" i="32"/>
  <c r="F142" i="32"/>
  <c r="E142" i="32"/>
  <c r="D142" i="32"/>
  <c r="M142" i="32" s="1"/>
  <c r="C142" i="32"/>
  <c r="B142" i="32"/>
  <c r="G140" i="32"/>
  <c r="F140" i="32"/>
  <c r="E140" i="32"/>
  <c r="D140" i="32"/>
  <c r="M140" i="32" s="1"/>
  <c r="C140" i="32"/>
  <c r="B140" i="32"/>
  <c r="G139" i="32"/>
  <c r="F139" i="32"/>
  <c r="E139" i="32"/>
  <c r="D139" i="32"/>
  <c r="M139" i="32" s="1"/>
  <c r="C139" i="32"/>
  <c r="B139" i="32"/>
  <c r="G138" i="32"/>
  <c r="F138" i="32"/>
  <c r="E138" i="32"/>
  <c r="D138" i="32"/>
  <c r="M138" i="32" s="1"/>
  <c r="C138" i="32"/>
  <c r="B138" i="32"/>
  <c r="G137" i="32"/>
  <c r="F137" i="32"/>
  <c r="E137" i="32"/>
  <c r="D137" i="32"/>
  <c r="M137" i="32" s="1"/>
  <c r="C137" i="32"/>
  <c r="B137" i="32"/>
  <c r="G136" i="32"/>
  <c r="F136" i="32"/>
  <c r="E136" i="32"/>
  <c r="D136" i="32"/>
  <c r="M136" i="32" s="1"/>
  <c r="C136" i="32"/>
  <c r="B136" i="32"/>
  <c r="G135" i="32"/>
  <c r="F135" i="32"/>
  <c r="E135" i="32"/>
  <c r="D135" i="32"/>
  <c r="M135" i="32" s="1"/>
  <c r="C135" i="32"/>
  <c r="B135" i="32"/>
  <c r="G134" i="32"/>
  <c r="F134" i="32"/>
  <c r="E134" i="32"/>
  <c r="D134" i="32"/>
  <c r="M134" i="32" s="1"/>
  <c r="C134" i="32"/>
  <c r="B134" i="32"/>
  <c r="G133" i="32"/>
  <c r="F133" i="32"/>
  <c r="E133" i="32"/>
  <c r="D133" i="32"/>
  <c r="M133" i="32" s="1"/>
  <c r="C133" i="32"/>
  <c r="B133" i="32"/>
  <c r="G132" i="32"/>
  <c r="F132" i="32"/>
  <c r="E132" i="32"/>
  <c r="D132" i="32"/>
  <c r="M132" i="32" s="1"/>
  <c r="C132" i="32"/>
  <c r="B132" i="32"/>
  <c r="G131" i="32"/>
  <c r="F131" i="32"/>
  <c r="E131" i="32"/>
  <c r="D131" i="32"/>
  <c r="M131" i="32" s="1"/>
  <c r="C131" i="32"/>
  <c r="B131" i="32"/>
  <c r="C120" i="32"/>
  <c r="G120" i="32"/>
  <c r="F120" i="32"/>
  <c r="E120" i="32"/>
  <c r="D120" i="32"/>
  <c r="M120" i="32" s="1"/>
  <c r="B120" i="32"/>
  <c r="G118" i="32"/>
  <c r="F118" i="32"/>
  <c r="E118" i="32"/>
  <c r="D118" i="32"/>
  <c r="M118" i="32" s="1"/>
  <c r="C118" i="32"/>
  <c r="B118" i="32"/>
  <c r="G117" i="32"/>
  <c r="F117" i="32"/>
  <c r="E117" i="32"/>
  <c r="D117" i="32"/>
  <c r="M117" i="32" s="1"/>
  <c r="C117" i="32"/>
  <c r="B117" i="32"/>
  <c r="G116" i="32"/>
  <c r="F116" i="32"/>
  <c r="E116" i="32"/>
  <c r="D116" i="32"/>
  <c r="M116" i="32" s="1"/>
  <c r="C116" i="32"/>
  <c r="B116" i="32"/>
  <c r="G114" i="32"/>
  <c r="F114" i="32"/>
  <c r="E114" i="32"/>
  <c r="D114" i="32"/>
  <c r="M114" i="32" s="1"/>
  <c r="C114" i="32"/>
  <c r="B114" i="32"/>
  <c r="G119" i="32"/>
  <c r="F119" i="32"/>
  <c r="E119" i="32"/>
  <c r="D119" i="32"/>
  <c r="M119" i="32" s="1"/>
  <c r="C119" i="32"/>
  <c r="B119" i="32"/>
  <c r="G109" i="32"/>
  <c r="F109" i="32"/>
  <c r="E109" i="32"/>
  <c r="D109" i="32"/>
  <c r="M109" i="32" s="1"/>
  <c r="C109" i="32"/>
  <c r="B109" i="32"/>
  <c r="G108" i="32"/>
  <c r="F108" i="32"/>
  <c r="E108" i="32"/>
  <c r="D108" i="32"/>
  <c r="M108" i="32" s="1"/>
  <c r="C108" i="32"/>
  <c r="B108" i="32"/>
  <c r="G107" i="32"/>
  <c r="F107" i="32"/>
  <c r="E107" i="32"/>
  <c r="D107" i="32"/>
  <c r="M107" i="32" s="1"/>
  <c r="C107" i="32"/>
  <c r="B107" i="32"/>
  <c r="G106" i="32"/>
  <c r="F106" i="32"/>
  <c r="E106" i="32"/>
  <c r="D106" i="32"/>
  <c r="M106" i="32" s="1"/>
  <c r="C106" i="32"/>
  <c r="B106" i="32"/>
  <c r="G105" i="32"/>
  <c r="F105" i="32"/>
  <c r="E105" i="32"/>
  <c r="D105" i="32"/>
  <c r="M105" i="32" s="1"/>
  <c r="C105" i="32"/>
  <c r="B105" i="32"/>
  <c r="G99" i="32"/>
  <c r="F99" i="32"/>
  <c r="E99" i="32"/>
  <c r="D99" i="32"/>
  <c r="M99" i="32" s="1"/>
  <c r="C99" i="32"/>
  <c r="B99" i="32"/>
  <c r="G100" i="32"/>
  <c r="F100" i="32"/>
  <c r="E100" i="32"/>
  <c r="D100" i="32"/>
  <c r="M100" i="32" s="1"/>
  <c r="C100" i="32"/>
  <c r="B100" i="32"/>
  <c r="G102" i="32"/>
  <c r="F102" i="32"/>
  <c r="E102" i="32"/>
  <c r="D102" i="32"/>
  <c r="M102" i="32" s="1"/>
  <c r="C102" i="32"/>
  <c r="B102" i="32"/>
  <c r="G103" i="32"/>
  <c r="F103" i="32"/>
  <c r="E103" i="32"/>
  <c r="D103" i="32"/>
  <c r="M103" i="32" s="1"/>
  <c r="C103" i="32"/>
  <c r="B103" i="32"/>
  <c r="G101" i="32"/>
  <c r="F101" i="32"/>
  <c r="E101" i="32"/>
  <c r="D101" i="32"/>
  <c r="M101" i="32" s="1"/>
  <c r="C101" i="32"/>
  <c r="B101" i="32"/>
  <c r="G87" i="32"/>
  <c r="F87" i="32"/>
  <c r="E87" i="32"/>
  <c r="D87" i="32"/>
  <c r="M87" i="32" s="1"/>
  <c r="C87" i="32"/>
  <c r="B87" i="32"/>
  <c r="G85" i="32"/>
  <c r="F85" i="32"/>
  <c r="E85" i="32"/>
  <c r="D85" i="32"/>
  <c r="M85" i="32" s="1"/>
  <c r="C85" i="32"/>
  <c r="B85" i="32"/>
  <c r="G84" i="32"/>
  <c r="F84" i="32"/>
  <c r="E84" i="32"/>
  <c r="D84" i="32"/>
  <c r="M84" i="32" s="1"/>
  <c r="C84" i="32"/>
  <c r="B84" i="32"/>
  <c r="G98" i="32"/>
  <c r="F98" i="32"/>
  <c r="E98" i="32"/>
  <c r="D98" i="32"/>
  <c r="M98" i="32" s="1"/>
  <c r="C98" i="32"/>
  <c r="B98" i="32"/>
  <c r="G97" i="32"/>
  <c r="F97" i="32"/>
  <c r="E97" i="32"/>
  <c r="D97" i="32"/>
  <c r="M97" i="32" s="1"/>
  <c r="C97" i="32"/>
  <c r="B97" i="32"/>
  <c r="G79" i="32"/>
  <c r="F79" i="32"/>
  <c r="E79" i="32"/>
  <c r="D79" i="32"/>
  <c r="M79" i="32" s="1"/>
  <c r="C79" i="32"/>
  <c r="B79" i="32"/>
  <c r="G78" i="32"/>
  <c r="F78" i="32"/>
  <c r="E78" i="32"/>
  <c r="D78" i="32"/>
  <c r="M78" i="32" s="1"/>
  <c r="C78" i="32"/>
  <c r="B78" i="32"/>
  <c r="G67" i="32"/>
  <c r="F67" i="32"/>
  <c r="E67" i="32"/>
  <c r="D67" i="32"/>
  <c r="M67" i="32" s="1"/>
  <c r="C67" i="32"/>
  <c r="B67" i="32"/>
  <c r="G75" i="32"/>
  <c r="F75" i="32"/>
  <c r="E75" i="32"/>
  <c r="D75" i="32"/>
  <c r="M75" i="32" s="1"/>
  <c r="C75" i="32"/>
  <c r="B75" i="32"/>
  <c r="G72" i="32"/>
  <c r="F72" i="32"/>
  <c r="E72" i="32"/>
  <c r="D72" i="32"/>
  <c r="M72" i="32" s="1"/>
  <c r="C72" i="32"/>
  <c r="B72" i="32"/>
  <c r="G71" i="32"/>
  <c r="F71" i="32"/>
  <c r="E71" i="32"/>
  <c r="D71" i="32"/>
  <c r="M71" i="32" s="1"/>
  <c r="C71" i="32"/>
  <c r="B71" i="32"/>
  <c r="G70" i="32"/>
  <c r="F70" i="32"/>
  <c r="E70" i="32"/>
  <c r="D70" i="32"/>
  <c r="M70" i="32" s="1"/>
  <c r="C70" i="32"/>
  <c r="B70" i="32"/>
  <c r="G69" i="32"/>
  <c r="F69" i="32"/>
  <c r="E69" i="32"/>
  <c r="D69" i="32"/>
  <c r="M69" i="32" s="1"/>
  <c r="C69" i="32"/>
  <c r="B69" i="32"/>
  <c r="G66" i="32"/>
  <c r="F66" i="32"/>
  <c r="E66" i="32"/>
  <c r="D66" i="32"/>
  <c r="M66" i="32" s="1"/>
  <c r="C66" i="32"/>
  <c r="B66" i="32"/>
  <c r="G73" i="32"/>
  <c r="F73" i="32"/>
  <c r="E73" i="32"/>
  <c r="D73" i="32"/>
  <c r="M73" i="32" s="1"/>
  <c r="C73" i="32"/>
  <c r="B73" i="32"/>
  <c r="G65" i="32"/>
  <c r="F65" i="32"/>
  <c r="E65" i="32"/>
  <c r="D65" i="32"/>
  <c r="M65" i="32" s="1"/>
  <c r="C65" i="32"/>
  <c r="B65" i="32"/>
  <c r="G64" i="32"/>
  <c r="F64" i="32"/>
  <c r="E64" i="32"/>
  <c r="D64" i="32"/>
  <c r="M64" i="32" s="1"/>
  <c r="C64" i="32"/>
  <c r="B64" i="32"/>
  <c r="G60" i="32"/>
  <c r="F60" i="32"/>
  <c r="E60" i="32"/>
  <c r="D60" i="32"/>
  <c r="M60" i="32" s="1"/>
  <c r="C60" i="32"/>
  <c r="B60" i="32"/>
  <c r="G40" i="32"/>
  <c r="F40" i="32"/>
  <c r="E40" i="32"/>
  <c r="D40" i="32"/>
  <c r="M40" i="32" s="1"/>
  <c r="C40" i="32"/>
  <c r="B40" i="32"/>
  <c r="G48" i="32"/>
  <c r="F48" i="32"/>
  <c r="E48" i="32"/>
  <c r="D48" i="32"/>
  <c r="M48" i="32" s="1"/>
  <c r="C48" i="32"/>
  <c r="B48" i="32"/>
  <c r="G47" i="32"/>
  <c r="F47" i="32"/>
  <c r="E47" i="32"/>
  <c r="D47" i="32"/>
  <c r="M47" i="32" s="1"/>
  <c r="C47" i="32"/>
  <c r="B47" i="32"/>
  <c r="G46" i="32"/>
  <c r="F46" i="32"/>
  <c r="E46" i="32"/>
  <c r="D46" i="32"/>
  <c r="M46" i="32" s="1"/>
  <c r="C46" i="32"/>
  <c r="B46" i="32"/>
  <c r="G44" i="32"/>
  <c r="F44" i="32"/>
  <c r="E44" i="32"/>
  <c r="D44" i="32"/>
  <c r="M44" i="32" s="1"/>
  <c r="C44" i="32"/>
  <c r="B44" i="32"/>
  <c r="G43" i="32"/>
  <c r="F43" i="32"/>
  <c r="E43" i="32"/>
  <c r="D43" i="32"/>
  <c r="M43" i="32" s="1"/>
  <c r="C43" i="32"/>
  <c r="B43" i="32"/>
  <c r="G42" i="32"/>
  <c r="F42" i="32"/>
  <c r="E42" i="32"/>
  <c r="D42" i="32"/>
  <c r="M42" i="32" s="1"/>
  <c r="C42" i="32"/>
  <c r="B42" i="32"/>
  <c r="G41" i="32"/>
  <c r="F41" i="32"/>
  <c r="E41" i="32"/>
  <c r="D41" i="32"/>
  <c r="M41" i="32" s="1"/>
  <c r="C41" i="32"/>
  <c r="B41" i="32"/>
  <c r="G45" i="32"/>
  <c r="F45" i="32"/>
  <c r="E45" i="32"/>
  <c r="D45" i="32"/>
  <c r="M45" i="32" s="1"/>
  <c r="C45" i="32"/>
  <c r="B45" i="32"/>
  <c r="G33" i="32"/>
  <c r="F33" i="32"/>
  <c r="E33" i="32"/>
  <c r="D33" i="32"/>
  <c r="M33" i="32" s="1"/>
  <c r="C33" i="32"/>
  <c r="B33" i="32"/>
  <c r="G32" i="32"/>
  <c r="F32" i="32"/>
  <c r="E32" i="32"/>
  <c r="D32" i="32"/>
  <c r="M32" i="32" s="1"/>
  <c r="C32" i="32"/>
  <c r="B32" i="32"/>
  <c r="G34" i="32"/>
  <c r="F34" i="32"/>
  <c r="E34" i="32"/>
  <c r="D34" i="32"/>
  <c r="M34" i="32" s="1"/>
  <c r="C34" i="32"/>
  <c r="B34" i="32"/>
  <c r="G29" i="32"/>
  <c r="F29" i="32"/>
  <c r="E29" i="32"/>
  <c r="D29" i="32"/>
  <c r="M29" i="32" s="1"/>
  <c r="C29" i="32"/>
  <c r="B29" i="32"/>
  <c r="G26" i="32"/>
  <c r="F26" i="32"/>
  <c r="E26" i="32"/>
  <c r="D26" i="32"/>
  <c r="M26" i="32" s="1"/>
  <c r="C26" i="32"/>
  <c r="B26" i="32"/>
  <c r="G25" i="32"/>
  <c r="F25" i="32"/>
  <c r="E25" i="32"/>
  <c r="D25" i="32"/>
  <c r="M25" i="32" s="1"/>
  <c r="C25" i="32"/>
  <c r="B25" i="32"/>
  <c r="G28" i="32"/>
  <c r="F28" i="32"/>
  <c r="E28" i="32"/>
  <c r="D28" i="32"/>
  <c r="M28" i="32" s="1"/>
  <c r="C28" i="32"/>
  <c r="B28" i="32"/>
  <c r="G27" i="32"/>
  <c r="F27" i="32"/>
  <c r="E27" i="32"/>
  <c r="D27" i="32"/>
  <c r="M27" i="32" s="1"/>
  <c r="C27" i="32"/>
  <c r="B27" i="32"/>
  <c r="G31" i="32"/>
  <c r="F31" i="32"/>
  <c r="E31" i="32"/>
  <c r="D31" i="32"/>
  <c r="M31" i="32" s="1"/>
  <c r="C31" i="32"/>
  <c r="B31" i="32"/>
  <c r="G30" i="32"/>
  <c r="F30" i="32"/>
  <c r="E30" i="32"/>
  <c r="D30" i="32"/>
  <c r="M30" i="32" s="1"/>
  <c r="C30" i="32"/>
  <c r="B30" i="32"/>
  <c r="G38" i="32"/>
  <c r="F38" i="32"/>
  <c r="E38" i="32"/>
  <c r="D38" i="32"/>
  <c r="M38" i="32" s="1"/>
  <c r="C38" i="32"/>
  <c r="B38" i="32"/>
  <c r="G37" i="32"/>
  <c r="F37" i="32"/>
  <c r="E37" i="32"/>
  <c r="D37" i="32"/>
  <c r="M37" i="32" s="1"/>
  <c r="C37" i="32"/>
  <c r="B37" i="32"/>
  <c r="G36" i="32"/>
  <c r="F36" i="32"/>
  <c r="E36" i="32"/>
  <c r="D36" i="32"/>
  <c r="M36" i="32" s="1"/>
  <c r="C36" i="32"/>
  <c r="B36" i="32"/>
  <c r="G35" i="32"/>
  <c r="F35" i="32"/>
  <c r="E35" i="32"/>
  <c r="D35" i="32"/>
  <c r="M35" i="32" s="1"/>
  <c r="C35" i="32"/>
  <c r="B35" i="32"/>
  <c r="H50" i="13"/>
  <c r="H22" i="13" s="1"/>
  <c r="H23" i="13" s="1"/>
  <c r="G49" i="13"/>
  <c r="F49" i="13"/>
  <c r="E49" i="13"/>
  <c r="D49" i="13"/>
  <c r="C49" i="13"/>
  <c r="B49" i="13"/>
  <c r="G48" i="13"/>
  <c r="F48" i="13"/>
  <c r="E48" i="13"/>
  <c r="D48" i="13"/>
  <c r="C48" i="13"/>
  <c r="B48" i="13"/>
  <c r="G47" i="13"/>
  <c r="F47" i="13"/>
  <c r="E47" i="13"/>
  <c r="D47" i="13"/>
  <c r="C47" i="13"/>
  <c r="B47" i="13"/>
  <c r="G46" i="13"/>
  <c r="F46" i="13"/>
  <c r="E46" i="13"/>
  <c r="D46" i="13"/>
  <c r="C46" i="13"/>
  <c r="B46" i="13"/>
  <c r="G45" i="13"/>
  <c r="F45" i="13"/>
  <c r="E45" i="13"/>
  <c r="D45" i="13"/>
  <c r="C45" i="13"/>
  <c r="B45" i="13"/>
  <c r="G44" i="13"/>
  <c r="F44" i="13"/>
  <c r="E44" i="13"/>
  <c r="D44" i="13"/>
  <c r="C44" i="13"/>
  <c r="B44" i="13"/>
  <c r="G43" i="13"/>
  <c r="F43" i="13"/>
  <c r="E43" i="13"/>
  <c r="D43" i="13"/>
  <c r="C43" i="13"/>
  <c r="B43" i="13"/>
  <c r="G42" i="13"/>
  <c r="F42" i="13"/>
  <c r="E42" i="13"/>
  <c r="D42" i="13"/>
  <c r="C42" i="13"/>
  <c r="B42" i="13"/>
  <c r="G41" i="13"/>
  <c r="F41" i="13"/>
  <c r="E41" i="13"/>
  <c r="D41" i="13"/>
  <c r="C41" i="13"/>
  <c r="B41" i="13"/>
  <c r="G40" i="13"/>
  <c r="F40" i="13"/>
  <c r="E40" i="13"/>
  <c r="D40" i="13"/>
  <c r="C40" i="13"/>
  <c r="B40" i="13"/>
  <c r="G39" i="13"/>
  <c r="F39" i="13"/>
  <c r="E39" i="13"/>
  <c r="D39" i="13"/>
  <c r="C39" i="13"/>
  <c r="B39" i="13"/>
  <c r="G37" i="13"/>
  <c r="F37" i="13"/>
  <c r="E37" i="13"/>
  <c r="D37" i="13"/>
  <c r="C37" i="13"/>
  <c r="B37" i="13"/>
  <c r="G36" i="13"/>
  <c r="F36" i="13"/>
  <c r="E36" i="13"/>
  <c r="D36" i="13"/>
  <c r="C36" i="13"/>
  <c r="B36" i="13"/>
  <c r="G35" i="13"/>
  <c r="F35" i="13"/>
  <c r="E35" i="13"/>
  <c r="D35" i="13"/>
  <c r="C35" i="13"/>
  <c r="B35" i="13"/>
  <c r="G34" i="13"/>
  <c r="F34" i="13"/>
  <c r="E34" i="13"/>
  <c r="D34" i="13"/>
  <c r="C34" i="13"/>
  <c r="B34" i="13"/>
  <c r="G33" i="13"/>
  <c r="F33" i="13"/>
  <c r="E33" i="13"/>
  <c r="D33" i="13"/>
  <c r="C33" i="13"/>
  <c r="B33" i="13"/>
  <c r="G32" i="13"/>
  <c r="F32" i="13"/>
  <c r="E32" i="13"/>
  <c r="D32" i="13"/>
  <c r="C32" i="13"/>
  <c r="B32" i="13"/>
  <c r="G31" i="13"/>
  <c r="F31" i="13"/>
  <c r="E31" i="13"/>
  <c r="D31" i="13"/>
  <c r="C31" i="13"/>
  <c r="B31" i="13"/>
  <c r="G30" i="13"/>
  <c r="F30" i="13"/>
  <c r="E30" i="13"/>
  <c r="D30" i="13"/>
  <c r="C30" i="13"/>
  <c r="B30" i="13"/>
  <c r="G29" i="13"/>
  <c r="F29" i="13"/>
  <c r="E29" i="13"/>
  <c r="D29" i="13"/>
  <c r="C29" i="13"/>
  <c r="B29" i="13"/>
  <c r="G28" i="13"/>
  <c r="F28" i="13"/>
  <c r="E28" i="13"/>
  <c r="D28" i="13"/>
  <c r="C28" i="13"/>
  <c r="B28" i="13"/>
  <c r="G27" i="13"/>
  <c r="F27" i="13"/>
  <c r="E27" i="13"/>
  <c r="D27" i="13"/>
  <c r="C27" i="13"/>
  <c r="B27" i="13"/>
  <c r="G26" i="13"/>
  <c r="G50" i="13" s="1"/>
  <c r="G22" i="13" s="1"/>
  <c r="F26" i="13"/>
  <c r="E26" i="13"/>
  <c r="D26" i="13"/>
  <c r="C26" i="13"/>
  <c r="C50" i="13" s="1"/>
  <c r="C22" i="13" s="1"/>
  <c r="B26" i="13"/>
  <c r="G20" i="13"/>
  <c r="F20" i="13"/>
  <c r="E20" i="13"/>
  <c r="D20" i="13"/>
  <c r="C20" i="13"/>
  <c r="B20" i="13"/>
  <c r="H61" i="7"/>
  <c r="H33" i="7" s="1"/>
  <c r="G60" i="7"/>
  <c r="F60" i="7"/>
  <c r="E60" i="7"/>
  <c r="D60" i="7"/>
  <c r="C60" i="7"/>
  <c r="B60" i="7"/>
  <c r="G59" i="7"/>
  <c r="F59" i="7"/>
  <c r="E59" i="7"/>
  <c r="D59" i="7"/>
  <c r="C59" i="7"/>
  <c r="B59" i="7"/>
  <c r="G58" i="7"/>
  <c r="F58" i="7"/>
  <c r="E58" i="7"/>
  <c r="D58" i="7"/>
  <c r="C58" i="7"/>
  <c r="B58" i="7"/>
  <c r="G57" i="7"/>
  <c r="F57" i="7"/>
  <c r="E57" i="7"/>
  <c r="D57" i="7"/>
  <c r="C57" i="7"/>
  <c r="B57" i="7"/>
  <c r="G56" i="7"/>
  <c r="F56" i="7"/>
  <c r="E56" i="7"/>
  <c r="D56" i="7"/>
  <c r="C56" i="7"/>
  <c r="B56" i="7"/>
  <c r="G55" i="7"/>
  <c r="F55" i="7"/>
  <c r="E55" i="7"/>
  <c r="D55" i="7"/>
  <c r="C55" i="7"/>
  <c r="B55" i="7"/>
  <c r="G54" i="7"/>
  <c r="F54" i="7"/>
  <c r="E54" i="7"/>
  <c r="D54" i="7"/>
  <c r="C54" i="7"/>
  <c r="B54" i="7"/>
  <c r="G53" i="7"/>
  <c r="F53" i="7"/>
  <c r="E53" i="7"/>
  <c r="D53" i="7"/>
  <c r="C53" i="7"/>
  <c r="B53" i="7"/>
  <c r="G52" i="7"/>
  <c r="F52" i="7"/>
  <c r="E52" i="7"/>
  <c r="D52" i="7"/>
  <c r="C52" i="7"/>
  <c r="B52" i="7"/>
  <c r="G51" i="7"/>
  <c r="F51" i="7"/>
  <c r="E51" i="7"/>
  <c r="D51" i="7"/>
  <c r="C51" i="7"/>
  <c r="B51" i="7"/>
  <c r="G50" i="7"/>
  <c r="F50" i="7"/>
  <c r="E50" i="7"/>
  <c r="D50" i="7"/>
  <c r="C50" i="7"/>
  <c r="B50" i="7"/>
  <c r="G48" i="7"/>
  <c r="F48" i="7"/>
  <c r="E48" i="7"/>
  <c r="D48" i="7"/>
  <c r="C48" i="7"/>
  <c r="B48" i="7"/>
  <c r="G47" i="7"/>
  <c r="F47" i="7"/>
  <c r="E47" i="7"/>
  <c r="D47" i="7"/>
  <c r="C47" i="7"/>
  <c r="B47" i="7"/>
  <c r="G46" i="7"/>
  <c r="F46" i="7"/>
  <c r="E46" i="7"/>
  <c r="D46" i="7"/>
  <c r="C46" i="7"/>
  <c r="B46" i="7"/>
  <c r="G45" i="7"/>
  <c r="F45" i="7"/>
  <c r="E45" i="7"/>
  <c r="D45" i="7"/>
  <c r="C45" i="7"/>
  <c r="B45" i="7"/>
  <c r="G44" i="7"/>
  <c r="F44" i="7"/>
  <c r="E44" i="7"/>
  <c r="D44" i="7"/>
  <c r="C44" i="7"/>
  <c r="B44" i="7"/>
  <c r="G43" i="7"/>
  <c r="F43" i="7"/>
  <c r="E43" i="7"/>
  <c r="D43" i="7"/>
  <c r="C43" i="7"/>
  <c r="B43" i="7"/>
  <c r="G42" i="7"/>
  <c r="F42" i="7"/>
  <c r="E42" i="7"/>
  <c r="D42" i="7"/>
  <c r="C42" i="7"/>
  <c r="B42" i="7"/>
  <c r="G41" i="7"/>
  <c r="F41" i="7"/>
  <c r="E41" i="7"/>
  <c r="D41" i="7"/>
  <c r="C41" i="7"/>
  <c r="B41" i="7"/>
  <c r="G40" i="7"/>
  <c r="F40" i="7"/>
  <c r="E40" i="7"/>
  <c r="D40" i="7"/>
  <c r="C40" i="7"/>
  <c r="B40" i="7"/>
  <c r="G39" i="7"/>
  <c r="F39" i="7"/>
  <c r="E39" i="7"/>
  <c r="D39" i="7"/>
  <c r="C39" i="7"/>
  <c r="B39" i="7"/>
  <c r="G38" i="7"/>
  <c r="F38" i="7"/>
  <c r="E38" i="7"/>
  <c r="D38" i="7"/>
  <c r="C38" i="7"/>
  <c r="B38" i="7"/>
  <c r="G37" i="7"/>
  <c r="F37" i="7"/>
  <c r="E37" i="7"/>
  <c r="D37" i="7"/>
  <c r="C37" i="7"/>
  <c r="B37" i="7"/>
  <c r="G21" i="8"/>
  <c r="G20" i="8"/>
  <c r="G19" i="8"/>
  <c r="F21" i="8"/>
  <c r="F20" i="8"/>
  <c r="F19" i="8"/>
  <c r="E21" i="8"/>
  <c r="E20" i="8"/>
  <c r="E19" i="8"/>
  <c r="D22" i="8"/>
  <c r="D21" i="8"/>
  <c r="D20" i="8"/>
  <c r="D19" i="8"/>
  <c r="C21" i="8"/>
  <c r="C20" i="8"/>
  <c r="C19" i="8"/>
  <c r="B20" i="8"/>
  <c r="B19" i="8"/>
  <c r="B21" i="8"/>
  <c r="G17" i="8"/>
  <c r="F17" i="8"/>
  <c r="E17" i="8"/>
  <c r="D17" i="8"/>
  <c r="C17" i="8"/>
  <c r="B17" i="8"/>
  <c r="G16" i="8"/>
  <c r="F16" i="8"/>
  <c r="E16" i="8"/>
  <c r="D16" i="8"/>
  <c r="C16" i="8"/>
  <c r="B16" i="8"/>
  <c r="G18" i="8"/>
  <c r="F18" i="8"/>
  <c r="E18" i="8"/>
  <c r="D18" i="8"/>
  <c r="C18" i="8"/>
  <c r="B18" i="8"/>
  <c r="G15" i="8"/>
  <c r="F15" i="8"/>
  <c r="E15" i="8"/>
  <c r="D15" i="8"/>
  <c r="C15" i="8"/>
  <c r="B15" i="8"/>
  <c r="G18" i="6"/>
  <c r="F18" i="6"/>
  <c r="E18" i="6"/>
  <c r="D18" i="6"/>
  <c r="C18" i="6"/>
  <c r="B18" i="6"/>
  <c r="H63" i="6"/>
  <c r="H23" i="6" s="1"/>
  <c r="B60" i="6"/>
  <c r="C60" i="6"/>
  <c r="D60" i="6"/>
  <c r="E60" i="6"/>
  <c r="F60" i="6"/>
  <c r="G60" i="6"/>
  <c r="B61" i="6"/>
  <c r="C61" i="6"/>
  <c r="D61" i="6"/>
  <c r="E61" i="6"/>
  <c r="F61" i="6"/>
  <c r="G61" i="6"/>
  <c r="B62" i="6"/>
  <c r="C62" i="6"/>
  <c r="D62" i="6"/>
  <c r="E62" i="6"/>
  <c r="F62" i="6"/>
  <c r="G62" i="6"/>
  <c r="G59" i="6"/>
  <c r="F59" i="6"/>
  <c r="E59" i="6"/>
  <c r="D59" i="6"/>
  <c r="C59" i="6"/>
  <c r="B59" i="6"/>
  <c r="G58" i="6"/>
  <c r="F58" i="6"/>
  <c r="E58" i="6"/>
  <c r="D58" i="6"/>
  <c r="C58" i="6"/>
  <c r="B58" i="6"/>
  <c r="G57" i="6"/>
  <c r="F57" i="6"/>
  <c r="E57" i="6"/>
  <c r="D57" i="6"/>
  <c r="C57" i="6"/>
  <c r="B57" i="6"/>
  <c r="G56" i="6"/>
  <c r="F56" i="6"/>
  <c r="E56" i="6"/>
  <c r="D56" i="6"/>
  <c r="C56" i="6"/>
  <c r="B56" i="6"/>
  <c r="G55" i="6"/>
  <c r="F55" i="6"/>
  <c r="E55" i="6"/>
  <c r="D55" i="6"/>
  <c r="C55" i="6"/>
  <c r="B55" i="6"/>
  <c r="G54" i="6"/>
  <c r="F54" i="6"/>
  <c r="E54" i="6"/>
  <c r="D54" i="6"/>
  <c r="C54" i="6"/>
  <c r="B54" i="6"/>
  <c r="G53" i="6"/>
  <c r="F53" i="6"/>
  <c r="E53" i="6"/>
  <c r="D53" i="6"/>
  <c r="C53" i="6"/>
  <c r="B53" i="6"/>
  <c r="G52" i="6"/>
  <c r="F52" i="6"/>
  <c r="E52" i="6"/>
  <c r="D52" i="6"/>
  <c r="C52" i="6"/>
  <c r="B52" i="6"/>
  <c r="G50" i="6"/>
  <c r="F50" i="6"/>
  <c r="E50" i="6"/>
  <c r="D50" i="6"/>
  <c r="C50" i="6"/>
  <c r="B50" i="6"/>
  <c r="G49" i="6"/>
  <c r="F49" i="6"/>
  <c r="E49" i="6"/>
  <c r="D49" i="6"/>
  <c r="C49" i="6"/>
  <c r="B49" i="6"/>
  <c r="G48" i="6"/>
  <c r="F48" i="6"/>
  <c r="E48" i="6"/>
  <c r="D48" i="6"/>
  <c r="C48" i="6"/>
  <c r="B48" i="6"/>
  <c r="G47" i="6"/>
  <c r="F47" i="6"/>
  <c r="E47" i="6"/>
  <c r="D47" i="6"/>
  <c r="C47" i="6"/>
  <c r="B47" i="6"/>
  <c r="G46" i="6"/>
  <c r="F46" i="6"/>
  <c r="E46" i="6"/>
  <c r="D46" i="6"/>
  <c r="C46" i="6"/>
  <c r="B46" i="6"/>
  <c r="G45" i="6"/>
  <c r="F45" i="6"/>
  <c r="E45" i="6"/>
  <c r="D45" i="6"/>
  <c r="C45" i="6"/>
  <c r="B45" i="6"/>
  <c r="G44" i="6"/>
  <c r="F44" i="6"/>
  <c r="E44" i="6"/>
  <c r="D44" i="6"/>
  <c r="C44" i="6"/>
  <c r="B44" i="6"/>
  <c r="G43" i="6"/>
  <c r="F43" i="6"/>
  <c r="E43" i="6"/>
  <c r="D43" i="6"/>
  <c r="C43" i="6"/>
  <c r="B43" i="6"/>
  <c r="G42" i="6"/>
  <c r="F42" i="6"/>
  <c r="E42" i="6"/>
  <c r="D42" i="6"/>
  <c r="C42" i="6"/>
  <c r="B42" i="6"/>
  <c r="G41" i="6"/>
  <c r="F41" i="6"/>
  <c r="E41" i="6"/>
  <c r="D41" i="6"/>
  <c r="C41" i="6"/>
  <c r="B41" i="6"/>
  <c r="G40" i="6"/>
  <c r="F40" i="6"/>
  <c r="E40" i="6"/>
  <c r="D40" i="6"/>
  <c r="C40" i="6"/>
  <c r="B40" i="6"/>
  <c r="G39" i="6"/>
  <c r="F39" i="6"/>
  <c r="E39" i="6"/>
  <c r="D39" i="6"/>
  <c r="C39" i="6"/>
  <c r="C63" i="6" s="1"/>
  <c r="C23" i="6" s="1"/>
  <c r="B39" i="6"/>
  <c r="H70" i="24"/>
  <c r="H40" i="24" s="1"/>
  <c r="H41" i="24" s="1"/>
  <c r="B18" i="24"/>
  <c r="G18" i="24"/>
  <c r="F18" i="24"/>
  <c r="E18" i="24"/>
  <c r="D18" i="24"/>
  <c r="C18" i="24"/>
  <c r="B19" i="24"/>
  <c r="C19" i="24"/>
  <c r="D19" i="24"/>
  <c r="E19" i="24"/>
  <c r="F19" i="24"/>
  <c r="G19" i="24"/>
  <c r="B20" i="24"/>
  <c r="C20" i="24"/>
  <c r="D20" i="24"/>
  <c r="E20" i="24"/>
  <c r="F20" i="24"/>
  <c r="G20" i="24"/>
  <c r="B21" i="24"/>
  <c r="C21" i="24"/>
  <c r="D21" i="24"/>
  <c r="E21" i="24"/>
  <c r="F21" i="24"/>
  <c r="G21" i="24"/>
  <c r="B22" i="24"/>
  <c r="C22" i="24"/>
  <c r="D22" i="24"/>
  <c r="E22" i="24"/>
  <c r="F22" i="24"/>
  <c r="G22" i="24"/>
  <c r="B23" i="24"/>
  <c r="C23" i="24"/>
  <c r="D23" i="24"/>
  <c r="E23" i="24"/>
  <c r="F23" i="24"/>
  <c r="G23" i="24"/>
  <c r="B24" i="24"/>
  <c r="C24" i="24"/>
  <c r="D24" i="24"/>
  <c r="E24" i="24"/>
  <c r="F24" i="24"/>
  <c r="G24" i="24"/>
  <c r="B25" i="24"/>
  <c r="C25" i="24"/>
  <c r="D25" i="24"/>
  <c r="E25" i="24"/>
  <c r="F25" i="24"/>
  <c r="G25" i="24"/>
  <c r="B26" i="24"/>
  <c r="C26" i="24"/>
  <c r="D26" i="24"/>
  <c r="E26" i="24"/>
  <c r="F26" i="24"/>
  <c r="G26" i="24"/>
  <c r="G9" i="24"/>
  <c r="F9" i="24"/>
  <c r="E9" i="24"/>
  <c r="D9" i="24"/>
  <c r="C9" i="24"/>
  <c r="B9" i="24"/>
  <c r="G8" i="24"/>
  <c r="F8" i="24"/>
  <c r="E8" i="24"/>
  <c r="D8" i="24"/>
  <c r="C8" i="24"/>
  <c r="B8" i="24"/>
  <c r="G7" i="24"/>
  <c r="F7" i="24"/>
  <c r="E7" i="24"/>
  <c r="D7" i="24"/>
  <c r="C7" i="24"/>
  <c r="B7" i="24"/>
  <c r="G6" i="24"/>
  <c r="F6" i="24"/>
  <c r="E6" i="24"/>
  <c r="D6" i="24"/>
  <c r="C6" i="24"/>
  <c r="B6" i="24"/>
  <c r="G5" i="24"/>
  <c r="F5" i="24"/>
  <c r="E5" i="24"/>
  <c r="D5" i="24"/>
  <c r="C5" i="24"/>
  <c r="B5" i="24"/>
  <c r="H88" i="9"/>
  <c r="H59" i="9" s="1"/>
  <c r="H60" i="9" s="1"/>
  <c r="G87" i="9"/>
  <c r="F87" i="9"/>
  <c r="E87" i="9"/>
  <c r="D87" i="9"/>
  <c r="C87" i="9"/>
  <c r="B87" i="9"/>
  <c r="G86" i="9"/>
  <c r="F86" i="9"/>
  <c r="E86" i="9"/>
  <c r="D86" i="9"/>
  <c r="C86" i="9"/>
  <c r="B86" i="9"/>
  <c r="G85" i="9"/>
  <c r="F85" i="9"/>
  <c r="E85" i="9"/>
  <c r="D85" i="9"/>
  <c r="C85" i="9"/>
  <c r="B85" i="9"/>
  <c r="G84" i="9"/>
  <c r="F84" i="9"/>
  <c r="E84" i="9"/>
  <c r="D84" i="9"/>
  <c r="C84" i="9"/>
  <c r="B84" i="9"/>
  <c r="G83" i="9"/>
  <c r="F83" i="9"/>
  <c r="E83" i="9"/>
  <c r="D83" i="9"/>
  <c r="C83" i="9"/>
  <c r="B83" i="9"/>
  <c r="G82" i="9"/>
  <c r="F82" i="9"/>
  <c r="E82" i="9"/>
  <c r="D82" i="9"/>
  <c r="C82" i="9"/>
  <c r="B82" i="9"/>
  <c r="G81" i="9"/>
  <c r="F81" i="9"/>
  <c r="E81" i="9"/>
  <c r="D81" i="9"/>
  <c r="C81" i="9"/>
  <c r="B81" i="9"/>
  <c r="G80" i="9"/>
  <c r="F80" i="9"/>
  <c r="E80" i="9"/>
  <c r="D80" i="9"/>
  <c r="C80" i="9"/>
  <c r="B80" i="9"/>
  <c r="G79" i="9"/>
  <c r="F79" i="9"/>
  <c r="E79" i="9"/>
  <c r="D79" i="9"/>
  <c r="C79" i="9"/>
  <c r="B79" i="9"/>
  <c r="G78" i="9"/>
  <c r="F78" i="9"/>
  <c r="E78" i="9"/>
  <c r="D78" i="9"/>
  <c r="C78" i="9"/>
  <c r="B78" i="9"/>
  <c r="G77" i="9"/>
  <c r="F77" i="9"/>
  <c r="E77" i="9"/>
  <c r="D77" i="9"/>
  <c r="C77" i="9"/>
  <c r="B77" i="9"/>
  <c r="G75" i="9"/>
  <c r="F75" i="9"/>
  <c r="E75" i="9"/>
  <c r="D75" i="9"/>
  <c r="C75" i="9"/>
  <c r="B75" i="9"/>
  <c r="G74" i="9"/>
  <c r="F74" i="9"/>
  <c r="E74" i="9"/>
  <c r="D74" i="9"/>
  <c r="C74" i="9"/>
  <c r="B74" i="9"/>
  <c r="G73" i="9"/>
  <c r="F73" i="9"/>
  <c r="E73" i="9"/>
  <c r="D73" i="9"/>
  <c r="C73" i="9"/>
  <c r="B73" i="9"/>
  <c r="G72" i="9"/>
  <c r="F72" i="9"/>
  <c r="E72" i="9"/>
  <c r="D72" i="9"/>
  <c r="C72" i="9"/>
  <c r="B72" i="9"/>
  <c r="G71" i="9"/>
  <c r="F71" i="9"/>
  <c r="E71" i="9"/>
  <c r="D71" i="9"/>
  <c r="C71" i="9"/>
  <c r="B71" i="9"/>
  <c r="G70" i="9"/>
  <c r="F70" i="9"/>
  <c r="E70" i="9"/>
  <c r="D70" i="9"/>
  <c r="C70" i="9"/>
  <c r="B70" i="9"/>
  <c r="G69" i="9"/>
  <c r="F69" i="9"/>
  <c r="E69" i="9"/>
  <c r="D69" i="9"/>
  <c r="C69" i="9"/>
  <c r="B69" i="9"/>
  <c r="G68" i="9"/>
  <c r="F68" i="9"/>
  <c r="E68" i="9"/>
  <c r="D68" i="9"/>
  <c r="C68" i="9"/>
  <c r="B68" i="9"/>
  <c r="G67" i="9"/>
  <c r="F67" i="9"/>
  <c r="E67" i="9"/>
  <c r="D67" i="9"/>
  <c r="C67" i="9"/>
  <c r="B67" i="9"/>
  <c r="G66" i="9"/>
  <c r="F66" i="9"/>
  <c r="E66" i="9"/>
  <c r="D66" i="9"/>
  <c r="C66" i="9"/>
  <c r="B66" i="9"/>
  <c r="G65" i="9"/>
  <c r="F65" i="9"/>
  <c r="E65" i="9"/>
  <c r="D65" i="9"/>
  <c r="C65" i="9"/>
  <c r="B65" i="9"/>
  <c r="G64" i="9"/>
  <c r="F64" i="9"/>
  <c r="E64" i="9"/>
  <c r="E88" i="9" s="1"/>
  <c r="D64" i="9"/>
  <c r="C64" i="9"/>
  <c r="B64" i="9"/>
  <c r="G58" i="9"/>
  <c r="F58" i="9"/>
  <c r="E58" i="9"/>
  <c r="D58" i="9"/>
  <c r="C58" i="9"/>
  <c r="B58" i="9"/>
  <c r="G41" i="9"/>
  <c r="F41" i="9"/>
  <c r="E41" i="9"/>
  <c r="D41" i="9"/>
  <c r="C41" i="9"/>
  <c r="B41" i="9"/>
  <c r="G40" i="9"/>
  <c r="F40" i="9"/>
  <c r="E40" i="9"/>
  <c r="D40" i="9"/>
  <c r="C40" i="9"/>
  <c r="B40" i="9"/>
  <c r="G39" i="9"/>
  <c r="F39" i="9"/>
  <c r="E39" i="9"/>
  <c r="D39" i="9"/>
  <c r="C39" i="9"/>
  <c r="B39" i="9"/>
  <c r="G38" i="9"/>
  <c r="F38" i="9"/>
  <c r="E38" i="9"/>
  <c r="D38" i="9"/>
  <c r="C38" i="9"/>
  <c r="B38" i="9"/>
  <c r="G37" i="9"/>
  <c r="F37" i="9"/>
  <c r="E37" i="9"/>
  <c r="D37" i="9"/>
  <c r="C37" i="9"/>
  <c r="B37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B44" i="9"/>
  <c r="C44" i="9"/>
  <c r="D44" i="9"/>
  <c r="E44" i="9"/>
  <c r="F44" i="9"/>
  <c r="G44" i="9"/>
  <c r="B45" i="9"/>
  <c r="C45" i="9"/>
  <c r="D45" i="9"/>
  <c r="E45" i="9"/>
  <c r="F45" i="9"/>
  <c r="G45" i="9"/>
  <c r="G21" i="9"/>
  <c r="F21" i="9"/>
  <c r="D21" i="9"/>
  <c r="C21" i="9"/>
  <c r="B21" i="9"/>
  <c r="E21" i="9"/>
  <c r="G10" i="1"/>
  <c r="F10" i="1"/>
  <c r="E10" i="1"/>
  <c r="D10" i="1"/>
  <c r="C10" i="1"/>
  <c r="B10" i="1"/>
  <c r="D2" i="11"/>
  <c r="C165" i="32"/>
  <c r="E165" i="32"/>
  <c r="B165" i="32"/>
  <c r="F165" i="32"/>
  <c r="D165" i="32"/>
  <c r="M165" i="32" s="1"/>
  <c r="D164" i="32"/>
  <c r="M164" i="32" s="1"/>
  <c r="B160" i="32"/>
  <c r="F161" i="32"/>
  <c r="B161" i="32"/>
  <c r="E161" i="32"/>
  <c r="D161" i="32"/>
  <c r="M161" i="32" s="1"/>
  <c r="C164" i="32"/>
  <c r="D160" i="32"/>
  <c r="M160" i="32" s="1"/>
  <c r="E160" i="32"/>
  <c r="C161" i="32"/>
  <c r="G164" i="32"/>
  <c r="F160" i="32"/>
  <c r="C160" i="32"/>
  <c r="E164" i="32"/>
  <c r="B164" i="32"/>
  <c r="G45" i="11"/>
  <c r="F45" i="11"/>
  <c r="E45" i="11"/>
  <c r="D45" i="11"/>
  <c r="C45" i="11"/>
  <c r="B45" i="11"/>
  <c r="G49" i="11"/>
  <c r="F49" i="11"/>
  <c r="E49" i="11"/>
  <c r="D49" i="11"/>
  <c r="C49" i="11"/>
  <c r="B49" i="11"/>
  <c r="H85" i="11"/>
  <c r="H54" i="11" s="1"/>
  <c r="H55" i="11" s="1"/>
  <c r="C16" i="1"/>
  <c r="D16" i="1"/>
  <c r="E16" i="1"/>
  <c r="F16" i="1"/>
  <c r="G16" i="1"/>
  <c r="B16" i="1"/>
  <c r="E13" i="27"/>
  <c r="E12" i="27"/>
  <c r="D10" i="27"/>
  <c r="E10" i="27" s="1"/>
  <c r="E11" i="27"/>
  <c r="D9" i="27"/>
  <c r="E5" i="27"/>
  <c r="E6" i="27"/>
  <c r="E7" i="27"/>
  <c r="E8" i="27"/>
  <c r="E4" i="27"/>
  <c r="E3" i="27"/>
  <c r="C9" i="27" s="1"/>
  <c r="E9" i="27" s="1"/>
  <c r="E2" i="27"/>
  <c r="G30" i="9"/>
  <c r="F30" i="9"/>
  <c r="E30" i="9"/>
  <c r="D30" i="9"/>
  <c r="C30" i="9"/>
  <c r="B30" i="9"/>
  <c r="G15" i="24"/>
  <c r="F15" i="24"/>
  <c r="E15" i="24"/>
  <c r="D15" i="24"/>
  <c r="C15" i="24"/>
  <c r="B15" i="24"/>
  <c r="G2" i="24"/>
  <c r="F2" i="24"/>
  <c r="E2" i="24"/>
  <c r="D2" i="24"/>
  <c r="C2" i="24"/>
  <c r="B2" i="24"/>
  <c r="C46" i="9"/>
  <c r="G46" i="9"/>
  <c r="F46" i="9"/>
  <c r="E46" i="9"/>
  <c r="D46" i="9"/>
  <c r="B46" i="9"/>
  <c r="G28" i="9"/>
  <c r="F28" i="9"/>
  <c r="E28" i="9"/>
  <c r="D28" i="9"/>
  <c r="C28" i="9"/>
  <c r="B28" i="9"/>
  <c r="G31" i="9"/>
  <c r="F31" i="9"/>
  <c r="E31" i="9"/>
  <c r="D31" i="9"/>
  <c r="C31" i="9"/>
  <c r="B31" i="9"/>
  <c r="G32" i="9"/>
  <c r="F32" i="9"/>
  <c r="E32" i="9"/>
  <c r="D32" i="9"/>
  <c r="C32" i="9"/>
  <c r="B32" i="9"/>
  <c r="G29" i="9"/>
  <c r="F29" i="9"/>
  <c r="E29" i="9"/>
  <c r="D29" i="9"/>
  <c r="B29" i="9"/>
  <c r="G10" i="24"/>
  <c r="D16" i="24"/>
  <c r="E13" i="24"/>
  <c r="G30" i="24"/>
  <c r="F30" i="24"/>
  <c r="E30" i="24"/>
  <c r="D30" i="24"/>
  <c r="C30" i="24"/>
  <c r="B30" i="24"/>
  <c r="G11" i="24"/>
  <c r="F11" i="24"/>
  <c r="E11" i="24"/>
  <c r="D11" i="24"/>
  <c r="C11" i="24"/>
  <c r="B11" i="24"/>
  <c r="D10" i="24"/>
  <c r="F17" i="24"/>
  <c r="G17" i="24"/>
  <c r="D17" i="24"/>
  <c r="C17" i="24"/>
  <c r="C13" i="24"/>
  <c r="E14" i="24"/>
  <c r="G14" i="24"/>
  <c r="C14" i="24"/>
  <c r="B14" i="24"/>
  <c r="G17" i="6"/>
  <c r="F17" i="6"/>
  <c r="E17" i="6"/>
  <c r="D17" i="6"/>
  <c r="C17" i="6"/>
  <c r="B17" i="6"/>
  <c r="G16" i="6"/>
  <c r="F16" i="6"/>
  <c r="E16" i="6"/>
  <c r="D16" i="6"/>
  <c r="C16" i="6"/>
  <c r="B16" i="6"/>
  <c r="E5" i="1"/>
  <c r="F5" i="1"/>
  <c r="C5" i="1"/>
  <c r="B5" i="1"/>
  <c r="G5" i="1"/>
  <c r="D5" i="1"/>
  <c r="G21" i="6"/>
  <c r="F21" i="6"/>
  <c r="E21" i="6"/>
  <c r="D21" i="6"/>
  <c r="C21" i="6"/>
  <c r="B21" i="6"/>
  <c r="G20" i="6"/>
  <c r="F20" i="6"/>
  <c r="E20" i="6"/>
  <c r="D20" i="6"/>
  <c r="C20" i="6"/>
  <c r="B20" i="6"/>
  <c r="G19" i="6"/>
  <c r="F19" i="6"/>
  <c r="E19" i="6"/>
  <c r="D19" i="6"/>
  <c r="C19" i="6"/>
  <c r="B19" i="6"/>
  <c r="G15" i="6"/>
  <c r="F15" i="6"/>
  <c r="E15" i="6"/>
  <c r="D15" i="6"/>
  <c r="C15" i="6"/>
  <c r="B15" i="6"/>
  <c r="G14" i="6"/>
  <c r="F14" i="6"/>
  <c r="E14" i="6"/>
  <c r="D14" i="6"/>
  <c r="C14" i="6"/>
  <c r="B14" i="6"/>
  <c r="G13" i="6"/>
  <c r="F13" i="6"/>
  <c r="E13" i="6"/>
  <c r="D13" i="6"/>
  <c r="C13" i="6"/>
  <c r="B13" i="6"/>
  <c r="G29" i="24"/>
  <c r="F29" i="24"/>
  <c r="E29" i="24"/>
  <c r="D29" i="24"/>
  <c r="C29" i="24"/>
  <c r="B29" i="24"/>
  <c r="G28" i="24"/>
  <c r="F28" i="24"/>
  <c r="E28" i="24"/>
  <c r="D28" i="24"/>
  <c r="C28" i="24"/>
  <c r="B28" i="24"/>
  <c r="G39" i="24"/>
  <c r="F39" i="24"/>
  <c r="E39" i="24"/>
  <c r="D39" i="24"/>
  <c r="C39" i="24"/>
  <c r="B39" i="24"/>
  <c r="F5" i="8"/>
  <c r="E5" i="8"/>
  <c r="D5" i="8"/>
  <c r="C5" i="8"/>
  <c r="B5" i="8"/>
  <c r="G5" i="8"/>
  <c r="G22" i="8"/>
  <c r="F22" i="8"/>
  <c r="E22" i="8"/>
  <c r="C22" i="8"/>
  <c r="B22" i="8"/>
  <c r="G14" i="13"/>
  <c r="F14" i="13"/>
  <c r="E14" i="13"/>
  <c r="D14" i="13"/>
  <c r="C14" i="13"/>
  <c r="B14" i="13"/>
  <c r="G21" i="13"/>
  <c r="F21" i="13"/>
  <c r="E21" i="13"/>
  <c r="D21" i="13"/>
  <c r="C21" i="13"/>
  <c r="B21" i="13"/>
  <c r="G19" i="13"/>
  <c r="F19" i="13"/>
  <c r="E19" i="13"/>
  <c r="D19" i="13"/>
  <c r="C19" i="13"/>
  <c r="B19" i="13"/>
  <c r="G17" i="13"/>
  <c r="F17" i="13"/>
  <c r="E17" i="13"/>
  <c r="D17" i="13"/>
  <c r="C17" i="13"/>
  <c r="B17" i="13"/>
  <c r="G16" i="13"/>
  <c r="F16" i="13"/>
  <c r="E16" i="13"/>
  <c r="D16" i="13"/>
  <c r="C16" i="13"/>
  <c r="B16" i="13"/>
  <c r="G15" i="13"/>
  <c r="F15" i="13"/>
  <c r="E15" i="13"/>
  <c r="D15" i="13"/>
  <c r="C15" i="13"/>
  <c r="B15" i="13"/>
  <c r="G13" i="13"/>
  <c r="F13" i="13"/>
  <c r="E13" i="13"/>
  <c r="D13" i="13"/>
  <c r="C13" i="13"/>
  <c r="B13" i="13"/>
  <c r="G18" i="13"/>
  <c r="F18" i="13"/>
  <c r="E18" i="13"/>
  <c r="D18" i="13"/>
  <c r="C18" i="13"/>
  <c r="B18" i="13"/>
  <c r="B13" i="24"/>
  <c r="C16" i="24"/>
  <c r="F13" i="24"/>
  <c r="B10" i="24"/>
  <c r="B16" i="24"/>
  <c r="C10" i="24"/>
  <c r="E10" i="24"/>
  <c r="F10" i="24"/>
  <c r="F16" i="24"/>
  <c r="G16" i="24"/>
  <c r="G13" i="24"/>
  <c r="D13" i="24"/>
  <c r="D14" i="24"/>
  <c r="F14" i="24"/>
  <c r="E17" i="24"/>
  <c r="B17" i="24"/>
  <c r="G25" i="7"/>
  <c r="F25" i="7"/>
  <c r="E25" i="7"/>
  <c r="D25" i="7"/>
  <c r="C25" i="7"/>
  <c r="B25" i="7"/>
  <c r="G24" i="7"/>
  <c r="F24" i="7"/>
  <c r="E24" i="7"/>
  <c r="D24" i="7"/>
  <c r="C24" i="7"/>
  <c r="B24" i="7"/>
  <c r="B2" i="7"/>
  <c r="G8" i="9"/>
  <c r="G7" i="9"/>
  <c r="F8" i="9"/>
  <c r="F7" i="9"/>
  <c r="E8" i="9"/>
  <c r="E7" i="9"/>
  <c r="D8" i="9"/>
  <c r="D7" i="9"/>
  <c r="C8" i="9"/>
  <c r="C7" i="9"/>
  <c r="B8" i="9"/>
  <c r="B7" i="9"/>
  <c r="D11" i="6"/>
  <c r="G10" i="7"/>
  <c r="F10" i="7"/>
  <c r="E10" i="7"/>
  <c r="D10" i="7"/>
  <c r="C10" i="7"/>
  <c r="B10" i="7"/>
  <c r="C3" i="6"/>
  <c r="C5" i="9"/>
  <c r="G47" i="9"/>
  <c r="G48" i="9"/>
  <c r="F48" i="9"/>
  <c r="E48" i="9"/>
  <c r="D48" i="9"/>
  <c r="C48" i="9"/>
  <c r="B48" i="9"/>
  <c r="C47" i="9"/>
  <c r="B47" i="9"/>
  <c r="F47" i="9"/>
  <c r="E47" i="9"/>
  <c r="D47" i="9"/>
  <c r="C10" i="11"/>
  <c r="G52" i="9"/>
  <c r="F52" i="9"/>
  <c r="E52" i="9"/>
  <c r="D52" i="9"/>
  <c r="C52" i="9"/>
  <c r="B52" i="9"/>
  <c r="F17" i="9"/>
  <c r="E17" i="9"/>
  <c r="D17" i="9"/>
  <c r="C17" i="9"/>
  <c r="B17" i="9"/>
  <c r="G17" i="9"/>
  <c r="B2" i="9"/>
  <c r="C2" i="9"/>
  <c r="D2" i="9"/>
  <c r="E2" i="9"/>
  <c r="F2" i="9"/>
  <c r="G2" i="9"/>
  <c r="B3" i="9"/>
  <c r="C3" i="9"/>
  <c r="D3" i="9"/>
  <c r="E3" i="9"/>
  <c r="F3" i="9"/>
  <c r="G3" i="9"/>
  <c r="B4" i="9"/>
  <c r="C4" i="9"/>
  <c r="D4" i="9"/>
  <c r="E4" i="9"/>
  <c r="F4" i="9"/>
  <c r="G4" i="9"/>
  <c r="B5" i="9"/>
  <c r="D5" i="9"/>
  <c r="E5" i="9"/>
  <c r="F5" i="9"/>
  <c r="G5" i="9"/>
  <c r="B6" i="9"/>
  <c r="C6" i="9"/>
  <c r="D6" i="9"/>
  <c r="E6" i="9"/>
  <c r="F6" i="9"/>
  <c r="G6" i="9"/>
  <c r="B9" i="9"/>
  <c r="C9" i="9"/>
  <c r="D9" i="9"/>
  <c r="E9" i="9"/>
  <c r="F9" i="9"/>
  <c r="G9" i="9"/>
  <c r="B10" i="9"/>
  <c r="C10" i="9"/>
  <c r="D10" i="9"/>
  <c r="E10" i="9"/>
  <c r="F10" i="9"/>
  <c r="G10" i="9"/>
  <c r="B11" i="9"/>
  <c r="C11" i="9"/>
  <c r="D11" i="9"/>
  <c r="E11" i="9"/>
  <c r="F11" i="9"/>
  <c r="G11" i="9"/>
  <c r="B12" i="9"/>
  <c r="C12" i="9"/>
  <c r="D12" i="9"/>
  <c r="E12" i="9"/>
  <c r="F12" i="9"/>
  <c r="G12" i="9"/>
  <c r="B13" i="9"/>
  <c r="C13" i="9"/>
  <c r="D13" i="9"/>
  <c r="E13" i="9"/>
  <c r="F13" i="9"/>
  <c r="G13" i="9"/>
  <c r="B14" i="9"/>
  <c r="C14" i="9"/>
  <c r="D14" i="9"/>
  <c r="E14" i="9"/>
  <c r="F14" i="9"/>
  <c r="G14" i="9"/>
  <c r="B18" i="9"/>
  <c r="C18" i="9"/>
  <c r="D18" i="9"/>
  <c r="E18" i="9"/>
  <c r="F18" i="9"/>
  <c r="G18" i="9"/>
  <c r="B19" i="9"/>
  <c r="C19" i="9"/>
  <c r="D19" i="9"/>
  <c r="E19" i="9"/>
  <c r="F19" i="9"/>
  <c r="G19" i="9"/>
  <c r="B15" i="9"/>
  <c r="C15" i="9"/>
  <c r="D15" i="9"/>
  <c r="E15" i="9"/>
  <c r="F15" i="9"/>
  <c r="G15" i="9"/>
  <c r="B16" i="9"/>
  <c r="C16" i="9"/>
  <c r="D16" i="9"/>
  <c r="E16" i="9"/>
  <c r="F16" i="9"/>
  <c r="G16" i="9"/>
  <c r="E57" i="9"/>
  <c r="G51" i="9"/>
  <c r="F51" i="9"/>
  <c r="E51" i="9"/>
  <c r="D51" i="9"/>
  <c r="C51" i="9"/>
  <c r="B51" i="9"/>
  <c r="G50" i="9"/>
  <c r="F50" i="9"/>
  <c r="E50" i="9"/>
  <c r="D50" i="9"/>
  <c r="C50" i="9"/>
  <c r="B50" i="9"/>
  <c r="G56" i="9"/>
  <c r="F56" i="9"/>
  <c r="E56" i="9"/>
  <c r="D56" i="9"/>
  <c r="C56" i="9"/>
  <c r="B56" i="9"/>
  <c r="G55" i="9"/>
  <c r="C55" i="9"/>
  <c r="G49" i="9"/>
  <c r="F49" i="9"/>
  <c r="E49" i="9"/>
  <c r="D49" i="9"/>
  <c r="C49" i="9"/>
  <c r="B49" i="9"/>
  <c r="G27" i="6"/>
  <c r="G34" i="6"/>
  <c r="F34" i="6"/>
  <c r="E34" i="6"/>
  <c r="D34" i="6"/>
  <c r="C34" i="6"/>
  <c r="B34" i="6"/>
  <c r="F3" i="6"/>
  <c r="G33" i="6"/>
  <c r="F33" i="6"/>
  <c r="E33" i="6"/>
  <c r="D33" i="6"/>
  <c r="C33" i="6"/>
  <c r="B33" i="6"/>
  <c r="G32" i="6"/>
  <c r="F32" i="6"/>
  <c r="E32" i="6"/>
  <c r="D32" i="6"/>
  <c r="C32" i="6"/>
  <c r="B32" i="6"/>
  <c r="G31" i="6"/>
  <c r="F31" i="6"/>
  <c r="E31" i="6"/>
  <c r="D31" i="6"/>
  <c r="C31" i="6"/>
  <c r="B31" i="6"/>
  <c r="G30" i="6"/>
  <c r="F30" i="6"/>
  <c r="E30" i="6"/>
  <c r="D30" i="6"/>
  <c r="C30" i="6"/>
  <c r="B30" i="6"/>
  <c r="G29" i="6"/>
  <c r="F29" i="6"/>
  <c r="E29" i="6"/>
  <c r="D29" i="6"/>
  <c r="C29" i="6"/>
  <c r="B29" i="6"/>
  <c r="G28" i="6"/>
  <c r="F28" i="6"/>
  <c r="E28" i="6"/>
  <c r="D28" i="6"/>
  <c r="C28" i="6"/>
  <c r="B28" i="6"/>
  <c r="G13" i="1"/>
  <c r="G3" i="1"/>
  <c r="G12" i="13"/>
  <c r="F12" i="13"/>
  <c r="E12" i="13"/>
  <c r="D12" i="13"/>
  <c r="C12" i="13"/>
  <c r="B12" i="13"/>
  <c r="G11" i="13"/>
  <c r="F11" i="13"/>
  <c r="E11" i="13"/>
  <c r="D11" i="13"/>
  <c r="C11" i="13"/>
  <c r="B11" i="13"/>
  <c r="G10" i="13"/>
  <c r="F10" i="13"/>
  <c r="E10" i="13"/>
  <c r="D10" i="13"/>
  <c r="C10" i="13"/>
  <c r="B10" i="13"/>
  <c r="G9" i="13"/>
  <c r="F9" i="13"/>
  <c r="E9" i="13"/>
  <c r="D9" i="13"/>
  <c r="C9" i="13"/>
  <c r="B9" i="13"/>
  <c r="G8" i="13"/>
  <c r="F8" i="13"/>
  <c r="E8" i="13"/>
  <c r="D8" i="13"/>
  <c r="C8" i="13"/>
  <c r="B8" i="13"/>
  <c r="G7" i="13"/>
  <c r="F7" i="13"/>
  <c r="E7" i="13"/>
  <c r="D7" i="13"/>
  <c r="C7" i="13"/>
  <c r="B7" i="13"/>
  <c r="G6" i="13"/>
  <c r="F6" i="13"/>
  <c r="E6" i="13"/>
  <c r="D6" i="13"/>
  <c r="C6" i="13"/>
  <c r="B6" i="13"/>
  <c r="G5" i="13"/>
  <c r="F5" i="13"/>
  <c r="E5" i="13"/>
  <c r="D5" i="13"/>
  <c r="C5" i="13"/>
  <c r="B5" i="13"/>
  <c r="G4" i="13"/>
  <c r="F4" i="13"/>
  <c r="E4" i="13"/>
  <c r="D4" i="13"/>
  <c r="C4" i="13"/>
  <c r="B4" i="13"/>
  <c r="G3" i="13"/>
  <c r="F3" i="13"/>
  <c r="E3" i="13"/>
  <c r="D3" i="13"/>
  <c r="C3" i="13"/>
  <c r="B3" i="13"/>
  <c r="G2" i="13"/>
  <c r="F2" i="13"/>
  <c r="E2" i="13"/>
  <c r="D2" i="13"/>
  <c r="C2" i="13"/>
  <c r="B2" i="13"/>
  <c r="G10" i="11"/>
  <c r="F10" i="11"/>
  <c r="E10" i="11"/>
  <c r="D10" i="11"/>
  <c r="B10" i="11"/>
  <c r="G7" i="11"/>
  <c r="F7" i="11"/>
  <c r="E7" i="11"/>
  <c r="D7" i="11"/>
  <c r="C7" i="11"/>
  <c r="B7" i="11"/>
  <c r="H51" i="8"/>
  <c r="G14" i="8"/>
  <c r="F14" i="8"/>
  <c r="E14" i="8"/>
  <c r="D14" i="8"/>
  <c r="C14" i="8"/>
  <c r="B14" i="8"/>
  <c r="G13" i="8"/>
  <c r="F13" i="8"/>
  <c r="E13" i="8"/>
  <c r="D13" i="8"/>
  <c r="C13" i="8"/>
  <c r="B13" i="8"/>
  <c r="G12" i="8"/>
  <c r="F12" i="8"/>
  <c r="E12" i="8"/>
  <c r="D12" i="8"/>
  <c r="C12" i="8"/>
  <c r="B12" i="8"/>
  <c r="G11" i="8"/>
  <c r="F11" i="8"/>
  <c r="E11" i="8"/>
  <c r="D11" i="8"/>
  <c r="C11" i="8"/>
  <c r="B11" i="8"/>
  <c r="G10" i="8"/>
  <c r="F10" i="8"/>
  <c r="E10" i="8"/>
  <c r="D10" i="8"/>
  <c r="C10" i="8"/>
  <c r="B10" i="8"/>
  <c r="G9" i="8"/>
  <c r="F9" i="8"/>
  <c r="E9" i="8"/>
  <c r="D9" i="8"/>
  <c r="C9" i="8"/>
  <c r="B9" i="8"/>
  <c r="G8" i="8"/>
  <c r="F8" i="8"/>
  <c r="E8" i="8"/>
  <c r="D8" i="8"/>
  <c r="C8" i="8"/>
  <c r="B8" i="8"/>
  <c r="G7" i="8"/>
  <c r="F7" i="8"/>
  <c r="E7" i="8"/>
  <c r="D7" i="8"/>
  <c r="C7" i="8"/>
  <c r="B7" i="8"/>
  <c r="G2" i="8"/>
  <c r="F2" i="8"/>
  <c r="E2" i="8"/>
  <c r="D2" i="8"/>
  <c r="C2" i="8"/>
  <c r="B2" i="8"/>
  <c r="G4" i="8"/>
  <c r="F4" i="8"/>
  <c r="E4" i="8"/>
  <c r="D4" i="8"/>
  <c r="C4" i="8"/>
  <c r="B4" i="8"/>
  <c r="G3" i="8"/>
  <c r="F3" i="8"/>
  <c r="E3" i="8"/>
  <c r="D3" i="8"/>
  <c r="C3" i="8"/>
  <c r="B3" i="8"/>
  <c r="G6" i="8"/>
  <c r="F6" i="8"/>
  <c r="E6" i="8"/>
  <c r="D6" i="8"/>
  <c r="C6" i="8"/>
  <c r="B6" i="8"/>
  <c r="B3" i="7"/>
  <c r="C3" i="7"/>
  <c r="D3" i="7"/>
  <c r="E3" i="7"/>
  <c r="F3" i="7"/>
  <c r="G3" i="7"/>
  <c r="G30" i="7"/>
  <c r="F30" i="7"/>
  <c r="E30" i="7"/>
  <c r="D30" i="7"/>
  <c r="C30" i="7"/>
  <c r="B30" i="7"/>
  <c r="G29" i="7"/>
  <c r="F29" i="7"/>
  <c r="E29" i="7"/>
  <c r="D29" i="7"/>
  <c r="C29" i="7"/>
  <c r="B29" i="7"/>
  <c r="G28" i="7"/>
  <c r="F28" i="7"/>
  <c r="E28" i="7"/>
  <c r="D28" i="7"/>
  <c r="C28" i="7"/>
  <c r="B28" i="7"/>
  <c r="G26" i="7"/>
  <c r="F26" i="7"/>
  <c r="E26" i="7"/>
  <c r="D26" i="7"/>
  <c r="C26" i="7"/>
  <c r="B26" i="7"/>
  <c r="G23" i="7"/>
  <c r="F23" i="7"/>
  <c r="E23" i="7"/>
  <c r="D23" i="7"/>
  <c r="C23" i="7"/>
  <c r="B23" i="7"/>
  <c r="G22" i="7"/>
  <c r="F22" i="7"/>
  <c r="E22" i="7"/>
  <c r="D22" i="7"/>
  <c r="C22" i="7"/>
  <c r="B22" i="7"/>
  <c r="G19" i="7"/>
  <c r="F19" i="7"/>
  <c r="E19" i="7"/>
  <c r="D19" i="7"/>
  <c r="C19" i="7"/>
  <c r="B19" i="7"/>
  <c r="G16" i="7"/>
  <c r="F16" i="7"/>
  <c r="E16" i="7"/>
  <c r="D16" i="7"/>
  <c r="C16" i="7"/>
  <c r="B16" i="7"/>
  <c r="G15" i="7"/>
  <c r="F15" i="7"/>
  <c r="E15" i="7"/>
  <c r="D15" i="7"/>
  <c r="C15" i="7"/>
  <c r="B15" i="7"/>
  <c r="G14" i="7"/>
  <c r="F14" i="7"/>
  <c r="E14" i="7"/>
  <c r="D14" i="7"/>
  <c r="C14" i="7"/>
  <c r="B14" i="7"/>
  <c r="G13" i="7"/>
  <c r="F13" i="7"/>
  <c r="E13" i="7"/>
  <c r="D13" i="7"/>
  <c r="C13" i="7"/>
  <c r="B13" i="7"/>
  <c r="G9" i="7"/>
  <c r="F9" i="7"/>
  <c r="E9" i="7"/>
  <c r="D9" i="7"/>
  <c r="C9" i="7"/>
  <c r="B9" i="7"/>
  <c r="G7" i="7"/>
  <c r="C7" i="7"/>
  <c r="G5" i="7"/>
  <c r="F5" i="7"/>
  <c r="E5" i="7"/>
  <c r="D5" i="7"/>
  <c r="C5" i="7"/>
  <c r="B5" i="7"/>
  <c r="G4" i="7"/>
  <c r="F4" i="7"/>
  <c r="E4" i="7"/>
  <c r="D4" i="7"/>
  <c r="C4" i="7"/>
  <c r="B4" i="7"/>
  <c r="G10" i="6"/>
  <c r="F10" i="6"/>
  <c r="E10" i="6"/>
  <c r="D10" i="6"/>
  <c r="C10" i="6"/>
  <c r="B10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G5" i="6"/>
  <c r="F5" i="6"/>
  <c r="E5" i="6"/>
  <c r="D5" i="6"/>
  <c r="C5" i="6"/>
  <c r="B5" i="6"/>
  <c r="G4" i="6"/>
  <c r="F4" i="6"/>
  <c r="E4" i="6"/>
  <c r="D4" i="6"/>
  <c r="C4" i="6"/>
  <c r="B4" i="6"/>
  <c r="H29" i="1"/>
  <c r="G28" i="1"/>
  <c r="F28" i="1"/>
  <c r="E28" i="1"/>
  <c r="D28" i="1"/>
  <c r="C28" i="1"/>
  <c r="B28" i="1"/>
  <c r="G25" i="1"/>
  <c r="F25" i="1"/>
  <c r="E25" i="1"/>
  <c r="D25" i="1"/>
  <c r="C25" i="1"/>
  <c r="B25" i="1"/>
  <c r="G23" i="1"/>
  <c r="F23" i="1"/>
  <c r="E23" i="1"/>
  <c r="D23" i="1"/>
  <c r="C23" i="1"/>
  <c r="B23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D12" i="1"/>
  <c r="C19" i="1"/>
  <c r="B19" i="1"/>
  <c r="G18" i="1"/>
  <c r="F18" i="1"/>
  <c r="E18" i="1"/>
  <c r="D18" i="1"/>
  <c r="C18" i="1"/>
  <c r="B18" i="1"/>
  <c r="G17" i="1"/>
  <c r="F17" i="1"/>
  <c r="E17" i="1"/>
  <c r="D17" i="1"/>
  <c r="C17" i="1"/>
  <c r="B17" i="1"/>
  <c r="G15" i="1"/>
  <c r="F15" i="1"/>
  <c r="E15" i="1"/>
  <c r="D15" i="1"/>
  <c r="C15" i="1"/>
  <c r="B15" i="1"/>
  <c r="B12" i="1"/>
  <c r="F13" i="1"/>
  <c r="E13" i="1"/>
  <c r="D13" i="1"/>
  <c r="C13" i="1"/>
  <c r="B13" i="1"/>
  <c r="G12" i="1"/>
  <c r="F12" i="1"/>
  <c r="E12" i="1"/>
  <c r="C12" i="1"/>
  <c r="G11" i="1"/>
  <c r="F11" i="1"/>
  <c r="E11" i="1"/>
  <c r="D11" i="1"/>
  <c r="C11" i="1"/>
  <c r="B11" i="1"/>
  <c r="G9" i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E29" i="1" s="1"/>
  <c r="D6" i="1"/>
  <c r="C6" i="1"/>
  <c r="B6" i="1"/>
  <c r="G4" i="1"/>
  <c r="G29" i="1" s="1"/>
  <c r="F4" i="1"/>
  <c r="E4" i="1"/>
  <c r="D4" i="1"/>
  <c r="C4" i="1"/>
  <c r="B4" i="1"/>
  <c r="F3" i="1"/>
  <c r="E3" i="1"/>
  <c r="D3" i="1"/>
  <c r="D29" i="1" s="1"/>
  <c r="C3" i="1"/>
  <c r="B3" i="1"/>
  <c r="G2" i="1"/>
  <c r="F2" i="1"/>
  <c r="F29" i="1" s="1"/>
  <c r="E2" i="1"/>
  <c r="D2" i="1"/>
  <c r="C2" i="1"/>
  <c r="B2" i="1"/>
  <c r="B29" i="1" s="1"/>
  <c r="E27" i="6"/>
  <c r="B27" i="6"/>
  <c r="F11" i="6"/>
  <c r="E3" i="6"/>
  <c r="B7" i="7"/>
  <c r="D7" i="7"/>
  <c r="F7" i="7"/>
  <c r="E7" i="7"/>
  <c r="F26" i="9"/>
  <c r="D3" i="6"/>
  <c r="B3" i="6"/>
  <c r="G3" i="6"/>
  <c r="E11" i="6"/>
  <c r="B11" i="6"/>
  <c r="F27" i="6"/>
  <c r="G11" i="6"/>
  <c r="C11" i="6"/>
  <c r="C27" i="6"/>
  <c r="D27" i="6"/>
  <c r="D26" i="9"/>
  <c r="B26" i="9"/>
  <c r="E26" i="9"/>
  <c r="C26" i="9"/>
  <c r="G26" i="9"/>
  <c r="K415" i="32"/>
  <c r="E2" i="6"/>
  <c r="C2" i="6"/>
  <c r="C2" i="7"/>
  <c r="E2" i="7"/>
  <c r="G2" i="7"/>
  <c r="D2" i="7"/>
  <c r="C64" i="40"/>
  <c r="C36" i="40" s="1"/>
  <c r="G2" i="40"/>
  <c r="B2" i="40"/>
  <c r="C47" i="41"/>
  <c r="H39" i="42"/>
  <c r="H40" i="42" s="1"/>
  <c r="C47" i="39"/>
  <c r="H47" i="41"/>
  <c r="H48" i="41" s="1"/>
  <c r="E88" i="43"/>
  <c r="E58" i="43"/>
  <c r="D88" i="43"/>
  <c r="D58" i="43" s="1"/>
  <c r="C84" i="45"/>
  <c r="C54" i="45" s="1"/>
  <c r="G84" i="45"/>
  <c r="G54" i="45" s="1"/>
  <c r="E84" i="45"/>
  <c r="E54" i="45" s="1"/>
  <c r="L83" i="32"/>
  <c r="L366" i="32"/>
  <c r="L353" i="32"/>
  <c r="L363" i="32"/>
  <c r="L230" i="32"/>
  <c r="C29" i="1" l="1"/>
  <c r="G413" i="32"/>
  <c r="G246" i="34"/>
  <c r="E413" i="32"/>
  <c r="E246" i="34"/>
  <c r="B246" i="34"/>
  <c r="B413" i="32"/>
  <c r="F413" i="32"/>
  <c r="F246" i="34"/>
  <c r="D413" i="32"/>
  <c r="M413" i="32" s="1"/>
  <c r="D246" i="34"/>
  <c r="M246" i="34" s="1"/>
  <c r="C413" i="32"/>
  <c r="C246" i="34"/>
  <c r="L166" i="32"/>
  <c r="L218" i="32"/>
  <c r="L190" i="32"/>
  <c r="L191" i="32"/>
  <c r="L192" i="32"/>
  <c r="L193" i="32"/>
  <c r="L207" i="32"/>
  <c r="L208" i="32"/>
  <c r="L111" i="32"/>
  <c r="L215" i="32"/>
  <c r="L402" i="32"/>
  <c r="L404" i="32"/>
  <c r="E64" i="46"/>
  <c r="E33" i="46" s="1"/>
  <c r="D64" i="46"/>
  <c r="D33" i="46" s="1"/>
  <c r="C85" i="11"/>
  <c r="C54" i="11" s="1"/>
  <c r="F85" i="11"/>
  <c r="F54" i="11" s="1"/>
  <c r="E65" i="49"/>
  <c r="E35" i="49" s="1"/>
  <c r="C65" i="49"/>
  <c r="C35" i="49" s="1"/>
  <c r="G65" i="49"/>
  <c r="G35" i="49" s="1"/>
  <c r="F65" i="49"/>
  <c r="F35" i="49" s="1"/>
  <c r="B65" i="49"/>
  <c r="B35" i="49" s="1"/>
  <c r="D65" i="49"/>
  <c r="D35" i="49" s="1"/>
  <c r="F61" i="7"/>
  <c r="F33" i="7" s="1"/>
  <c r="E6" i="7"/>
  <c r="C61" i="7"/>
  <c r="C33" i="7" s="1"/>
  <c r="D6" i="7"/>
  <c r="H34" i="7"/>
  <c r="E61" i="7"/>
  <c r="E33" i="7" s="1"/>
  <c r="G61" i="7"/>
  <c r="G33" i="7" s="1"/>
  <c r="C34" i="7"/>
  <c r="C8" i="34" s="1"/>
  <c r="D61" i="7"/>
  <c r="D33" i="7" s="1"/>
  <c r="B61" i="7"/>
  <c r="B33" i="7" s="1"/>
  <c r="G6" i="7"/>
  <c r="F6" i="7"/>
  <c r="F34" i="7" s="1"/>
  <c r="B6" i="7"/>
  <c r="E34" i="7"/>
  <c r="C24" i="6"/>
  <c r="C22" i="6"/>
  <c r="G63" i="6"/>
  <c r="G23" i="6"/>
  <c r="G35" i="6"/>
  <c r="G36" i="6" s="1"/>
  <c r="B63" i="6"/>
  <c r="B35" i="6" s="1"/>
  <c r="B36" i="6" s="1"/>
  <c r="F63" i="6"/>
  <c r="F23" i="6" s="1"/>
  <c r="D63" i="6"/>
  <c r="D23" i="6" s="1"/>
  <c r="G22" i="6"/>
  <c r="E63" i="6"/>
  <c r="E35" i="6" s="1"/>
  <c r="E36" i="6" s="1"/>
  <c r="D22" i="6"/>
  <c r="C19" i="32"/>
  <c r="C20" i="34"/>
  <c r="C3" i="24"/>
  <c r="B23" i="6"/>
  <c r="F35" i="6"/>
  <c r="G24" i="6"/>
  <c r="F36" i="6"/>
  <c r="C35" i="6"/>
  <c r="C36" i="6" s="1"/>
  <c r="B2" i="6"/>
  <c r="D2" i="6"/>
  <c r="H24" i="6"/>
  <c r="F2" i="6"/>
  <c r="H35" i="6"/>
  <c r="H36" i="6" s="1"/>
  <c r="E22" i="6"/>
  <c r="D67" i="48"/>
  <c r="D38" i="48" s="1"/>
  <c r="D39" i="48" s="1"/>
  <c r="D6" i="32" s="1"/>
  <c r="M6" i="32" s="1"/>
  <c r="F6" i="34"/>
  <c r="F6" i="32"/>
  <c r="C39" i="48"/>
  <c r="G39" i="48"/>
  <c r="D6" i="34"/>
  <c r="M6" i="34" s="1"/>
  <c r="B6" i="32"/>
  <c r="L6" i="32" s="1"/>
  <c r="B6" i="34"/>
  <c r="L6" i="34" s="1"/>
  <c r="E39" i="48"/>
  <c r="D70" i="24"/>
  <c r="D40" i="24" s="1"/>
  <c r="B70" i="24"/>
  <c r="B40" i="24" s="1"/>
  <c r="C70" i="24"/>
  <c r="C40" i="24" s="1"/>
  <c r="G88" i="43"/>
  <c r="G58" i="43" s="1"/>
  <c r="B59" i="43"/>
  <c r="E59" i="43"/>
  <c r="E13" i="34" s="1"/>
  <c r="G59" i="43"/>
  <c r="G12" i="32" s="1"/>
  <c r="F12" i="32"/>
  <c r="F13" i="34"/>
  <c r="B13" i="34"/>
  <c r="L13" i="34" s="1"/>
  <c r="B12" i="32"/>
  <c r="L12" i="32" s="1"/>
  <c r="D59" i="43"/>
  <c r="C12" i="32"/>
  <c r="C13" i="34"/>
  <c r="D64" i="40"/>
  <c r="D36" i="40" s="1"/>
  <c r="E64" i="40"/>
  <c r="E36" i="40" s="1"/>
  <c r="B64" i="40"/>
  <c r="B36" i="40" s="1"/>
  <c r="B37" i="40" s="1"/>
  <c r="F64" i="40"/>
  <c r="F36" i="40" s="1"/>
  <c r="D4" i="40"/>
  <c r="D37" i="40" s="1"/>
  <c r="H37" i="40"/>
  <c r="G4" i="40"/>
  <c r="G37" i="40" s="1"/>
  <c r="C4" i="40"/>
  <c r="C37" i="40" s="1"/>
  <c r="F4" i="40"/>
  <c r="E4" i="40"/>
  <c r="E37" i="40" s="1"/>
  <c r="G47" i="41"/>
  <c r="E39" i="42"/>
  <c r="F48" i="39"/>
  <c r="F14" i="34" s="1"/>
  <c r="G13" i="32"/>
  <c r="G14" i="34"/>
  <c r="D48" i="39"/>
  <c r="D14" i="34" s="1"/>
  <c r="M14" i="34" s="1"/>
  <c r="D47" i="41"/>
  <c r="D39" i="42"/>
  <c r="D40" i="42" s="1"/>
  <c r="D47" i="39"/>
  <c r="B47" i="41"/>
  <c r="B48" i="41" s="1"/>
  <c r="B9" i="32" s="1"/>
  <c r="L9" i="32" s="1"/>
  <c r="B39" i="42"/>
  <c r="B47" i="39"/>
  <c r="B48" i="39" s="1"/>
  <c r="B13" i="32" s="1"/>
  <c r="L13" i="32" s="1"/>
  <c r="C48" i="39"/>
  <c r="F47" i="41"/>
  <c r="F48" i="41" s="1"/>
  <c r="F39" i="42"/>
  <c r="E48" i="39"/>
  <c r="E13" i="32" s="1"/>
  <c r="C14" i="34"/>
  <c r="C13" i="32"/>
  <c r="B14" i="34"/>
  <c r="L14" i="34" s="1"/>
  <c r="C11" i="34"/>
  <c r="F40" i="42"/>
  <c r="F10" i="32" s="1"/>
  <c r="E40" i="42"/>
  <c r="E10" i="32" s="1"/>
  <c r="B55" i="45"/>
  <c r="F55" i="45"/>
  <c r="D55" i="45"/>
  <c r="D12" i="34" s="1"/>
  <c r="M12" i="34" s="1"/>
  <c r="G55" i="45"/>
  <c r="G12" i="34" s="1"/>
  <c r="C55" i="45"/>
  <c r="C11" i="32" s="1"/>
  <c r="E55" i="45"/>
  <c r="E12" i="34"/>
  <c r="E11" i="32"/>
  <c r="F11" i="32"/>
  <c r="F12" i="34"/>
  <c r="B11" i="32"/>
  <c r="L11" i="32" s="1"/>
  <c r="B12" i="34"/>
  <c r="L12" i="34" s="1"/>
  <c r="G48" i="41"/>
  <c r="G10" i="34" s="1"/>
  <c r="D48" i="41"/>
  <c r="D9" i="32" s="1"/>
  <c r="M9" i="32" s="1"/>
  <c r="B76" i="41"/>
  <c r="E48" i="41"/>
  <c r="E10" i="34" s="1"/>
  <c r="C48" i="41"/>
  <c r="C10" i="34" s="1"/>
  <c r="G76" i="41"/>
  <c r="D76" i="41"/>
  <c r="G9" i="32"/>
  <c r="C74" i="37"/>
  <c r="C45" i="37" s="1"/>
  <c r="D74" i="37"/>
  <c r="D45" i="37" s="1"/>
  <c r="C46" i="37"/>
  <c r="C8" i="32" s="1"/>
  <c r="F74" i="37"/>
  <c r="F45" i="37" s="1"/>
  <c r="E74" i="37"/>
  <c r="E45" i="37" s="1"/>
  <c r="E46" i="37" s="1"/>
  <c r="G46" i="37"/>
  <c r="G9" i="34" s="1"/>
  <c r="B74" i="37"/>
  <c r="B45" i="37" s="1"/>
  <c r="B46" i="37" s="1"/>
  <c r="F46" i="37"/>
  <c r="D46" i="37"/>
  <c r="B40" i="42"/>
  <c r="B10" i="32" s="1"/>
  <c r="L10" i="32" s="1"/>
  <c r="E68" i="42"/>
  <c r="F68" i="42"/>
  <c r="C68" i="42"/>
  <c r="G68" i="42"/>
  <c r="G11" i="34"/>
  <c r="G10" i="32"/>
  <c r="D50" i="13"/>
  <c r="D22" i="13" s="1"/>
  <c r="B50" i="13"/>
  <c r="B22" i="13" s="1"/>
  <c r="B23" i="13" s="1"/>
  <c r="B20" i="32" s="1"/>
  <c r="L20" i="32" s="1"/>
  <c r="F50" i="13"/>
  <c r="F22" i="13" s="1"/>
  <c r="E50" i="13"/>
  <c r="E22" i="13" s="1"/>
  <c r="E23" i="13" s="1"/>
  <c r="E20" i="32" s="1"/>
  <c r="B21" i="34"/>
  <c r="L21" i="34" s="1"/>
  <c r="D23" i="13"/>
  <c r="F23" i="13"/>
  <c r="C23" i="13"/>
  <c r="G23" i="13"/>
  <c r="E51" i="8"/>
  <c r="E23" i="8" s="1"/>
  <c r="E24" i="8" s="1"/>
  <c r="F24" i="8"/>
  <c r="D24" i="8"/>
  <c r="C24" i="8"/>
  <c r="G24" i="8"/>
  <c r="B24" i="8"/>
  <c r="L155" i="34"/>
  <c r="B85" i="11"/>
  <c r="B54" i="11" s="1"/>
  <c r="G85" i="11"/>
  <c r="G54" i="11" s="1"/>
  <c r="D85" i="11"/>
  <c r="D54" i="11" s="1"/>
  <c r="E85" i="11"/>
  <c r="E54" i="11" s="1"/>
  <c r="L161" i="32"/>
  <c r="L240" i="32"/>
  <c r="L298" i="32"/>
  <c r="L306" i="32"/>
  <c r="L307" i="32"/>
  <c r="L310" i="32"/>
  <c r="L312" i="32"/>
  <c r="L319" i="32"/>
  <c r="L320" i="32"/>
  <c r="L321" i="32"/>
  <c r="L333" i="32"/>
  <c r="L334" i="32"/>
  <c r="L338" i="32"/>
  <c r="L370" i="32"/>
  <c r="L396" i="32"/>
  <c r="L397" i="32"/>
  <c r="L59" i="32"/>
  <c r="L301" i="32"/>
  <c r="L355" i="32"/>
  <c r="L356" i="32"/>
  <c r="L361" i="32"/>
  <c r="L364" i="32"/>
  <c r="L152" i="32"/>
  <c r="L49" i="32"/>
  <c r="L50" i="32"/>
  <c r="L51" i="32"/>
  <c r="L66" i="32"/>
  <c r="L317" i="32"/>
  <c r="L275" i="32"/>
  <c r="L297" i="32"/>
  <c r="L249" i="32"/>
  <c r="L126" i="32"/>
  <c r="L294" i="32"/>
  <c r="L61" i="32"/>
  <c r="L343" i="32"/>
  <c r="L389" i="32"/>
  <c r="L160" i="32"/>
  <c r="L119" i="32"/>
  <c r="L114" i="32"/>
  <c r="L116" i="32"/>
  <c r="L117" i="32"/>
  <c r="L118" i="32"/>
  <c r="L132" i="32"/>
  <c r="L133" i="32"/>
  <c r="L158" i="32"/>
  <c r="L178" i="32"/>
  <c r="L179" i="32"/>
  <c r="L258" i="32"/>
  <c r="L282" i="32"/>
  <c r="L286" i="32"/>
  <c r="L287" i="32"/>
  <c r="L291" i="32"/>
  <c r="L104" i="32"/>
  <c r="L183" i="32"/>
  <c r="L164" i="32"/>
  <c r="L30" i="32"/>
  <c r="L69" i="32"/>
  <c r="L75" i="32"/>
  <c r="L103" i="32"/>
  <c r="L237" i="32"/>
  <c r="L238" i="32"/>
  <c r="L200" i="32"/>
  <c r="L303" i="32"/>
  <c r="L300" i="32"/>
  <c r="L350" i="32"/>
  <c r="L147" i="32"/>
  <c r="L77" i="32"/>
  <c r="L281" i="32"/>
  <c r="L362" i="32"/>
  <c r="L293" i="32"/>
  <c r="L184" i="32"/>
  <c r="L209" i="32"/>
  <c r="L216" i="32"/>
  <c r="L226" i="32"/>
  <c r="L227" i="32"/>
  <c r="L268" i="32"/>
  <c r="L269" i="32"/>
  <c r="L248" i="32"/>
  <c r="L251" i="32"/>
  <c r="L256" i="32"/>
  <c r="L326" i="32"/>
  <c r="L368" i="32"/>
  <c r="L376" i="32"/>
  <c r="L380" i="32"/>
  <c r="L391" i="32"/>
  <c r="L201" i="32"/>
  <c r="L234" i="32"/>
  <c r="L52" i="32"/>
  <c r="L359" i="32"/>
  <c r="L56" i="32"/>
  <c r="L360" i="32"/>
  <c r="L108" i="32"/>
  <c r="L109" i="32"/>
  <c r="L219" i="32"/>
  <c r="L242" i="32"/>
  <c r="L243" i="32"/>
  <c r="L88" i="32"/>
  <c r="L399" i="32"/>
  <c r="L302" i="32"/>
  <c r="L348" i="32"/>
  <c r="L62" i="32"/>
  <c r="L145" i="32"/>
  <c r="L146" i="32"/>
  <c r="L345" i="32"/>
  <c r="L346" i="32"/>
  <c r="L175" i="32"/>
  <c r="L150" i="32"/>
  <c r="L153" i="32"/>
  <c r="L206" i="32"/>
  <c r="L329" i="32"/>
  <c r="L405" i="32"/>
  <c r="L185" i="32"/>
  <c r="L123" i="32"/>
  <c r="L186" i="32"/>
  <c r="L318" i="32"/>
  <c r="L250" i="32"/>
  <c r="L55" i="32"/>
  <c r="L86" i="32"/>
  <c r="L31" i="32"/>
  <c r="L27" i="32"/>
  <c r="L28" i="32"/>
  <c r="L45" i="32"/>
  <c r="L43" i="32"/>
  <c r="L100" i="32"/>
  <c r="L99" i="32"/>
  <c r="L105" i="32"/>
  <c r="L137" i="32"/>
  <c r="L162" i="32"/>
  <c r="L176" i="32"/>
  <c r="L172" i="32"/>
  <c r="L173" i="32"/>
  <c r="L180" i="32"/>
  <c r="L386" i="32"/>
  <c r="L388" i="32"/>
  <c r="L409" i="32"/>
  <c r="L309" i="32"/>
  <c r="L110" i="32"/>
  <c r="L414" i="32"/>
  <c r="L168" i="32"/>
  <c r="L89" i="32"/>
  <c r="L254" i="32"/>
  <c r="L221" i="32"/>
  <c r="L203" i="32"/>
  <c r="L241" i="32"/>
  <c r="L315" i="32"/>
  <c r="L272" i="32"/>
  <c r="L292" i="32"/>
  <c r="L342" i="32"/>
  <c r="L412" i="32"/>
  <c r="L35" i="32"/>
  <c r="L37" i="32"/>
  <c r="L38" i="32"/>
  <c r="L267" i="32"/>
  <c r="L236" i="32"/>
  <c r="L228" i="32"/>
  <c r="L232" i="32"/>
  <c r="L202" i="32"/>
  <c r="L174" i="32"/>
  <c r="L73" i="32"/>
  <c r="L34" i="32"/>
  <c r="L32" i="32"/>
  <c r="L42" i="32"/>
  <c r="L48" i="32"/>
  <c r="L60" i="32"/>
  <c r="L65" i="32"/>
  <c r="L277" i="32"/>
  <c r="L278" i="32"/>
  <c r="L235" i="32"/>
  <c r="L311" i="32"/>
  <c r="L322" i="32"/>
  <c r="L371" i="32"/>
  <c r="L383" i="32"/>
  <c r="L95" i="32"/>
  <c r="L316" i="32"/>
  <c r="L156" i="32"/>
  <c r="L115" i="32"/>
  <c r="L101" i="32"/>
  <c r="L102" i="32"/>
  <c r="L169" i="32"/>
  <c r="L170" i="32"/>
  <c r="L182" i="32"/>
  <c r="L121" i="32"/>
  <c r="L335" i="32"/>
  <c r="L394" i="32"/>
  <c r="L398" i="32"/>
  <c r="L229" i="32"/>
  <c r="L378" i="32"/>
  <c r="L194" i="32"/>
  <c r="L125" i="32"/>
  <c r="L96" i="32"/>
  <c r="L197" i="32"/>
  <c r="L358" i="32"/>
  <c r="L377" i="32"/>
  <c r="L379" i="32"/>
  <c r="L195" i="32"/>
  <c r="L199" i="32"/>
  <c r="L196" i="32"/>
  <c r="L70" i="32"/>
  <c r="L97" i="32"/>
  <c r="L84" i="32"/>
  <c r="L85" i="32"/>
  <c r="L134" i="32"/>
  <c r="L135" i="32"/>
  <c r="L136" i="32"/>
  <c r="L138" i="32"/>
  <c r="L157" i="32"/>
  <c r="L151" i="32"/>
  <c r="L143" i="32"/>
  <c r="L260" i="32"/>
  <c r="L257" i="32"/>
  <c r="L259" i="32"/>
  <c r="L299" i="32"/>
  <c r="L304" i="32"/>
  <c r="L325" i="32"/>
  <c r="L331" i="32"/>
  <c r="L369" i="32"/>
  <c r="L374" i="32"/>
  <c r="L375" i="32"/>
  <c r="L381" i="32"/>
  <c r="L382" i="32"/>
  <c r="L94" i="32"/>
  <c r="L406" i="32"/>
  <c r="L262" i="32"/>
  <c r="L167" i="32"/>
  <c r="L393" i="32"/>
  <c r="L239" i="32"/>
  <c r="L81" i="32"/>
  <c r="L141" i="32"/>
  <c r="L33" i="32"/>
  <c r="L144" i="32"/>
  <c r="L212" i="32"/>
  <c r="L289" i="32"/>
  <c r="L90" i="32"/>
  <c r="L246" i="32"/>
  <c r="L25" i="32"/>
  <c r="L71" i="32"/>
  <c r="L72" i="32"/>
  <c r="L327" i="32"/>
  <c r="L336" i="32"/>
  <c r="L252" i="32"/>
  <c r="L264" i="32"/>
  <c r="L112" i="32"/>
  <c r="L222" i="32"/>
  <c r="L313" i="32"/>
  <c r="L349" i="32"/>
  <c r="L76" i="32"/>
  <c r="L82" i="32"/>
  <c r="L26" i="32"/>
  <c r="L67" i="32"/>
  <c r="L120" i="32"/>
  <c r="L140" i="32"/>
  <c r="L142" i="32"/>
  <c r="L149" i="32"/>
  <c r="L154" i="32"/>
  <c r="L163" i="32"/>
  <c r="L189" i="32"/>
  <c r="L220" i="32"/>
  <c r="L270" i="32"/>
  <c r="L233" i="32"/>
  <c r="L288" i="32"/>
  <c r="L290" i="32"/>
  <c r="L308" i="32"/>
  <c r="L337" i="32"/>
  <c r="L80" i="32"/>
  <c r="L124" i="32"/>
  <c r="L265" i="32"/>
  <c r="L403" i="32"/>
  <c r="L261" i="32"/>
  <c r="L91" i="32"/>
  <c r="L198" i="32"/>
  <c r="L224" i="32"/>
  <c r="L244" i="32"/>
  <c r="L58" i="32"/>
  <c r="L273" i="32"/>
  <c r="L274" i="32"/>
  <c r="L351" i="32"/>
  <c r="L352" i="32"/>
  <c r="L354" i="32"/>
  <c r="L357" i="32"/>
  <c r="L365" i="32"/>
  <c r="L36" i="32"/>
  <c r="L46" i="32"/>
  <c r="L98" i="32"/>
  <c r="L106" i="32"/>
  <c r="L107" i="32"/>
  <c r="L131" i="32"/>
  <c r="L177" i="32"/>
  <c r="L187" i="32"/>
  <c r="L204" i="32"/>
  <c r="L205" i="32"/>
  <c r="L223" i="32"/>
  <c r="L213" i="32"/>
  <c r="L271" i="32"/>
  <c r="L255" i="32"/>
  <c r="L263" i="32"/>
  <c r="L280" i="32"/>
  <c r="L283" i="32"/>
  <c r="L284" i="32"/>
  <c r="L296" i="32"/>
  <c r="L323" i="32"/>
  <c r="L324" i="32"/>
  <c r="L328" i="32"/>
  <c r="L332" i="32"/>
  <c r="L339" i="32"/>
  <c r="L340" i="32"/>
  <c r="L373" i="32"/>
  <c r="L384" i="32"/>
  <c r="L392" i="32"/>
  <c r="L387" i="32"/>
  <c r="L231" i="32"/>
  <c r="L401" i="32"/>
  <c r="L341" i="32"/>
  <c r="L214" i="32"/>
  <c r="L253" i="32"/>
  <c r="L276" i="32"/>
  <c r="L53" i="32"/>
  <c r="L54" i="32"/>
  <c r="D88" i="9"/>
  <c r="B88" i="9"/>
  <c r="F88" i="9"/>
  <c r="F59" i="9" s="1"/>
  <c r="F60" i="9" s="1"/>
  <c r="C88" i="9"/>
  <c r="H22" i="9" s="1"/>
  <c r="H23" i="9" s="1"/>
  <c r="G88" i="9"/>
  <c r="G22" i="9" s="1"/>
  <c r="G23" i="9" s="1"/>
  <c r="F64" i="46"/>
  <c r="F33" i="46" s="1"/>
  <c r="F34" i="46" s="1"/>
  <c r="C64" i="46"/>
  <c r="C33" i="46" s="1"/>
  <c r="B64" i="46"/>
  <c r="B33" i="46" s="1"/>
  <c r="B34" i="46" s="1"/>
  <c r="G64" i="46"/>
  <c r="G33" i="46" s="1"/>
  <c r="G34" i="46" s="1"/>
  <c r="B34" i="7"/>
  <c r="D22" i="49"/>
  <c r="C22" i="49"/>
  <c r="G22" i="49"/>
  <c r="E34" i="46"/>
  <c r="C34" i="46"/>
  <c r="D34" i="46"/>
  <c r="E59" i="9"/>
  <c r="E60" i="9" s="1"/>
  <c r="E22" i="9"/>
  <c r="E23" i="9" s="1"/>
  <c r="B59" i="9"/>
  <c r="B60" i="9" s="1"/>
  <c r="B22" i="9"/>
  <c r="B23" i="9" s="1"/>
  <c r="D59" i="9"/>
  <c r="D60" i="9" s="1"/>
  <c r="D22" i="9"/>
  <c r="D23" i="9" s="1"/>
  <c r="G59" i="9"/>
  <c r="G60" i="9" s="1"/>
  <c r="L413" i="32"/>
  <c r="L165" i="32"/>
  <c r="L64" i="32"/>
  <c r="L139" i="32"/>
  <c r="L171" i="32"/>
  <c r="L122" i="32"/>
  <c r="L407" i="32"/>
  <c r="L40" i="32"/>
  <c r="L29" i="32"/>
  <c r="L41" i="32"/>
  <c r="L44" i="32"/>
  <c r="L47" i="32"/>
  <c r="L78" i="32"/>
  <c r="L245" i="32"/>
  <c r="L305" i="32"/>
  <c r="L372" i="32"/>
  <c r="L385" i="32"/>
  <c r="L92" i="32"/>
  <c r="L225" i="32"/>
  <c r="L79" i="32"/>
  <c r="L210" i="32"/>
  <c r="L395" i="32"/>
  <c r="L74" i="32"/>
  <c r="L344" i="32"/>
  <c r="L87" i="32"/>
  <c r="L181" i="32"/>
  <c r="L247" i="32"/>
  <c r="L314" i="32"/>
  <c r="L285" i="32"/>
  <c r="L192" i="34"/>
  <c r="L48" i="34"/>
  <c r="L73" i="34"/>
  <c r="L154" i="34"/>
  <c r="L44" i="34"/>
  <c r="L187" i="34"/>
  <c r="L180" i="34"/>
  <c r="L179" i="34"/>
  <c r="L178" i="34"/>
  <c r="L197" i="34"/>
  <c r="L53" i="34"/>
  <c r="L146" i="34"/>
  <c r="L169" i="34"/>
  <c r="L156" i="34"/>
  <c r="L164" i="34"/>
  <c r="L43" i="34"/>
  <c r="L220" i="34"/>
  <c r="L157" i="34"/>
  <c r="L218" i="34"/>
  <c r="L198" i="34"/>
  <c r="L60" i="34"/>
  <c r="L120" i="34"/>
  <c r="L90" i="34"/>
  <c r="L86" i="34"/>
  <c r="L46" i="34"/>
  <c r="L47" i="34"/>
  <c r="L221" i="34"/>
  <c r="L205" i="34"/>
  <c r="L206" i="34"/>
  <c r="L207" i="34"/>
  <c r="L125" i="34"/>
  <c r="L126" i="34"/>
  <c r="L190" i="34"/>
  <c r="L196" i="34"/>
  <c r="L104" i="34"/>
  <c r="L240" i="34"/>
  <c r="L32" i="34"/>
  <c r="L36" i="34"/>
  <c r="L37" i="34"/>
  <c r="L62" i="34"/>
  <c r="L63" i="34"/>
  <c r="L116" i="34"/>
  <c r="L133" i="34"/>
  <c r="L136" i="34"/>
  <c r="L142" i="34"/>
  <c r="L238" i="34"/>
  <c r="L167" i="34"/>
  <c r="L57" i="34"/>
  <c r="L112" i="34"/>
  <c r="L113" i="34"/>
  <c r="L213" i="34"/>
  <c r="L224" i="34"/>
  <c r="L96" i="34"/>
  <c r="L245" i="34"/>
  <c r="L183" i="34"/>
  <c r="L185" i="34"/>
  <c r="L182" i="34"/>
  <c r="L27" i="34"/>
  <c r="L42" i="34"/>
  <c r="L72" i="34"/>
  <c r="L82" i="34"/>
  <c r="L130" i="34"/>
  <c r="L131" i="34"/>
  <c r="L176" i="34"/>
  <c r="L200" i="34"/>
  <c r="L106" i="34"/>
  <c r="L85" i="34"/>
  <c r="L92" i="34"/>
  <c r="L100" i="34"/>
  <c r="L204" i="34"/>
  <c r="L208" i="34"/>
  <c r="L209" i="34"/>
  <c r="L237" i="34"/>
  <c r="L105" i="34"/>
  <c r="L94" i="34"/>
  <c r="L95" i="34"/>
  <c r="L119" i="34"/>
  <c r="L181" i="34"/>
  <c r="L193" i="34"/>
  <c r="L188" i="34"/>
  <c r="L30" i="34"/>
  <c r="L67" i="34"/>
  <c r="L123" i="34"/>
  <c r="L124" i="34"/>
  <c r="L172" i="34"/>
  <c r="L199" i="34"/>
  <c r="L210" i="34"/>
  <c r="L239" i="34"/>
  <c r="L216" i="34"/>
  <c r="L114" i="34"/>
  <c r="L88" i="34"/>
  <c r="L89" i="34"/>
  <c r="L91" i="34"/>
  <c r="L165" i="34"/>
  <c r="L166" i="34"/>
  <c r="L170" i="34"/>
  <c r="L129" i="34"/>
  <c r="L217" i="34"/>
  <c r="L219" i="34"/>
  <c r="L147" i="34"/>
  <c r="L233" i="34"/>
  <c r="L191" i="34"/>
  <c r="L134" i="34"/>
  <c r="L109" i="34"/>
  <c r="L45" i="34"/>
  <c r="L65" i="34"/>
  <c r="L236" i="34"/>
  <c r="L52" i="34"/>
  <c r="L55" i="34"/>
  <c r="L66" i="34"/>
  <c r="L101" i="34"/>
  <c r="L110" i="34"/>
  <c r="L159" i="34"/>
  <c r="L163" i="34"/>
  <c r="L202" i="34"/>
  <c r="L227" i="34"/>
  <c r="L242" i="34"/>
  <c r="L161" i="34"/>
  <c r="L80" i="34"/>
  <c r="L127" i="34"/>
  <c r="L184" i="34"/>
  <c r="L186" i="34"/>
  <c r="L41" i="34"/>
  <c r="L64" i="34"/>
  <c r="L33" i="34"/>
  <c r="L39" i="34"/>
  <c r="L84" i="34"/>
  <c r="L98" i="34"/>
  <c r="L137" i="34"/>
  <c r="L143" i="34"/>
  <c r="L144" i="34"/>
  <c r="L160" i="34"/>
  <c r="L174" i="34"/>
  <c r="L212" i="34"/>
  <c r="L194" i="34"/>
  <c r="L189" i="34"/>
  <c r="L247" i="34"/>
  <c r="L153" i="34"/>
  <c r="L79" i="34"/>
  <c r="L49" i="34"/>
  <c r="L58" i="34"/>
  <c r="L83" i="34"/>
  <c r="L149" i="34"/>
  <c r="L175" i="34"/>
  <c r="L203" i="34"/>
  <c r="L211" i="34"/>
  <c r="L226" i="34"/>
  <c r="L145" i="34"/>
  <c r="L195" i="34"/>
  <c r="L26" i="34"/>
  <c r="L31" i="34"/>
  <c r="L35" i="34"/>
  <c r="L40" i="34"/>
  <c r="L51" i="34"/>
  <c r="L56" i="34"/>
  <c r="L59" i="34"/>
  <c r="L70" i="34"/>
  <c r="L81" i="34"/>
  <c r="L99" i="34"/>
  <c r="L103" i="34"/>
  <c r="L111" i="34"/>
  <c r="L115" i="34"/>
  <c r="L122" i="34"/>
  <c r="L128" i="34"/>
  <c r="L135" i="34"/>
  <c r="L140" i="34"/>
  <c r="L150" i="34"/>
  <c r="L158" i="34"/>
  <c r="L162" i="34"/>
  <c r="L173" i="34"/>
  <c r="L201" i="34"/>
  <c r="L225" i="34"/>
  <c r="L230" i="34"/>
  <c r="L231" i="34"/>
  <c r="L234" i="34"/>
  <c r="L97" i="34"/>
  <c r="L168" i="34"/>
  <c r="L222" i="34"/>
  <c r="L77" i="34"/>
  <c r="L25" i="34"/>
  <c r="L28" i="34"/>
  <c r="L29" i="34"/>
  <c r="L38" i="34"/>
  <c r="L54" i="34"/>
  <c r="L61" i="34"/>
  <c r="L75" i="34"/>
  <c r="L76" i="34"/>
  <c r="L93" i="34"/>
  <c r="L107" i="34"/>
  <c r="L117" i="34"/>
  <c r="L118" i="34"/>
  <c r="L138" i="34"/>
  <c r="L139" i="34"/>
  <c r="L151" i="34"/>
  <c r="L171" i="34"/>
  <c r="L214" i="34"/>
  <c r="L215" i="34"/>
  <c r="L228" i="34"/>
  <c r="L229" i="34"/>
  <c r="L232" i="34"/>
  <c r="L102" i="34"/>
  <c r="L68" i="34"/>
  <c r="L241" i="34"/>
  <c r="L152" i="34"/>
  <c r="L78" i="34"/>
  <c r="L235" i="34"/>
  <c r="L246" i="34" l="1"/>
  <c r="C21" i="32"/>
  <c r="D34" i="7"/>
  <c r="G34" i="7"/>
  <c r="E8" i="34"/>
  <c r="E21" i="32"/>
  <c r="D35" i="6"/>
  <c r="D36" i="6" s="1"/>
  <c r="D23" i="34" s="1"/>
  <c r="M23" i="34" s="1"/>
  <c r="D24" i="6"/>
  <c r="G23" i="34"/>
  <c r="E23" i="6"/>
  <c r="E24" i="6" s="1"/>
  <c r="B24" i="6"/>
  <c r="B20" i="34" s="1"/>
  <c r="L20" i="34" s="1"/>
  <c r="G23" i="32"/>
  <c r="D19" i="32"/>
  <c r="M19" i="32" s="1"/>
  <c r="D3" i="24"/>
  <c r="D20" i="34"/>
  <c r="M20" i="34" s="1"/>
  <c r="B19" i="32"/>
  <c r="L19" i="32" s="1"/>
  <c r="B3" i="24"/>
  <c r="F23" i="34"/>
  <c r="F23" i="32"/>
  <c r="G20" i="34"/>
  <c r="G3" i="24"/>
  <c r="G19" i="32"/>
  <c r="C23" i="34"/>
  <c r="C23" i="32"/>
  <c r="F24" i="6"/>
  <c r="B23" i="34"/>
  <c r="L23" i="34" s="1"/>
  <c r="B23" i="32"/>
  <c r="L23" i="32" s="1"/>
  <c r="D23" i="32"/>
  <c r="M23" i="32" s="1"/>
  <c r="E23" i="32"/>
  <c r="E23" i="34"/>
  <c r="G6" i="32"/>
  <c r="G6" i="34"/>
  <c r="C6" i="32"/>
  <c r="C6" i="34"/>
  <c r="E6" i="32"/>
  <c r="E6" i="34"/>
  <c r="E12" i="32"/>
  <c r="G13" i="34"/>
  <c r="D12" i="32"/>
  <c r="M12" i="32" s="1"/>
  <c r="D13" i="34"/>
  <c r="M13" i="34" s="1"/>
  <c r="F37" i="40"/>
  <c r="B4" i="24"/>
  <c r="B15" i="34"/>
  <c r="L15" i="34" s="1"/>
  <c r="B14" i="32"/>
  <c r="L14" i="32" s="1"/>
  <c r="C15" i="34"/>
  <c r="C4" i="24"/>
  <c r="C41" i="24" s="1"/>
  <c r="C14" i="32"/>
  <c r="G15" i="34"/>
  <c r="G14" i="32"/>
  <c r="G4" i="24"/>
  <c r="E4" i="24"/>
  <c r="E14" i="32"/>
  <c r="E15" i="34"/>
  <c r="F4" i="24"/>
  <c r="F14" i="32"/>
  <c r="F15" i="34"/>
  <c r="D15" i="34"/>
  <c r="M15" i="34" s="1"/>
  <c r="D4" i="24"/>
  <c r="D14" i="32"/>
  <c r="M14" i="32" s="1"/>
  <c r="D10" i="32"/>
  <c r="M10" i="32" s="1"/>
  <c r="D11" i="34"/>
  <c r="M11" i="34" s="1"/>
  <c r="C9" i="32"/>
  <c r="F13" i="32"/>
  <c r="E14" i="34"/>
  <c r="F10" i="34"/>
  <c r="F9" i="32"/>
  <c r="F11" i="34"/>
  <c r="D13" i="32"/>
  <c r="M13" i="32" s="1"/>
  <c r="D10" i="34"/>
  <c r="M10" i="34" s="1"/>
  <c r="E11" i="34"/>
  <c r="E9" i="32"/>
  <c r="D11" i="32"/>
  <c r="M11" i="32" s="1"/>
  <c r="G11" i="32"/>
  <c r="C12" i="34"/>
  <c r="B10" i="34"/>
  <c r="L10" i="34" s="1"/>
  <c r="C9" i="34"/>
  <c r="E9" i="34"/>
  <c r="E8" i="32"/>
  <c r="B8" i="32"/>
  <c r="L8" i="32" s="1"/>
  <c r="B9" i="34"/>
  <c r="L9" i="34" s="1"/>
  <c r="G8" i="32"/>
  <c r="D8" i="32"/>
  <c r="M8" i="32" s="1"/>
  <c r="D9" i="34"/>
  <c r="M9" i="34" s="1"/>
  <c r="F9" i="34"/>
  <c r="F8" i="32"/>
  <c r="B11" i="34"/>
  <c r="L11" i="34" s="1"/>
  <c r="E21" i="34"/>
  <c r="D20" i="32"/>
  <c r="M20" i="32" s="1"/>
  <c r="D21" i="34"/>
  <c r="M21" i="34" s="1"/>
  <c r="G20" i="32"/>
  <c r="G21" i="34"/>
  <c r="F21" i="34"/>
  <c r="F20" i="32"/>
  <c r="C21" i="34"/>
  <c r="C20" i="32"/>
  <c r="E22" i="32"/>
  <c r="E22" i="34"/>
  <c r="B22" i="32"/>
  <c r="L22" i="32" s="1"/>
  <c r="B22" i="34"/>
  <c r="L22" i="34" s="1"/>
  <c r="C22" i="32"/>
  <c r="C22" i="34"/>
  <c r="D22" i="32"/>
  <c r="M22" i="32" s="1"/>
  <c r="D22" i="34"/>
  <c r="M22" i="34" s="1"/>
  <c r="G22" i="34"/>
  <c r="G22" i="32"/>
  <c r="F22" i="32"/>
  <c r="F22" i="34"/>
  <c r="C59" i="9"/>
  <c r="C60" i="9" s="1"/>
  <c r="C3" i="32" s="1"/>
  <c r="F22" i="9"/>
  <c r="F23" i="9" s="1"/>
  <c r="F4" i="32" s="1"/>
  <c r="C22" i="9"/>
  <c r="C23" i="9" s="1"/>
  <c r="G2" i="50"/>
  <c r="G40" i="50" s="1"/>
  <c r="G9" i="49"/>
  <c r="G36" i="49" s="1"/>
  <c r="G7" i="32" s="1"/>
  <c r="G6" i="11"/>
  <c r="G55" i="11" s="1"/>
  <c r="G6" i="47"/>
  <c r="G56" i="47" s="1"/>
  <c r="G17" i="32" s="1"/>
  <c r="F21" i="32"/>
  <c r="F8" i="34"/>
  <c r="B8" i="34"/>
  <c r="L8" i="34" s="1"/>
  <c r="B21" i="32"/>
  <c r="L21" i="32" s="1"/>
  <c r="B2" i="50"/>
  <c r="B40" i="50" s="1"/>
  <c r="B9" i="49"/>
  <c r="B36" i="49" s="1"/>
  <c r="B6" i="47"/>
  <c r="B56" i="47" s="1"/>
  <c r="B6" i="11"/>
  <c r="B55" i="11" s="1"/>
  <c r="F2" i="50"/>
  <c r="F40" i="50" s="1"/>
  <c r="F6" i="47"/>
  <c r="F56" i="47" s="1"/>
  <c r="F9" i="49"/>
  <c r="F36" i="49" s="1"/>
  <c r="F6" i="11"/>
  <c r="F55" i="11" s="1"/>
  <c r="C2" i="50"/>
  <c r="C40" i="50" s="1"/>
  <c r="C6" i="11"/>
  <c r="C55" i="11" s="1"/>
  <c r="C6" i="47"/>
  <c r="C56" i="47" s="1"/>
  <c r="C9" i="49"/>
  <c r="C36" i="49" s="1"/>
  <c r="G7" i="34"/>
  <c r="D2" i="50"/>
  <c r="D40" i="50" s="1"/>
  <c r="D9" i="49"/>
  <c r="D36" i="49" s="1"/>
  <c r="D6" i="47"/>
  <c r="D56" i="47" s="1"/>
  <c r="D6" i="11"/>
  <c r="D55" i="11" s="1"/>
  <c r="E2" i="50"/>
  <c r="E40" i="50" s="1"/>
  <c r="E6" i="11"/>
  <c r="E55" i="11" s="1"/>
  <c r="E9" i="49"/>
  <c r="E36" i="49" s="1"/>
  <c r="E6" i="47"/>
  <c r="E56" i="47" s="1"/>
  <c r="G4" i="34"/>
  <c r="G4" i="32"/>
  <c r="E4" i="34"/>
  <c r="E4" i="32"/>
  <c r="G3" i="32"/>
  <c r="G3" i="34"/>
  <c r="B4" i="32"/>
  <c r="L4" i="32" s="1"/>
  <c r="B4" i="34"/>
  <c r="L4" i="34" s="1"/>
  <c r="F3" i="34"/>
  <c r="F3" i="32"/>
  <c r="D3" i="34"/>
  <c r="M3" i="34" s="1"/>
  <c r="D3" i="32"/>
  <c r="M3" i="32" s="1"/>
  <c r="E3" i="34"/>
  <c r="E3" i="32"/>
  <c r="D4" i="32"/>
  <c r="M4" i="32" s="1"/>
  <c r="D4" i="34"/>
  <c r="M4" i="34" s="1"/>
  <c r="B3" i="32"/>
  <c r="L3" i="32" s="1"/>
  <c r="B3" i="34"/>
  <c r="L3" i="34" s="1"/>
  <c r="C3" i="34" l="1"/>
  <c r="G21" i="32"/>
  <c r="D21" i="32"/>
  <c r="M21" i="32" s="1"/>
  <c r="D8" i="34"/>
  <c r="M8" i="34" s="1"/>
  <c r="G8" i="34"/>
  <c r="E20" i="34"/>
  <c r="E19" i="32"/>
  <c r="E3" i="24"/>
  <c r="E41" i="24" s="1"/>
  <c r="D41" i="24"/>
  <c r="G41" i="24"/>
  <c r="B41" i="24"/>
  <c r="B16" i="34" s="1"/>
  <c r="L16" i="34" s="1"/>
  <c r="F3" i="24"/>
  <c r="F41" i="24" s="1"/>
  <c r="F19" i="32"/>
  <c r="F20" i="34"/>
  <c r="G16" i="34"/>
  <c r="C16" i="34"/>
  <c r="C15" i="32"/>
  <c r="D15" i="32"/>
  <c r="M15" i="32" s="1"/>
  <c r="D16" i="34"/>
  <c r="M16" i="34" s="1"/>
  <c r="C5" i="34"/>
  <c r="C5" i="32"/>
  <c r="B5" i="34"/>
  <c r="L5" i="34" s="1"/>
  <c r="B5" i="32"/>
  <c r="L5" i="32" s="1"/>
  <c r="D5" i="34"/>
  <c r="M5" i="34" s="1"/>
  <c r="D5" i="32"/>
  <c r="M5" i="32" s="1"/>
  <c r="F5" i="34"/>
  <c r="F5" i="32"/>
  <c r="G5" i="34"/>
  <c r="G5" i="32"/>
  <c r="E5" i="34"/>
  <c r="E5" i="32"/>
  <c r="C4" i="32"/>
  <c r="F4" i="34"/>
  <c r="C4" i="34"/>
  <c r="G17" i="34"/>
  <c r="G18" i="34"/>
  <c r="G16" i="32"/>
  <c r="E7" i="32"/>
  <c r="E7" i="34"/>
  <c r="B7" i="32"/>
  <c r="B7" i="34"/>
  <c r="L7" i="34" s="1"/>
  <c r="E16" i="32"/>
  <c r="E17" i="34"/>
  <c r="D7" i="34"/>
  <c r="M7" i="34" s="1"/>
  <c r="D7" i="32"/>
  <c r="M7" i="32" s="1"/>
  <c r="C7" i="32"/>
  <c r="C7" i="34"/>
  <c r="D18" i="34"/>
  <c r="M18" i="34" s="1"/>
  <c r="D17" i="32"/>
  <c r="M17" i="32" s="1"/>
  <c r="F18" i="34"/>
  <c r="F17" i="32"/>
  <c r="C18" i="34"/>
  <c r="C17" i="32"/>
  <c r="F17" i="34"/>
  <c r="F16" i="32"/>
  <c r="B17" i="34"/>
  <c r="L17" i="34" s="1"/>
  <c r="B16" i="32"/>
  <c r="L16" i="32" s="1"/>
  <c r="E17" i="32"/>
  <c r="E18" i="34"/>
  <c r="D17" i="34"/>
  <c r="M17" i="34" s="1"/>
  <c r="D16" i="32"/>
  <c r="M16" i="32" s="1"/>
  <c r="C16" i="32"/>
  <c r="C17" i="34"/>
  <c r="F7" i="34"/>
  <c r="F7" i="32"/>
  <c r="B17" i="32"/>
  <c r="L17" i="32" s="1"/>
  <c r="B18" i="34"/>
  <c r="L18" i="34" s="1"/>
  <c r="E16" i="34" l="1"/>
  <c r="E15" i="32"/>
  <c r="E415" i="32" s="1"/>
  <c r="G415" i="32"/>
  <c r="B15" i="32"/>
  <c r="L15" i="32" s="1"/>
  <c r="G15" i="32"/>
  <c r="F16" i="34"/>
  <c r="F248" i="34" s="1"/>
  <c r="F15" i="32"/>
  <c r="F415" i="32" s="1"/>
  <c r="G248" i="34"/>
  <c r="C248" i="34"/>
  <c r="H415" i="32"/>
  <c r="L248" i="34"/>
  <c r="E248" i="34"/>
  <c r="M415" i="32"/>
  <c r="B422" i="32" s="1"/>
  <c r="M248" i="34"/>
  <c r="D248" i="34"/>
  <c r="D415" i="32"/>
  <c r="L7" i="32"/>
  <c r="L415" i="32" s="1"/>
  <c r="B415" i="32"/>
  <c r="C415" i="32"/>
  <c r="B248" i="34"/>
  <c r="B425" i="32" l="1"/>
  <c r="B253" i="34"/>
  <c r="B257" i="34"/>
  <c r="B254" i="34"/>
  <c r="B421" i="32"/>
  <c r="B255" i="34"/>
  <c r="E250" i="34"/>
  <c r="B258" i="34"/>
  <c r="B419" i="32"/>
  <c r="B423" i="32"/>
  <c r="B424" i="32"/>
  <c r="B420" i="32"/>
  <c r="B252" i="34"/>
  <c r="B256" i="34"/>
</calcChain>
</file>

<file path=xl/sharedStrings.xml><?xml version="1.0" encoding="utf-8"?>
<sst xmlns="http://schemas.openxmlformats.org/spreadsheetml/2006/main" count="3672" uniqueCount="659">
  <si>
    <t>Spice</t>
  </si>
  <si>
    <t>Calories</t>
  </si>
  <si>
    <t>Carbs</t>
  </si>
  <si>
    <t>Fat</t>
  </si>
  <si>
    <t>Protein</t>
  </si>
  <si>
    <t>Fiber</t>
  </si>
  <si>
    <t>Sugar</t>
  </si>
  <si>
    <t>Serving by TSP</t>
  </si>
  <si>
    <t>Basil</t>
  </si>
  <si>
    <t>Black Pepper</t>
  </si>
  <si>
    <t>Chili Powder</t>
  </si>
  <si>
    <t>Chinese Five Spice</t>
  </si>
  <si>
    <t>Cinnamon</t>
  </si>
  <si>
    <t>Coriander</t>
  </si>
  <si>
    <t>Crushed Red Pepper Flakes</t>
  </si>
  <si>
    <t>Cumin</t>
  </si>
  <si>
    <t>Curry Powder</t>
  </si>
  <si>
    <t>Garlic</t>
  </si>
  <si>
    <t>Garlic Powder</t>
  </si>
  <si>
    <t>Garlic Salt</t>
  </si>
  <si>
    <t>Ground Ginger</t>
  </si>
  <si>
    <t>Italian Seasoning</t>
  </si>
  <si>
    <t>MSG</t>
  </si>
  <si>
    <t>Onion Powder</t>
  </si>
  <si>
    <t>Oregano</t>
  </si>
  <si>
    <t>Paprika</t>
  </si>
  <si>
    <t>Parsley</t>
  </si>
  <si>
    <t>Red Pepper</t>
  </si>
  <si>
    <t>Salt</t>
  </si>
  <si>
    <t>Season Salt</t>
  </si>
  <si>
    <t>Sichuan peppercorns</t>
  </si>
  <si>
    <t>Steak Seasoning</t>
  </si>
  <si>
    <t>Turmeric</t>
  </si>
  <si>
    <t>White Pepper</t>
  </si>
  <si>
    <t>Total</t>
  </si>
  <si>
    <t>Item</t>
  </si>
  <si>
    <t xml:space="preserve">Fat </t>
  </si>
  <si>
    <t>Servings</t>
  </si>
  <si>
    <t>Measurement</t>
  </si>
  <si>
    <t>Cat</t>
  </si>
  <si>
    <t>Fat Removed</t>
  </si>
  <si>
    <t>Calorie Prediction</t>
  </si>
  <si>
    <t>Fat Calories</t>
  </si>
  <si>
    <t xml:space="preserve">Recipes </t>
  </si>
  <si>
    <t>Chicken Mexican Dish</t>
  </si>
  <si>
    <t>Mexican Dish</t>
  </si>
  <si>
    <t>Kung Poa Chicken</t>
  </si>
  <si>
    <t>General Tso</t>
  </si>
  <si>
    <t>Soba</t>
  </si>
  <si>
    <t>Black Pepper Chicken</t>
  </si>
  <si>
    <t>Sesame Chicken</t>
  </si>
  <si>
    <t>Chow Mein</t>
  </si>
  <si>
    <t>Char Siu</t>
  </si>
  <si>
    <t>Fried Rice</t>
  </si>
  <si>
    <t>Pizza</t>
  </si>
  <si>
    <t>Roast</t>
  </si>
  <si>
    <t>Salad</t>
  </si>
  <si>
    <t>Buffalo Chicken</t>
  </si>
  <si>
    <t>Burgers</t>
  </si>
  <si>
    <t>Baby Red Potatoes</t>
  </si>
  <si>
    <t>Condiments</t>
  </si>
  <si>
    <t>Sauce - Ortega</t>
  </si>
  <si>
    <t>Sauce - Valentina</t>
  </si>
  <si>
    <t>Pace Picante Hot Salsa</t>
  </si>
  <si>
    <t>Kroger Deli Salsa</t>
  </si>
  <si>
    <t>Sour Cream</t>
  </si>
  <si>
    <t>2 tbsp</t>
  </si>
  <si>
    <t>Ketchup</t>
  </si>
  <si>
    <t>Mustard</t>
  </si>
  <si>
    <t>Kroger Burger Sauce</t>
  </si>
  <si>
    <t>1 tbsp</t>
  </si>
  <si>
    <t>Ranch Dressing</t>
  </si>
  <si>
    <t>Sriracha</t>
  </si>
  <si>
    <t>1 tsp</t>
  </si>
  <si>
    <t>Hot Sauce - Lava</t>
  </si>
  <si>
    <t>Hot Sauce - Mango</t>
  </si>
  <si>
    <t>Hot Sauce - Mexican</t>
  </si>
  <si>
    <t>Hot Sauce - Orange</t>
  </si>
  <si>
    <t>Cheese</t>
  </si>
  <si>
    <t>Cheese - Colby Jack</t>
  </si>
  <si>
    <t>1/4 Cup</t>
  </si>
  <si>
    <t>Cheese - Cheddar</t>
  </si>
  <si>
    <t>Cheese - Hot Pepper</t>
  </si>
  <si>
    <t>Cheese - Italian</t>
  </si>
  <si>
    <t>Cheese - Mexican</t>
  </si>
  <si>
    <t>Cheese - Moz</t>
  </si>
  <si>
    <t>Cheese - Moz - Whole Milk</t>
  </si>
  <si>
    <t>Cheese - Moz - Part Skim Milk</t>
  </si>
  <si>
    <t>Cheese - Parama</t>
  </si>
  <si>
    <t>2 tsp</t>
  </si>
  <si>
    <t>Velveeta</t>
  </si>
  <si>
    <t>28g/1/4 inch slice/32 per container</t>
  </si>
  <si>
    <t>Vegetables &amp; Fruit</t>
  </si>
  <si>
    <t>Jalapenos - Jar</t>
  </si>
  <si>
    <t>Banana Peppers - Jar</t>
  </si>
  <si>
    <t>Green Onion</t>
  </si>
  <si>
    <t>100 grams</t>
  </si>
  <si>
    <t>Green pepper</t>
  </si>
  <si>
    <t>Yellow Pepper</t>
  </si>
  <si>
    <t>Orange Pepper</t>
  </si>
  <si>
    <t>Banana Peppers</t>
  </si>
  <si>
    <t xml:space="preserve">Jalapeno </t>
  </si>
  <si>
    <t>Red Onion</t>
  </si>
  <si>
    <t>Romaine Lettuce</t>
  </si>
  <si>
    <t>Roma Tomato</t>
  </si>
  <si>
    <t>Kroger Crushed Tomatoes</t>
  </si>
  <si>
    <t>1/4 cup/61g/7 per container</t>
  </si>
  <si>
    <t>Bean Sprouts</t>
  </si>
  <si>
    <t>Raw Broccoli</t>
  </si>
  <si>
    <t>Green Beans</t>
  </si>
  <si>
    <t>Celery</t>
  </si>
  <si>
    <t>Garlic Clove</t>
  </si>
  <si>
    <t>3 grams</t>
  </si>
  <si>
    <t>Cabbage</t>
  </si>
  <si>
    <t>Red Cabbage</t>
  </si>
  <si>
    <t>Dynasty Cut Baby Corn</t>
  </si>
  <si>
    <t>3oz/85g/2.5 per</t>
  </si>
  <si>
    <t>Kroger Frozen Peas &amp; Carrots</t>
  </si>
  <si>
    <t>2/3 cup/85g</t>
  </si>
  <si>
    <t xml:space="preserve">Kroger Frozen Mixed Vegetables </t>
  </si>
  <si>
    <t>Kroger Frozen Vegetables Stir-Fry Starter</t>
  </si>
  <si>
    <t>1 cup/88g</t>
  </si>
  <si>
    <t xml:space="preserve">Kroger Frozen Vegetable Gumbo Blend Soup Mix </t>
  </si>
  <si>
    <t>2/3 cup/80g</t>
  </si>
  <si>
    <t>Kroger Hamburger Dill Chips Oval Cut</t>
  </si>
  <si>
    <t>28g/4 pickles</t>
  </si>
  <si>
    <t>Kroger Whole Kosher Dill Cocktails</t>
  </si>
  <si>
    <t>28g/2.5 pickles</t>
  </si>
  <si>
    <t>Kroger Zesty Hot Dill Zingers</t>
  </si>
  <si>
    <t>28g/1 pickle</t>
  </si>
  <si>
    <t>Kroger Sweet Chips</t>
  </si>
  <si>
    <t>28g/6 chips</t>
  </si>
  <si>
    <t>Kroger Whole Sweet Petites</t>
  </si>
  <si>
    <t>Kroger Whole Sweet Gherkins</t>
  </si>
  <si>
    <t>28g/2 pickles</t>
  </si>
  <si>
    <t>Vlasic Sweet Gherkins</t>
  </si>
  <si>
    <t>28g/3 pickles</t>
  </si>
  <si>
    <t>Kroger Pepperoncini</t>
  </si>
  <si>
    <t>28g/3 peppers/8 per can</t>
  </si>
  <si>
    <t>Banana</t>
  </si>
  <si>
    <t>Seedless Grapes</t>
  </si>
  <si>
    <t>Carrots</t>
  </si>
  <si>
    <t>Gala Apple</t>
  </si>
  <si>
    <t>Granny Smith Apple</t>
  </si>
  <si>
    <t>Strawberries</t>
  </si>
  <si>
    <t>299 grams</t>
  </si>
  <si>
    <t>Kroger Russet Potatos</t>
  </si>
  <si>
    <t>150 grams</t>
  </si>
  <si>
    <t>Shells/Bread</t>
  </si>
  <si>
    <t>Ole Tomato Basil Tortilla Wraps</t>
  </si>
  <si>
    <t>1 shell</t>
  </si>
  <si>
    <t>Kroger White Corn Tortillas</t>
  </si>
  <si>
    <t>2 shells</t>
  </si>
  <si>
    <t>Kroger Flour Tortillas (Net Carbs)</t>
  </si>
  <si>
    <t>Mission Burrito shells</t>
  </si>
  <si>
    <t>Mission Carb Balance Spinach Herb</t>
  </si>
  <si>
    <t>Mission White Corn Tortillas</t>
  </si>
  <si>
    <t>2 shells/47g</t>
  </si>
  <si>
    <t>Lewis White Bread</t>
  </si>
  <si>
    <t>2 slices</t>
  </si>
  <si>
    <t xml:space="preserve">Bakehouse Zucchini Bread </t>
  </si>
  <si>
    <t>45 grams</t>
  </si>
  <si>
    <t>White Lily Self Rising Flour</t>
  </si>
  <si>
    <t>1/4 cup/30g</t>
  </si>
  <si>
    <t>Bread Flour</t>
  </si>
  <si>
    <t>All Purpose Flour</t>
  </si>
  <si>
    <t>Meat</t>
  </si>
  <si>
    <t>Lean Burgers</t>
  </si>
  <si>
    <t>Kroger 80/20 Frozen Burger</t>
  </si>
  <si>
    <t>Jalapeno &amp; Pepperjack Burgers</t>
  </si>
  <si>
    <t>Kroger Burger</t>
  </si>
  <si>
    <t>Bacon &amp; Cheddar Burgers</t>
  </si>
  <si>
    <t>Beef Shaved Steak</t>
  </si>
  <si>
    <t>7 per container</t>
  </si>
  <si>
    <t>Pork Shaved Steak</t>
  </si>
  <si>
    <t>Sausage - Andouille</t>
  </si>
  <si>
    <t>Sausage - Garlic</t>
  </si>
  <si>
    <t>Sausage - Classic</t>
  </si>
  <si>
    <t>Private Selection Pepperoni</t>
  </si>
  <si>
    <t>15 slices/28g</t>
  </si>
  <si>
    <t>Private Selection Turkey Pepperoni</t>
  </si>
  <si>
    <t>6 slices/28g</t>
  </si>
  <si>
    <t>Private Selection Sandwich Pepperoni</t>
  </si>
  <si>
    <t>Private Selection Spicy Sopressata</t>
  </si>
  <si>
    <t>Private Selection Genoa Salami</t>
  </si>
  <si>
    <t>12 slices/56g</t>
  </si>
  <si>
    <t>Private Selection Chianti Salami</t>
  </si>
  <si>
    <t>1oz/28g/6 per log</t>
  </si>
  <si>
    <t>Kroger Mini Pepperoni</t>
  </si>
  <si>
    <t>4 per bag; 1 oz</t>
  </si>
  <si>
    <t>Kroger Pepperoni</t>
  </si>
  <si>
    <t>6 per bag; 16 slices</t>
  </si>
  <si>
    <t>Kroger Turkey Pepperoni</t>
  </si>
  <si>
    <t>Turkey Jerky</t>
  </si>
  <si>
    <t>Beef Lit'l Smokies</t>
  </si>
  <si>
    <t>Bacon Pieces</t>
  </si>
  <si>
    <t>Bacon Bits</t>
  </si>
  <si>
    <t>Ground Beef</t>
  </si>
  <si>
    <t>Ground Beef Chuck</t>
  </si>
  <si>
    <t>Beef Eye Round Steak</t>
  </si>
  <si>
    <t>3 oz</t>
  </si>
  <si>
    <t>New York Strip Steak</t>
  </si>
  <si>
    <t>3.5 oz</t>
  </si>
  <si>
    <t>Beef Round Top Steak</t>
  </si>
  <si>
    <t>4 oz</t>
  </si>
  <si>
    <t>Beef Sirloin Tip Steak</t>
  </si>
  <si>
    <t>Pork Steak</t>
  </si>
  <si>
    <t>1 oz</t>
  </si>
  <si>
    <t>Pork Chops</t>
  </si>
  <si>
    <t>Chuck Roast</t>
  </si>
  <si>
    <t>per 3 oz</t>
  </si>
  <si>
    <t>Round Roast</t>
  </si>
  <si>
    <t>by 1 oz</t>
  </si>
  <si>
    <t>Kroger Buffalo Chicken</t>
  </si>
  <si>
    <t>3.5 per container</t>
  </si>
  <si>
    <t>Jalapeno Cheddar Sausage</t>
  </si>
  <si>
    <t>1 link</t>
  </si>
  <si>
    <t>Sweet Italian Sausage</t>
  </si>
  <si>
    <t xml:space="preserve">Kroger Jalalpeno Sasusage </t>
  </si>
  <si>
    <t>Beef Hotdog</t>
  </si>
  <si>
    <t>Classic Hotdog</t>
  </si>
  <si>
    <t>Cheese Hotdog</t>
  </si>
  <si>
    <t xml:space="preserve">Roast Beef Packaged </t>
  </si>
  <si>
    <t xml:space="preserve">Kroger Snack Sticks - Original </t>
  </si>
  <si>
    <t>4 sticks; 3.5 per box</t>
  </si>
  <si>
    <t>Wisconsin Snack Sticks - Beef</t>
  </si>
  <si>
    <t>Wisconsin Snack Sticks - Turkey</t>
  </si>
  <si>
    <t>Seasoned Shrimp</t>
  </si>
  <si>
    <t>Chicken Drums</t>
  </si>
  <si>
    <t>Chicken Breasts</t>
  </si>
  <si>
    <t>Chicken Thigh</t>
  </si>
  <si>
    <t>Chicken Wings</t>
  </si>
  <si>
    <t>Eggs</t>
  </si>
  <si>
    <t>1 egg/50g</t>
  </si>
  <si>
    <t>Rice, Beans, &amp; Nuts</t>
  </si>
  <si>
    <t>Arborio Rice</t>
  </si>
  <si>
    <t>1/4 cup/45g</t>
  </si>
  <si>
    <t>Jasmine Rice</t>
  </si>
  <si>
    <t>Long Grain White Rice</t>
  </si>
  <si>
    <t>Long Grain Brown Rice</t>
  </si>
  <si>
    <t>Medium Grain White Rice</t>
  </si>
  <si>
    <t>Kroger White Cheddar Rice Cakes</t>
  </si>
  <si>
    <t>1 cake/11g</t>
  </si>
  <si>
    <t>Kroger Carmel Rice Cakes</t>
  </si>
  <si>
    <t>1 cake/13g</t>
  </si>
  <si>
    <t>J Basket Soba</t>
  </si>
  <si>
    <t>1 bundle/75.5g</t>
  </si>
  <si>
    <t>Kroger Chow Mein Noodles</t>
  </si>
  <si>
    <t>1/2 cup/28g/6 per bag</t>
  </si>
  <si>
    <t>Erawan Banh Pho</t>
  </si>
  <si>
    <t>50g</t>
  </si>
  <si>
    <t>Zhong Shan Egg Noodles</t>
  </si>
  <si>
    <t>1 cup/50g</t>
  </si>
  <si>
    <t>Kroger Hot &amp; Spicy Peanuts</t>
  </si>
  <si>
    <t>Kroger Salted Peanuts</t>
  </si>
  <si>
    <t>Kroger Sea Salt Cashews</t>
  </si>
  <si>
    <t>Kroger Lightly Sea Salt Cashews</t>
  </si>
  <si>
    <t>1/4 cup/28g/8 per can</t>
  </si>
  <si>
    <t>Black Beans</t>
  </si>
  <si>
    <t>1/4 cup</t>
  </si>
  <si>
    <t>Pinto Beans</t>
  </si>
  <si>
    <t>Small Red Beans</t>
  </si>
  <si>
    <t>Kroger Chili Sauce</t>
  </si>
  <si>
    <t>18 servings per can</t>
  </si>
  <si>
    <t>Hormel Chilli Sauce</t>
  </si>
  <si>
    <t>1 can</t>
  </si>
  <si>
    <t>Hormel Chili Hot with Beans</t>
  </si>
  <si>
    <t>2 per can</t>
  </si>
  <si>
    <t>Kroger Chilli Beans</t>
  </si>
  <si>
    <t>3.5 servings per can</t>
  </si>
  <si>
    <t>Brooks Chilli Beans Mild</t>
  </si>
  <si>
    <t>Brooks Chilli Beans Hot</t>
  </si>
  <si>
    <t>3.5 servings per can/1/2 cup/130g</t>
  </si>
  <si>
    <t>Rosarita Traditional Refried Beans</t>
  </si>
  <si>
    <t>3.5 servings; 1/2 cup</t>
  </si>
  <si>
    <t>Rosarita Traditional No Fat Refried Beans</t>
  </si>
  <si>
    <t>Rosarita No Fat Green Chile &amp; Lime Refried Beans</t>
  </si>
  <si>
    <t>Old El Paso Traditional Refried Beans</t>
  </si>
  <si>
    <t>Half cup of 4</t>
  </si>
  <si>
    <t>Seasonings &amp; Oil</t>
  </si>
  <si>
    <t>McCormick Chicken Taco</t>
  </si>
  <si>
    <t>6 servings</t>
  </si>
  <si>
    <t>McCormick Taco Hot</t>
  </si>
  <si>
    <t>McCormick Taco Mild</t>
  </si>
  <si>
    <t>McCormick Taco Original</t>
  </si>
  <si>
    <t>McCormick Fajita</t>
  </si>
  <si>
    <t>8 servings; 2 tsp (4g) per</t>
  </si>
  <si>
    <t>McCormick Enchilada Sauce</t>
  </si>
  <si>
    <t>8 servings; 2 tsp (5g) per</t>
  </si>
  <si>
    <t>Noh Char Siu</t>
  </si>
  <si>
    <t>2 3/4 tsp/12g/6 per container</t>
  </si>
  <si>
    <t>NOH Hawaiian Spicy Chicken</t>
  </si>
  <si>
    <t>3 1/4 tsp/14g/4 per container</t>
  </si>
  <si>
    <t>A LA Orden Enchilada Sauce</t>
  </si>
  <si>
    <t>Tomato Sauce No Salt (8 oz)</t>
  </si>
  <si>
    <t>Kroger Fast Rise Yeast</t>
  </si>
  <si>
    <t>1/8 tsp/.4g</t>
  </si>
  <si>
    <t>Kroger Active Dry Yeast</t>
  </si>
  <si>
    <t>Kroger Baking Powder</t>
  </si>
  <si>
    <t>1/8 tsp/.6g</t>
  </si>
  <si>
    <t>Kroger Baking Soda</t>
  </si>
  <si>
    <t xml:space="preserve">Maizena Corn Starch </t>
  </si>
  <si>
    <t>1 tbsp/9g</t>
  </si>
  <si>
    <t>Smidge &amp; Spoon Sugar</t>
  </si>
  <si>
    <t>2 tsp/8g</t>
  </si>
  <si>
    <t>Kroger Brown Sugar</t>
  </si>
  <si>
    <t>Grandma's Molasses</t>
  </si>
  <si>
    <t>1 tbsp/15ML</t>
  </si>
  <si>
    <t>Clover Honey</t>
  </si>
  <si>
    <t>1 tbsp/21g</t>
  </si>
  <si>
    <t>Premium Dark Soy Sauce</t>
  </si>
  <si>
    <t>Shao Hsing Rice Cooking Wine</t>
  </si>
  <si>
    <t>2 tbsp/30ml</t>
  </si>
  <si>
    <t>Rice Vinegar</t>
  </si>
  <si>
    <t>Lee Kum Lee Hoisin Sauce</t>
  </si>
  <si>
    <t>2 tbsp/42g</t>
  </si>
  <si>
    <t>Lee Kum Lee Oyster Sauce</t>
  </si>
  <si>
    <t>Sun Luck Pure Sesame Oil</t>
  </si>
  <si>
    <t>Less Sodium Soy Sauce</t>
  </si>
  <si>
    <t>Lee Kum Kee Sweet Soy Sauce</t>
  </si>
  <si>
    <t>Sempio Gochujang Korean Chili Paste</t>
  </si>
  <si>
    <t>1 tbsp/18g</t>
  </si>
  <si>
    <t>Kroger Sweet Chilli Sauce</t>
  </si>
  <si>
    <t>Garlic Spread</t>
  </si>
  <si>
    <t>1 tbsp; 26 per container</t>
  </si>
  <si>
    <t>Kroger Sweet Honey BBQ Sauce</t>
  </si>
  <si>
    <t>2 TBSP/36g</t>
  </si>
  <si>
    <t>Kroger Pizza Sauce</t>
  </si>
  <si>
    <t>Prego Marinara</t>
  </si>
  <si>
    <t>Prego Roasted Garlic Parmesan</t>
  </si>
  <si>
    <t>1/2 cup</t>
  </si>
  <si>
    <t>Silver Mate Pizza Sauce</t>
  </si>
  <si>
    <t>Frank's Buffalo Sauce</t>
  </si>
  <si>
    <t>Bottle</t>
  </si>
  <si>
    <t>Frank's Hot Buffalo Sauce</t>
  </si>
  <si>
    <t>Creamy Ceasar</t>
  </si>
  <si>
    <t>Oil-Based Ceasar</t>
  </si>
  <si>
    <t>Spectrum Peanut Oil</t>
  </si>
  <si>
    <t>Spectrum Sesame Oil</t>
  </si>
  <si>
    <t>Bertolli Spray Olive Oil</t>
  </si>
  <si>
    <t>.25g</t>
  </si>
  <si>
    <t>Bertolli Balsamic Vinegar of Modena</t>
  </si>
  <si>
    <t>Kroger Extra Virgin Olive Oil</t>
  </si>
  <si>
    <t>Kroger Vegetable Oil</t>
  </si>
  <si>
    <t>Kroger Unsalted Butter</t>
  </si>
  <si>
    <t>1 tbsp/14g</t>
  </si>
  <si>
    <t>Chips</t>
  </si>
  <si>
    <t>Buffalo Corn Chips</t>
  </si>
  <si>
    <t>Plain Corn Chips</t>
  </si>
  <si>
    <t>Honey BBQ Corn Chips</t>
  </si>
  <si>
    <t>Pork Rinds - BBQ</t>
  </si>
  <si>
    <t>Pork Rinds - Hot and Spicy</t>
  </si>
  <si>
    <t>Tostitos Scoops</t>
  </si>
  <si>
    <t>11 chips, 10 per bag</t>
  </si>
  <si>
    <t>Lays BBQ</t>
  </si>
  <si>
    <t>1 bag</t>
  </si>
  <si>
    <t>Cool Ranch Doritos</t>
  </si>
  <si>
    <t>12 chips, 9 per bag</t>
  </si>
  <si>
    <t>Flamin Hot Cool Ranch Doritos</t>
  </si>
  <si>
    <t>12 chips</t>
  </si>
  <si>
    <t>Booze</t>
  </si>
  <si>
    <t>Michelob ULTRA</t>
  </si>
  <si>
    <t>12 oz Bottle</t>
  </si>
  <si>
    <t>Michelob Amberbock</t>
  </si>
  <si>
    <t>Michelob ULTRA Amber Max</t>
  </si>
  <si>
    <t>Yuengling Flight</t>
  </si>
  <si>
    <t>Yuengling</t>
  </si>
  <si>
    <t>Ciderboy Apple Strawberry</t>
  </si>
  <si>
    <t>Miller High Life</t>
  </si>
  <si>
    <t>12 oz can</t>
  </si>
  <si>
    <t>Yuengling Black &amp; Tan</t>
  </si>
  <si>
    <t>Yuengling Hershey Porter</t>
  </si>
  <si>
    <t xml:space="preserve">Leinenkugel's Summer Shandy </t>
  </si>
  <si>
    <t>Leinenkugel's Oktoberfest</t>
  </si>
  <si>
    <t>Shiner Bock</t>
  </si>
  <si>
    <t>Gym</t>
  </si>
  <si>
    <t>LIT Gummy Worm</t>
  </si>
  <si>
    <t>LIT Icy Fireworks</t>
  </si>
  <si>
    <t>LIT AF - Sweet &amp; Tart</t>
  </si>
  <si>
    <t>LIT Blue Raspberry</t>
  </si>
  <si>
    <t>LIT Pump - Strawberry Lemonade</t>
  </si>
  <si>
    <t>LIT Mango</t>
  </si>
  <si>
    <t>LIT Grape</t>
  </si>
  <si>
    <t>LIT Watermelon</t>
  </si>
  <si>
    <t>Robert Irvine Fitness Milk &amp; Cookies - Large</t>
  </si>
  <si>
    <t>Robert Irvine Fitness Crunch Chocolate Chip Cookie Dough</t>
  </si>
  <si>
    <t>1 bar/46g</t>
  </si>
  <si>
    <t>Robert Irvine Fitness Crunch Peanut Butter</t>
  </si>
  <si>
    <t>Robert Irvine Fitness Chocolate Peanut Butter</t>
  </si>
  <si>
    <t>Robert Irvine Fitness Mint Chocolate Chip</t>
  </si>
  <si>
    <t>Robert Irvine Fit Crunch Peanut Butter and Jelly</t>
  </si>
  <si>
    <t>Kroger Fruit &amp; Grain Raspberry</t>
  </si>
  <si>
    <t>Kroger Fruit &amp; Grain Blueberry</t>
  </si>
  <si>
    <t>Kroger Fruit &amp; Grain Strawberry</t>
  </si>
  <si>
    <t>Kroger Fruit &amp; Grain Apple Cinnamon</t>
  </si>
  <si>
    <t>Kroger Fruit &amp; Grain Mixed Berry</t>
  </si>
  <si>
    <t>Think Keto Protein Bar Chocolate Peanut Butter</t>
  </si>
  <si>
    <t>1 bar</t>
  </si>
  <si>
    <t>Think Keto Protein Bar Chocolate Mousse</t>
  </si>
  <si>
    <t>Think Protein Bar Chunky Peanut Butter</t>
  </si>
  <si>
    <t>Think Protein Bar Brownie Crunch</t>
  </si>
  <si>
    <t>Think Protein Bar White Chocolate</t>
  </si>
  <si>
    <t>Special K Chocolatey Chip Cookie Dough</t>
  </si>
  <si>
    <t>Atkins Strawberry Shortcake Bar</t>
  </si>
  <si>
    <t>Gatorade Chocolate Chip Protein Bar</t>
  </si>
  <si>
    <t>Dunkin Protein Shake with Almond Milk</t>
  </si>
  <si>
    <t>1 Shake</t>
  </si>
  <si>
    <t>Vanilla Protein Shake with Almond Milk</t>
  </si>
  <si>
    <t>Chocolate Protein Shake with Almond Milk</t>
  </si>
  <si>
    <t>Candy and Cakes</t>
  </si>
  <si>
    <t>Hostess Cheesecake Donut</t>
  </si>
  <si>
    <t>3 donuts</t>
  </si>
  <si>
    <t>Hostess Double Chocolate Donut</t>
  </si>
  <si>
    <t>Hostess Chocolate Cupcake</t>
  </si>
  <si>
    <t>Mini Milky Way</t>
  </si>
  <si>
    <t>Hostess Vanilla Zinger</t>
  </si>
  <si>
    <t>1 cake</t>
  </si>
  <si>
    <t>Ice Cream Sandwich</t>
  </si>
  <si>
    <t>1 sandwich</t>
  </si>
  <si>
    <t>Peanut Butter Fudge</t>
  </si>
  <si>
    <t>1 inch piece</t>
  </si>
  <si>
    <t>Starburst Candy</t>
  </si>
  <si>
    <t>1 piece</t>
  </si>
  <si>
    <t>Smarties</t>
  </si>
  <si>
    <t>1 roll</t>
  </si>
  <si>
    <t>Girl Scout Tagalongs</t>
  </si>
  <si>
    <t>2 cookies</t>
  </si>
  <si>
    <t>Kinder Bueno</t>
  </si>
  <si>
    <t>Fast Food/Cheats</t>
  </si>
  <si>
    <t>McDouble</t>
  </si>
  <si>
    <t>Sandwich</t>
  </si>
  <si>
    <t>McChicken</t>
  </si>
  <si>
    <t>McDonalds Large Coke</t>
  </si>
  <si>
    <t>Fountain Drink</t>
  </si>
  <si>
    <t>Whopper with cheese</t>
  </si>
  <si>
    <t>Burger King Large Coke</t>
  </si>
  <si>
    <t>Lees Famous Chicken Strip</t>
  </si>
  <si>
    <t>Lees BBQ Sauce</t>
  </si>
  <si>
    <t>Lees Honey Mustard Sauce</t>
  </si>
  <si>
    <t>Philly Steak Papadia</t>
  </si>
  <si>
    <t>1 full box</t>
  </si>
  <si>
    <t>Meatball Pepperoni Papadia</t>
  </si>
  <si>
    <t>Papa Johns Spicy Garlic Sauce</t>
  </si>
  <si>
    <t>1 cup</t>
  </si>
  <si>
    <t>Papa Johns Pizza Dipping Sauce</t>
  </si>
  <si>
    <t>Ceasars pizza</t>
  </si>
  <si>
    <t>Kroger StoneBaked Hot Honey Pepperoni and Jalapenos Pizza</t>
  </si>
  <si>
    <t>1/4 of pizza</t>
  </si>
  <si>
    <t>Kroger Southwest Wrap</t>
  </si>
  <si>
    <t>Kroger Ceasar Wrap</t>
  </si>
  <si>
    <t>1/2 wrap</t>
  </si>
  <si>
    <t>Walmart Turkey Pinwheel</t>
  </si>
  <si>
    <t>1 pinwheel</t>
  </si>
  <si>
    <t>Mininite Roast Beef Sandwich</t>
  </si>
  <si>
    <t>Breadeli Rustic Flat - Garlic Butter</t>
  </si>
  <si>
    <t>1/4 loaf/50g</t>
  </si>
  <si>
    <t>Breadeli Rustic Flat - Italian Herb</t>
  </si>
  <si>
    <t>Five Star Italian Sub</t>
  </si>
  <si>
    <t>Soda and Coffee</t>
  </si>
  <si>
    <t>Jones Orange Cream Soda</t>
  </si>
  <si>
    <t>12 oz</t>
  </si>
  <si>
    <t>Frostie Orange Soda</t>
  </si>
  <si>
    <t>Crush Orange</t>
  </si>
  <si>
    <t>20 oz</t>
  </si>
  <si>
    <t>Ale 8 Orange</t>
  </si>
  <si>
    <t>Ale 8</t>
  </si>
  <si>
    <t>Ski - 20 oz</t>
  </si>
  <si>
    <t xml:space="preserve">Sprite </t>
  </si>
  <si>
    <t>Pepsi</t>
  </si>
  <si>
    <t>Fanta</t>
  </si>
  <si>
    <t>Fountain Pepsi</t>
  </si>
  <si>
    <t>Fountain Mountain Dew</t>
  </si>
  <si>
    <t>Fountain Coke</t>
  </si>
  <si>
    <t>Fountain Sprite</t>
  </si>
  <si>
    <t>Fountain Strawberry Lemonade Sprite</t>
  </si>
  <si>
    <t>Mountain Dew</t>
  </si>
  <si>
    <t>Coke</t>
  </si>
  <si>
    <t>Hawaiian Punch</t>
  </si>
  <si>
    <t>Starbucks Large Iced White Chocolate Mocha - no whip</t>
  </si>
  <si>
    <t>1 large cup/24 oz</t>
  </si>
  <si>
    <t>Daily</t>
  </si>
  <si>
    <t>Spices</t>
  </si>
  <si>
    <t>Based on Sheet</t>
  </si>
  <si>
    <t>Pills</t>
  </si>
  <si>
    <t>5 pills at .5kcal per pill</t>
  </si>
  <si>
    <t>Cat Num</t>
  </si>
  <si>
    <t>Category</t>
  </si>
  <si>
    <t>Description</t>
  </si>
  <si>
    <t>Statistic</t>
  </si>
  <si>
    <t>Recipes</t>
  </si>
  <si>
    <t>Calorie Difference</t>
  </si>
  <si>
    <t>Calories (Removed Fat)</t>
  </si>
  <si>
    <t>Lost Fat Grams</t>
  </si>
  <si>
    <t>New Fat Grams</t>
  </si>
  <si>
    <t>Expected Calories</t>
  </si>
  <si>
    <t xml:space="preserve">    </t>
  </si>
  <si>
    <t>Expected Calories (Minus Fat)</t>
  </si>
  <si>
    <t>Rice &amp; Beans</t>
  </si>
  <si>
    <t>Net Carbs (Carbs - Fiber)</t>
  </si>
  <si>
    <t>Seasonings &amp; Oils</t>
  </si>
  <si>
    <t>16 to 12 oz=</t>
  </si>
  <si>
    <t>Number of Beers</t>
  </si>
  <si>
    <t>Conversion</t>
  </si>
  <si>
    <t>Equation</t>
  </si>
  <si>
    <t>Amount</t>
  </si>
  <si>
    <t>Constant</t>
  </si>
  <si>
    <t>Answer</t>
  </si>
  <si>
    <t>TSP to CUPS</t>
  </si>
  <si>
    <t>1 tsp = .0208333 cups</t>
  </si>
  <si>
    <t>Cup</t>
  </si>
  <si>
    <t>Cups to TSP</t>
  </si>
  <si>
    <t>1 cup = 48 tsp</t>
  </si>
  <si>
    <t>TSP</t>
  </si>
  <si>
    <t>TSP to OZ</t>
  </si>
  <si>
    <t>1 tsp = .166667 OZ</t>
  </si>
  <si>
    <t>OZ</t>
  </si>
  <si>
    <t>OZ to TSP</t>
  </si>
  <si>
    <t>1 oz = 6 tsp</t>
  </si>
  <si>
    <t>Grams to OZ</t>
  </si>
  <si>
    <t>1 gram = .03527396 oz</t>
  </si>
  <si>
    <t>OZ to Grams</t>
  </si>
  <si>
    <t>1 OZ = 28.34952 Grams</t>
  </si>
  <si>
    <t>Grams</t>
  </si>
  <si>
    <t>TBSP to TSP</t>
  </si>
  <si>
    <t>1 TBSP = 3 TSP</t>
  </si>
  <si>
    <t>TSP to TBSP</t>
  </si>
  <si>
    <t>1 TSP = 1/3 TBSP</t>
  </si>
  <si>
    <t>TBSP</t>
  </si>
  <si>
    <t>Grams to Cups</t>
  </si>
  <si>
    <t>1 gram = .004167 cups</t>
  </si>
  <si>
    <t>Cups to Grams</t>
  </si>
  <si>
    <t>1 cup = 240 grams</t>
  </si>
  <si>
    <t>TSP to Grams</t>
  </si>
  <si>
    <t>1 tsp = 4.92892 grams</t>
  </si>
  <si>
    <t>Grams to TSP</t>
  </si>
  <si>
    <t>1 grams = .2 tsp</t>
  </si>
  <si>
    <t>Test</t>
  </si>
  <si>
    <t>Fat Grams Removed for Recipes</t>
  </si>
  <si>
    <t>Fat Percentage Removed Elsewhere</t>
  </si>
  <si>
    <t>Rice, Beans, and Nuts</t>
  </si>
  <si>
    <t>Starbucks Large Iced White Chocolate Mocha - No Whip</t>
  </si>
  <si>
    <t>Other</t>
  </si>
  <si>
    <t xml:space="preserve"> </t>
  </si>
  <si>
    <t>Green Pepper</t>
  </si>
  <si>
    <t>Average</t>
  </si>
  <si>
    <t>6</t>
  </si>
  <si>
    <t>4</t>
  </si>
  <si>
    <t>Half cup; 4 servings</t>
  </si>
  <si>
    <t>Kroger Mozzarella Part-Skim Brick</t>
  </si>
  <si>
    <t>28g/1oz/of 8</t>
  </si>
  <si>
    <t>Kroger Pepper Jack Brick</t>
  </si>
  <si>
    <t>Kroger Colby Jack Brick</t>
  </si>
  <si>
    <t>8</t>
  </si>
  <si>
    <t>1</t>
  </si>
  <si>
    <t>1 cup/55g</t>
  </si>
  <si>
    <t xml:space="preserve">   </t>
  </si>
  <si>
    <t>8 servings per pack</t>
  </si>
  <si>
    <t>Poblano Peppers</t>
  </si>
  <si>
    <t>Pork Loin</t>
  </si>
  <si>
    <t>by 4 oz</t>
  </si>
  <si>
    <t>Kroger Broccoli</t>
  </si>
  <si>
    <t>Little Debbie Peanut Butter Crème Pies</t>
  </si>
  <si>
    <t>Amazon Cinnamon Honey Bun</t>
  </si>
  <si>
    <t>Old El Paso Flour Tortillas for Fajitas</t>
  </si>
  <si>
    <t>Pasta Sauce</t>
  </si>
  <si>
    <t>Kroger Sour Cream and Cheddar Chips</t>
  </si>
  <si>
    <t>Kroger Salt and Vinegar Chips</t>
  </si>
  <si>
    <t>11 chips/28g</t>
  </si>
  <si>
    <t>BBQ Pizza</t>
  </si>
  <si>
    <t>Private Selection San Marzano Style Whole Peeled Tomatoes</t>
  </si>
  <si>
    <t>1/2 cup/121g/7 per</t>
  </si>
  <si>
    <t>Cento Tomato Paste</t>
  </si>
  <si>
    <t>2 tbsp/33g/4 per</t>
  </si>
  <si>
    <t>Kroger Heavy Cream</t>
  </si>
  <si>
    <t>1 tbsp/32 per</t>
  </si>
  <si>
    <t>Kroger Sweet and Tangy BBQ Sauce</t>
  </si>
  <si>
    <t>2 TBSP/37g</t>
  </si>
  <si>
    <t>Kroger Mozzarella Cheese Slices</t>
  </si>
  <si>
    <t>Kroger Provolone Cheese Slices</t>
  </si>
  <si>
    <t>1 slice/21g</t>
  </si>
  <si>
    <t xml:space="preserve">Hillshire Farms Smoked Turkey Sasusage </t>
  </si>
  <si>
    <t>2oz/56g/7 per</t>
  </si>
  <si>
    <t>Boar's Head Turkey Pepperoni</t>
  </si>
  <si>
    <t>16 slices/28g/4.5 per</t>
  </si>
  <si>
    <t>LIT Spiced Cider</t>
  </si>
  <si>
    <t>1 scoop/13.8g</t>
  </si>
  <si>
    <t>LIT Green Apple</t>
  </si>
  <si>
    <t>LIT Fruit Punch</t>
  </si>
  <si>
    <t>LIT Cherry</t>
  </si>
  <si>
    <t>Smartfood Doritos Popcorn</t>
  </si>
  <si>
    <t>2 1/3 cups/28g/6 per</t>
  </si>
  <si>
    <t>Calabrian Peppers</t>
  </si>
  <si>
    <t>1/8 cup/30g</t>
  </si>
  <si>
    <t>Chicken Casserole</t>
  </si>
  <si>
    <t>Kroger Extra Sharp Cheddar Cheese Slices</t>
  </si>
  <si>
    <t>Kroger Colby Jack Cheese Slices</t>
  </si>
  <si>
    <t>Kroger Aged White Cheddar Cheese Slices</t>
  </si>
  <si>
    <t>Sam Adams Cold Snap</t>
  </si>
  <si>
    <t>Tootsie Roll</t>
  </si>
  <si>
    <t>Dominos 3 Topping Medium</t>
  </si>
  <si>
    <t>Dominos Jalapeno Cheesebread</t>
  </si>
  <si>
    <t>Dominos Garlic</t>
  </si>
  <si>
    <t>Dominos Marinara</t>
  </si>
  <si>
    <t>Pizza Hut 3 Topping Medium</t>
  </si>
  <si>
    <t>Pizza Hut Cinnasticks</t>
  </si>
  <si>
    <t>Pizza Hut Garlic</t>
  </si>
  <si>
    <t>Pizza Hut Marinara</t>
  </si>
  <si>
    <t>Pizza Hut Icing</t>
  </si>
  <si>
    <t>1 stick</t>
  </si>
  <si>
    <t>Pizza Hut Cheesesticks</t>
  </si>
  <si>
    <t>1 piece; chicken, pepperoni, sasusage</t>
  </si>
  <si>
    <t>1 cup; 3 servings per</t>
  </si>
  <si>
    <t>8 servings</t>
  </si>
  <si>
    <t>1 piece; chicken, pepperoni, philly</t>
  </si>
  <si>
    <t>Bacardi Superior Rum</t>
  </si>
  <si>
    <t>Taco Bell Fountain Baja Blast</t>
  </si>
  <si>
    <t>30 oz</t>
  </si>
  <si>
    <t>Taco Bell Crunchwrap</t>
  </si>
  <si>
    <t>Taco Bell 5 Layer</t>
  </si>
  <si>
    <t>Taco Bell Potatoes</t>
  </si>
  <si>
    <t>Taco Bell Double Stacker</t>
  </si>
  <si>
    <t>Taco Bell Stacker</t>
  </si>
  <si>
    <t>Taco Bell Spicy Ranch</t>
  </si>
  <si>
    <t>Taco Bell Creamy Jalapeno</t>
  </si>
  <si>
    <t>1 wrap with jalapenos</t>
  </si>
  <si>
    <t>1 burrito</t>
  </si>
  <si>
    <t>1 taco</t>
  </si>
  <si>
    <t>1 wrap</t>
  </si>
  <si>
    <t>Pizza Hut Pepperoni Large Extra Cheese</t>
  </si>
  <si>
    <t>Kroger Pepperjack Cheese Slices</t>
  </si>
  <si>
    <t>5 servings per</t>
  </si>
  <si>
    <t>Roman Chicken</t>
  </si>
  <si>
    <t>Thyme</t>
  </si>
  <si>
    <t>Kroger Canned Tomatoes with Jalapenos</t>
  </si>
  <si>
    <t>3.5 per container/121g/1/2cup</t>
  </si>
  <si>
    <t>Murray's Westminister Smoked Cheddar</t>
  </si>
  <si>
    <t>1 oz/28g</t>
  </si>
  <si>
    <t>Stonefire Mini Naan Ancient Grain</t>
  </si>
  <si>
    <t>1 of 4/50g</t>
  </si>
  <si>
    <t>Taco Bell Chessy Gordita Crunch</t>
  </si>
  <si>
    <t>Taco Bell Creamy Chipotle</t>
  </si>
  <si>
    <t>Speedway Danish</t>
  </si>
  <si>
    <t>Speedway No Bake Cookie</t>
  </si>
  <si>
    <t>Private Selection Hard Salami</t>
  </si>
  <si>
    <t>Kroger Cream Cheese</t>
  </si>
  <si>
    <t>Philadelphia Cream Cheese</t>
  </si>
  <si>
    <t>Little Debbie Chocolate Chip Cake</t>
  </si>
  <si>
    <t>Speedway Pizza Pocket</t>
  </si>
  <si>
    <t>Angry Orchard</t>
  </si>
  <si>
    <t>Anaheim Peppers</t>
  </si>
  <si>
    <t>Whole Grain Penne</t>
  </si>
  <si>
    <t>Cavatappi</t>
  </si>
  <si>
    <t>Fettuccine</t>
  </si>
  <si>
    <t>8 per box</t>
  </si>
  <si>
    <t>Private Selection Angus</t>
  </si>
  <si>
    <t>Yellow Onion</t>
  </si>
  <si>
    <t>Pasta Dish</t>
  </si>
  <si>
    <t>4 per package/4 oz</t>
  </si>
  <si>
    <t>Shells/Bread/Pasta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</si>
</sst>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Garamond"/>
      <family val="1"/>
    </font>
    <font>
      <sz val="14"/>
      <color theme="1"/>
      <name val="Garamond"/>
      <family val="1"/>
    </font>
    <font>
      <b/>
      <sz val="14"/>
      <color theme="0"/>
      <name val="Garamond"/>
      <family val="1"/>
    </font>
    <font>
      <sz val="8"/>
      <name val="Calibri"/>
      <family val="2"/>
      <scheme val="minor"/>
    </font>
    <font>
      <sz val="12"/>
      <color theme="1"/>
      <name val="Garamond"/>
      <family val="1"/>
    </font>
    <font>
      <b/>
      <sz val="20"/>
      <color theme="1"/>
      <name val="Garamond"/>
      <family val="1"/>
    </font>
    <font>
      <sz val="11"/>
      <color theme="1"/>
      <name val="Calibri"/>
      <family val="2"/>
      <scheme val="minor"/>
    </font>
    <font>
      <sz val="14"/>
      <color rgb="FF000000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5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7"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/>
    <xf numFmtId="0" fontId="2" fillId="4" borderId="1" xfId="0" applyFont="1" applyFill="1" applyBorder="1"/>
    <xf numFmtId="0" fontId="2" fillId="0" borderId="1" xfId="0" applyFont="1" applyBorder="1"/>
    <xf numFmtId="2" fontId="2" fillId="0" borderId="0" xfId="0" applyNumberFormat="1" applyFont="1"/>
    <xf numFmtId="2" fontId="2" fillId="4" borderId="1" xfId="0" applyNumberFormat="1" applyFont="1" applyFill="1" applyBorder="1"/>
    <xf numFmtId="2" fontId="2" fillId="0" borderId="1" xfId="0" applyNumberFormat="1" applyFont="1" applyBorder="1"/>
    <xf numFmtId="0" fontId="2" fillId="4" borderId="1" xfId="0" applyFont="1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2" xfId="0" applyFont="1" applyFill="1" applyBorder="1"/>
    <xf numFmtId="0" fontId="2" fillId="0" borderId="3" xfId="0" applyFont="1" applyBorder="1" applyAlignment="1">
      <alignment wrapText="1"/>
    </xf>
    <xf numFmtId="2" fontId="2" fillId="0" borderId="3" xfId="0" applyNumberFormat="1" applyFont="1" applyBorder="1"/>
    <xf numFmtId="0" fontId="2" fillId="0" borderId="3" xfId="0" applyFont="1" applyBorder="1"/>
    <xf numFmtId="0" fontId="1" fillId="0" borderId="4" xfId="0" applyFont="1" applyBorder="1"/>
    <xf numFmtId="2" fontId="2" fillId="0" borderId="4" xfId="0" applyNumberFormat="1" applyFont="1" applyBorder="1"/>
    <xf numFmtId="0" fontId="2" fillId="0" borderId="5" xfId="0" applyFont="1" applyBorder="1"/>
    <xf numFmtId="0" fontId="1" fillId="0" borderId="6" xfId="0" applyFont="1" applyBorder="1"/>
    <xf numFmtId="2" fontId="2" fillId="0" borderId="6" xfId="0" applyNumberFormat="1" applyFont="1" applyBorder="1"/>
    <xf numFmtId="0" fontId="1" fillId="0" borderId="7" xfId="0" applyFont="1" applyBorder="1"/>
    <xf numFmtId="2" fontId="2" fillId="0" borderId="7" xfId="0" applyNumberFormat="1" applyFont="1" applyBorder="1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2" fontId="2" fillId="2" borderId="1" xfId="0" applyNumberFormat="1" applyFont="1" applyFill="1" applyBorder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/>
    <xf numFmtId="0" fontId="2" fillId="0" borderId="4" xfId="0" applyFont="1" applyBorder="1"/>
    <xf numFmtId="0" fontId="1" fillId="0" borderId="5" xfId="0" applyFont="1" applyBorder="1"/>
    <xf numFmtId="2" fontId="2" fillId="0" borderId="5" xfId="0" applyNumberFormat="1" applyFont="1" applyBorder="1"/>
    <xf numFmtId="0" fontId="1" fillId="4" borderId="6" xfId="0" applyFont="1" applyFill="1" applyBorder="1"/>
    <xf numFmtId="2" fontId="2" fillId="4" borderId="6" xfId="0" applyNumberFormat="1" applyFont="1" applyFill="1" applyBorder="1"/>
    <xf numFmtId="2" fontId="2" fillId="0" borderId="8" xfId="0" applyNumberFormat="1" applyFont="1" applyBorder="1"/>
    <xf numFmtId="0" fontId="2" fillId="0" borderId="6" xfId="0" applyFont="1" applyBorder="1"/>
    <xf numFmtId="0" fontId="1" fillId="0" borderId="0" xfId="0" applyFont="1" applyAlignment="1">
      <alignment wrapText="1"/>
    </xf>
    <xf numFmtId="0" fontId="1" fillId="0" borderId="0" xfId="0" applyFont="1"/>
    <xf numFmtId="2" fontId="1" fillId="0" borderId="0" xfId="0" applyNumberFormat="1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2" fillId="0" borderId="8" xfId="0" applyFont="1" applyBorder="1" applyAlignment="1">
      <alignment wrapText="1"/>
    </xf>
    <xf numFmtId="0" fontId="2" fillId="0" borderId="8" xfId="0" applyFont="1" applyBorder="1"/>
    <xf numFmtId="0" fontId="3" fillId="3" borderId="0" xfId="0" applyFont="1" applyFill="1" applyAlignment="1">
      <alignment wrapText="1"/>
    </xf>
    <xf numFmtId="0" fontId="3" fillId="3" borderId="0" xfId="0" applyFont="1" applyFill="1"/>
    <xf numFmtId="0" fontId="2" fillId="4" borderId="8" xfId="0" applyFont="1" applyFill="1" applyBorder="1" applyAlignment="1">
      <alignment wrapText="1"/>
    </xf>
    <xf numFmtId="2" fontId="2" fillId="4" borderId="8" xfId="0" applyNumberFormat="1" applyFont="1" applyFill="1" applyBorder="1"/>
    <xf numFmtId="0" fontId="2" fillId="4" borderId="8" xfId="0" applyFont="1" applyFill="1" applyBorder="1"/>
    <xf numFmtId="0" fontId="3" fillId="3" borderId="9" xfId="0" applyFont="1" applyFill="1" applyBorder="1" applyAlignment="1">
      <alignment wrapText="1"/>
    </xf>
    <xf numFmtId="0" fontId="3" fillId="3" borderId="10" xfId="0" applyFont="1" applyFill="1" applyBorder="1"/>
    <xf numFmtId="0" fontId="3" fillId="3" borderId="11" xfId="0" applyFont="1" applyFill="1" applyBorder="1"/>
    <xf numFmtId="0" fontId="2" fillId="4" borderId="12" xfId="0" applyFont="1" applyFill="1" applyBorder="1" applyAlignment="1">
      <alignment wrapText="1"/>
    </xf>
    <xf numFmtId="0" fontId="2" fillId="4" borderId="13" xfId="0" applyFont="1" applyFill="1" applyBorder="1"/>
    <xf numFmtId="0" fontId="2" fillId="2" borderId="12" xfId="0" applyFont="1" applyFill="1" applyBorder="1" applyAlignment="1">
      <alignment wrapText="1"/>
    </xf>
    <xf numFmtId="2" fontId="2" fillId="2" borderId="8" xfId="0" applyNumberFormat="1" applyFont="1" applyFill="1" applyBorder="1"/>
    <xf numFmtId="0" fontId="2" fillId="2" borderId="13" xfId="0" applyFont="1" applyFill="1" applyBorder="1"/>
    <xf numFmtId="0" fontId="2" fillId="0" borderId="12" xfId="0" applyFont="1" applyBorder="1" applyAlignment="1">
      <alignment wrapText="1"/>
    </xf>
    <xf numFmtId="0" fontId="2" fillId="0" borderId="13" xfId="0" applyFont="1" applyBorder="1"/>
    <xf numFmtId="0" fontId="2" fillId="4" borderId="3" xfId="0" applyFont="1" applyFill="1" applyBorder="1"/>
    <xf numFmtId="2" fontId="2" fillId="4" borderId="3" xfId="0" applyNumberFormat="1" applyFont="1" applyFill="1" applyBorder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 wrapText="1"/>
    </xf>
    <xf numFmtId="2" fontId="6" fillId="0" borderId="0" xfId="0" applyNumberFormat="1" applyFont="1"/>
    <xf numFmtId="0" fontId="6" fillId="0" borderId="0" xfId="0" applyFont="1"/>
    <xf numFmtId="2" fontId="2" fillId="0" borderId="0" xfId="1" applyNumberFormat="1" applyFont="1"/>
    <xf numFmtId="0" fontId="2" fillId="0" borderId="0" xfId="0" applyFont="1" applyAlignment="1">
      <alignment horizontal="center"/>
    </xf>
    <xf numFmtId="2" fontId="1" fillId="0" borderId="0" xfId="1" applyNumberFormat="1" applyFont="1"/>
    <xf numFmtId="2" fontId="6" fillId="0" borderId="0" xfId="0" applyNumberFormat="1" applyFont="1" applyAlignment="1">
      <alignment wrapText="1"/>
    </xf>
    <xf numFmtId="2" fontId="8" fillId="0" borderId="0" xfId="0" applyNumberFormat="1" applyFont="1"/>
    <xf numFmtId="0" fontId="2" fillId="0" borderId="8" xfId="0" applyFont="1" applyBorder="1" applyAlignment="1">
      <alignment horizontal="right"/>
    </xf>
    <xf numFmtId="0" fontId="1" fillId="0" borderId="8" xfId="0" applyFont="1" applyBorder="1"/>
    <xf numFmtId="0" fontId="2" fillId="0" borderId="7" xfId="0" applyFont="1" applyBorder="1"/>
    <xf numFmtId="2" fontId="2" fillId="0" borderId="10" xfId="0" applyNumberFormat="1" applyFont="1" applyBorder="1"/>
    <xf numFmtId="2" fontId="2" fillId="0" borderId="14" xfId="0" applyNumberFormat="1" applyFont="1" applyBorder="1"/>
    <xf numFmtId="0" fontId="8" fillId="0" borderId="0" xfId="0" applyFont="1"/>
    <xf numFmtId="2" fontId="2" fillId="0" borderId="0" xfId="0" applyNumberFormat="1" applyFont="1" applyAlignment="1">
      <alignment wrapText="1"/>
    </xf>
    <xf numFmtId="2" fontId="2" fillId="0" borderId="8" xfId="0" applyNumberFormat="1" applyFont="1" applyBorder="1" applyAlignment="1">
      <alignment horizontal="right"/>
    </xf>
  </cellXfs>
  <cellStyles count="2">
    <cellStyle name="Normal" xfId="0" builtinId="0"/>
    <cellStyle name="Percent" xfId="1" builtinId="5"/>
  </cellStyles>
  <dxfs count="8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  <fill>
        <patternFill patternType="solid">
          <fgColor rgb="FFD9D9D9"/>
          <bgColor rgb="FFD9D9D9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border outline="0">
        <top style="thin">
          <color rgb="FF000000"/>
        </top>
        <bottom style="thin">
          <color theme="1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  <fill>
        <patternFill patternType="solid">
          <fgColor rgb="FFD9D9D9"/>
          <bgColor rgb="FFD9D9D9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  <fill>
        <patternFill patternType="solid">
          <fgColor rgb="FFD9D9D9"/>
          <bgColor rgb="FFD9D9D9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Garamond"/>
        <family val="1"/>
        <scheme val="none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000000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numFmt numFmtId="165" formatCode="0.000000"/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numFmt numFmtId="164" formatCode="0.00000"/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Garamond"/>
        <family val="1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A218F53-F533-40E2-B169-73EFD95E0576}" name="Convert" displayName="Convert" ref="A1:F13" totalsRowShown="0" headerRowDxfId="888" dataDxfId="887">
  <autoFilter ref="A1:F13" xr:uid="{AA218F53-F533-40E2-B169-73EFD95E0576}"/>
  <tableColumns count="6">
    <tableColumn id="1" xr3:uid="{B0911EE5-5CEC-437D-951A-ABD3B5561FD4}" name="Conversion" dataDxfId="886"/>
    <tableColumn id="2" xr3:uid="{4E0E86B3-B6DD-4468-A1E6-0A723695F78A}" name="Equation" dataDxfId="885"/>
    <tableColumn id="3" xr3:uid="{FEF8F3D5-5D55-40BD-9AF7-BBD4A71FCB32}" name="Amount" dataDxfId="884"/>
    <tableColumn id="4" xr3:uid="{2C055877-BB50-4468-B1EE-EAB4BD9BF437}" name="Constant" dataDxfId="883"/>
    <tableColumn id="5" xr3:uid="{6052B7AE-AC94-4740-9200-D55A004B106D}" name="Answer" dataDxfId="882"/>
    <tableColumn id="6" xr3:uid="{AA9D7711-6413-4976-9790-8670E7303F8D}" name="Measurement" dataDxfId="8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9D482E-FEA9-41E8-9F2C-6ABCE9DD4F06}" name="Spice" displayName="Spice" ref="A1:H29" totalsRowCount="1" headerRowDxfId="880" dataDxfId="879" totalsRowDxfId="878">
  <autoFilter ref="A1:H28" xr:uid="{159D482E-FEA9-41E8-9F2C-6ABCE9DD4F06}"/>
  <sortState xmlns:xlrd2="http://schemas.microsoft.com/office/spreadsheetml/2017/richdata2" ref="A2:H28">
    <sortCondition ref="A1:A28"/>
  </sortState>
  <tableColumns count="8">
    <tableColumn id="1" xr3:uid="{11B56F52-E556-46E2-B105-03E2684F9BB4}" name="Spice" totalsRowLabel="Total" dataDxfId="877" totalsRowDxfId="876"/>
    <tableColumn id="2" xr3:uid="{8651E77E-C6AE-4F8B-AED7-B20872F1CCAF}" name="Calories" totalsRowFunction="sum" dataDxfId="875" totalsRowDxfId="874"/>
    <tableColumn id="3" xr3:uid="{F6F849BE-FAEA-41A5-9292-CC3F51D701AB}" name="Carbs" totalsRowFunction="sum" dataDxfId="873" totalsRowDxfId="872"/>
    <tableColumn id="4" xr3:uid="{BD712F96-DE1A-457E-8CB3-AB339E46E9A6}" name="Fat" totalsRowFunction="sum" dataDxfId="871" totalsRowDxfId="870"/>
    <tableColumn id="5" xr3:uid="{EDAA5814-CEA8-41E9-8E8B-ED60438889BF}" name="Protein" totalsRowFunction="sum" dataDxfId="869" totalsRowDxfId="868"/>
    <tableColumn id="6" xr3:uid="{46D85E10-3BE3-4907-A0E2-DBEAAF660EF8}" name="Fiber" totalsRowFunction="sum" dataDxfId="867" totalsRowDxfId="866"/>
    <tableColumn id="7" xr3:uid="{E6A97323-AC31-4BA0-9395-362FA11CF0DD}" name="Sugar" totalsRowFunction="sum" dataDxfId="865" totalsRowDxfId="864">
      <calculatedColumnFormula>0*$H2</calculatedColumnFormula>
    </tableColumn>
    <tableColumn id="8" xr3:uid="{0B7AE329-3D5E-4342-88D3-160FBD68DD1B}" name="Serving by TSP" totalsRowFunction="sum" dataDxfId="863" totalsRowDxfId="86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6DC40B4-8009-4606-AA69-415516623F60}" name="Index" displayName="Index" ref="A1:M415" totalsRowCount="1" headerRowDxfId="861" dataDxfId="860">
  <autoFilter ref="A1:M414" xr:uid="{46DC40B4-8009-4606-AA69-415516623F60}"/>
  <tableColumns count="13">
    <tableColumn id="1" xr3:uid="{BE0C82CC-C324-43FF-910E-2856F879D146}" name="Item" totalsRowLabel="Total" dataDxfId="859" totalsRowDxfId="858"/>
    <tableColumn id="2" xr3:uid="{8B9823A9-4F22-4BDA-A394-59B43BBD5357}" name="Calories" totalsRowFunction="sum" dataDxfId="857" totalsRowDxfId="856"/>
    <tableColumn id="3" xr3:uid="{A6AB6325-7EFD-42DF-A5D4-E2B11D29FF4A}" name="Carbs" totalsRowFunction="sum" dataDxfId="855" totalsRowDxfId="854"/>
    <tableColumn id="4" xr3:uid="{8045FB99-5D04-4EAB-BFFA-BDE18678BDE8}" name="Fat " totalsRowFunction="sum" dataDxfId="853" totalsRowDxfId="852"/>
    <tableColumn id="5" xr3:uid="{6706A01B-DD4B-46DE-8B25-1249EA132B51}" name="Protein" totalsRowFunction="sum" dataDxfId="851" totalsRowDxfId="850"/>
    <tableColumn id="6" xr3:uid="{B42613B1-3B8C-4A8D-BD27-A62545A1AA9E}" name="Fiber" totalsRowFunction="sum" dataDxfId="849" totalsRowDxfId="848"/>
    <tableColumn id="7" xr3:uid="{5E2A1FD4-D4A3-4A9E-BAA4-FDEA2D55E97C}" name="Sugar" totalsRowFunction="sum" dataDxfId="847" totalsRowDxfId="846"/>
    <tableColumn id="8" xr3:uid="{618D1651-796C-43AB-89C1-FD6DC371DE1E}" name="Servings" totalsRowFunction="custom" dataDxfId="845" totalsRowDxfId="844">
      <totalsRowFormula>SUBTOTAL(109,Index[Carbs])</totalsRowFormula>
    </tableColumn>
    <tableColumn id="9" xr3:uid="{73D4CB46-7597-4836-9717-E8CAE646E064}" name="Measurement" dataDxfId="843" totalsRowDxfId="842">
      <calculatedColumnFormula>_xlfn.CONCAT("1 of ", Mexican!#REF!)</calculatedColumnFormula>
    </tableColumn>
    <tableColumn id="10" xr3:uid="{A6CEF4EE-E5EE-4D7C-BB09-CFC5DABC8DFE}" name="Cat" dataDxfId="841" totalsRowDxfId="840"/>
    <tableColumn id="13" xr3:uid="{681B7EDD-BEC4-4E70-A71E-F455E214AD5B}" name="Fat Removed" totalsRowFunction="sum" dataDxfId="839" totalsRowDxfId="838"/>
    <tableColumn id="12" xr3:uid="{C72D7DCC-5F4D-4B44-851C-F0EF29F923F3}" name="Calorie Prediction" totalsRowFunction="sum" dataDxfId="837" totalsRowDxfId="836"/>
    <tableColumn id="14" xr3:uid="{83E5F06E-E503-46FB-BF57-0B0481ED0177}" name="Fat Calories" totalsRowFunction="sum" dataDxfId="835" totalsRowDxfId="834">
      <calculatedColumnFormula>Index[[#This Row],[Fat ]]*9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7E9359-F284-45F7-A62F-8095444DCBE9}" name="Table5" displayName="Table5" ref="H417:I432" totalsRowShown="0">
  <autoFilter ref="H417:I432" xr:uid="{437E9359-F284-45F7-A62F-8095444DCBE9}"/>
  <tableColumns count="2">
    <tableColumn id="1" xr3:uid="{E5E75588-A421-406B-A72D-97723E221571}" name="Cat Num" dataDxfId="833"/>
    <tableColumn id="2" xr3:uid="{23763DD5-FE61-4797-9F51-46C6C525A7EB}" name="Category" dataDxfId="83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96AADA-B1B1-409D-B660-0D47DCF42802}" name="Table19" displayName="Table19" ref="A418:B425" totalsRowShown="0">
  <autoFilter ref="A418:B425" xr:uid="{2496AADA-B1B1-409D-B660-0D47DCF42802}"/>
  <tableColumns count="2">
    <tableColumn id="1" xr3:uid="{B6CDB562-0749-45EB-BFAF-E713B01DF6FB}" name="Description" dataDxfId="831"/>
    <tableColumn id="2" xr3:uid="{53DD1A16-824A-4CAF-990C-53455BCBD0A4}" name="Statistic" dataDxfId="83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C3EFB1-9A6A-498E-9A59-9769F7682A11}" name="Log" displayName="Log" ref="A1:N248" totalsRowCount="1" headerRowDxfId="829" dataDxfId="828">
  <autoFilter ref="A1:N247" xr:uid="{46DC40B4-8009-4606-AA69-415516623F60}"/>
  <tableColumns count="14">
    <tableColumn id="1" xr3:uid="{199B3558-8FE7-4B4A-A4B6-1F2339BEE4CF}" name="Item" totalsRowLabel="Total" dataDxfId="827" totalsRowDxfId="826"/>
    <tableColumn id="2" xr3:uid="{C2E7A373-7CE1-4779-BAC2-F6FF2F670204}" name="Calories" totalsRowFunction="sum" totalsRowDxfId="825"/>
    <tableColumn id="3" xr3:uid="{02C12744-A697-4162-9F91-2BA7AD49D39D}" name="Carbs" totalsRowFunction="sum" dataDxfId="824" totalsRowDxfId="823"/>
    <tableColumn id="4" xr3:uid="{83C31186-944E-401E-9000-33853776F663}" name="Fat" totalsRowFunction="sum" dataDxfId="822" totalsRowDxfId="821"/>
    <tableColumn id="5" xr3:uid="{47A2C864-EA59-4B55-B968-A82952629ECB}" name="Protein" totalsRowFunction="sum" dataDxfId="820" totalsRowDxfId="819"/>
    <tableColumn id="6" xr3:uid="{816B4A33-084E-4155-A879-8DC298F973A4}" name="Fiber" totalsRowFunction="sum" dataDxfId="818" totalsRowDxfId="817"/>
    <tableColumn id="7" xr3:uid="{8F59A74A-680B-4A8F-BA5B-C9C27526950B}" name="Sugar" totalsRowFunction="sum" dataDxfId="816" totalsRowDxfId="815"/>
    <tableColumn id="8" xr3:uid="{03C185B7-8682-4952-BB7D-410C11FAF381}" name="Servings" totalsRowFunction="sum" dataDxfId="814" totalsRowDxfId="813"/>
    <tableColumn id="9" xr3:uid="{B9B854F1-17B4-4C19-8496-96517D971737}" name="Measurement" dataDxfId="812" totalsRowDxfId="811"/>
    <tableColumn id="10" xr3:uid="{4E1C9519-577B-4AD9-87B7-3DC12ADBA6B0}" name="Cat" dataDxfId="810" totalsRowDxfId="809"/>
    <tableColumn id="13" xr3:uid="{1C552CC3-A64C-432C-ABC1-8C4DCE150E51}" name="Fat Removed" totalsRowFunction="custom" dataDxfId="808" totalsRowDxfId="807">
      <totalsRowFormula>SUBTOTAL(109,K2:K247)</totalsRowFormula>
    </tableColumn>
    <tableColumn id="12" xr3:uid="{DD956C8F-30FD-456B-A030-29C16049C38A}" name="Calorie Prediction" totalsRowFunction="sum" dataDxfId="806" totalsRowDxfId="805"/>
    <tableColumn id="14" xr3:uid="{470745E9-9A0F-4F1C-AF9B-1AA12CFBCB76}" name="Fat Calories" totalsRowFunction="sum" dataDxfId="804" totalsRowDxfId="803"/>
    <tableColumn id="11" xr3:uid="{31A2F09F-0496-4D09-929F-95AF64F6A497}" name="Test" dataDxfId="802" totalsRowDxfId="801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FD09BC-7650-4257-AFEF-CCE0480C0693}" name="Table2" displayName="Table2" ref="H250:I264" totalsRowShown="0">
  <autoFilter ref="H250:I264" xr:uid="{FFFD09BC-7650-4257-AFEF-CCE0480C0693}"/>
  <tableColumns count="2">
    <tableColumn id="1" xr3:uid="{B2706482-1C17-4ADF-8BD9-8ACB3286D1B8}" name="Cat Num" dataDxfId="800"/>
    <tableColumn id="2" xr3:uid="{20C24706-D617-4B4F-BAC8-942535D7AEFF}" name="Category" dataDxfId="799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6035D4-3152-4CED-BF90-3B1D0027E0F3}" name="Table9" displayName="Table9" ref="A251:B258" totalsRowShown="0">
  <autoFilter ref="A251:B258" xr:uid="{DD6035D4-3152-4CED-BF90-3B1D0027E0F3}"/>
  <tableColumns count="2">
    <tableColumn id="1" xr3:uid="{4AFB2770-196A-43AE-8481-CE4ACCD27202}" name="Description" dataDxfId="798"/>
    <tableColumn id="2" xr3:uid="{C1A5268C-99DB-4E5F-B4F9-161830DD2065}" name="Statistic" dataDxfId="797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5CBA4C-0653-44FF-AA04-4305B144AE03}" name="BeefMexican" displayName="BeefMexican" ref="A1:J23" totalsRowCount="1" headerRowDxfId="796" dataDxfId="795">
  <autoFilter ref="A1:J22" xr:uid="{5963F616-E07C-41B6-958D-E733D7D518DE}"/>
  <tableColumns count="10">
    <tableColumn id="1" xr3:uid="{8E833609-FC5B-470D-AA32-5EEE35B27C41}" name="Item" totalsRowLabel="Average" dataDxfId="794" totalsRowDxfId="793"/>
    <tableColumn id="2" xr3:uid="{FAC1469A-A47D-4721-A211-9AE4DF7CAA3B}" name="Calories" totalsRowFunction="custom" dataDxfId="792" totalsRowDxfId="791">
      <totalsRowFormula>SUBTOTAL(109,BeefMexican[Calories])/$I$23</totalsRowFormula>
    </tableColumn>
    <tableColumn id="3" xr3:uid="{7440F834-1E15-4576-9F1A-FD68E4FA4A48}" name="Carbs" totalsRowFunction="custom" dataDxfId="790" totalsRowDxfId="789">
      <totalsRowFormula>SUBTOTAL(109,BeefMexican[Carbs])/$I$23</totalsRowFormula>
    </tableColumn>
    <tableColumn id="4" xr3:uid="{928EBD4D-CE93-4E40-8EBF-3F9140DB6322}" name="Fat " totalsRowFunction="custom" dataDxfId="788" totalsRowDxfId="787">
      <totalsRowFormula>SUBTOTAL(109,BeefMexican[[Fat ]])/$I$23</totalsRowFormula>
    </tableColumn>
    <tableColumn id="5" xr3:uid="{D5C5D37F-9BD9-4AF9-81A5-EDB4849CC702}" name="Protein" totalsRowFunction="custom" dataDxfId="786" totalsRowDxfId="785">
      <totalsRowFormula>SUBTOTAL(109,BeefMexican[Protein])/$I$23</totalsRowFormula>
    </tableColumn>
    <tableColumn id="6" xr3:uid="{54F5BF7A-58E2-4AAB-ACF5-6EE61E6B3586}" name="Fiber" totalsRowFunction="custom" dataDxfId="784" totalsRowDxfId="783">
      <totalsRowFormula>SUBTOTAL(109,BeefMexican[Fiber])/$I$23</totalsRowFormula>
    </tableColumn>
    <tableColumn id="7" xr3:uid="{616E4503-3BD0-466F-A296-752150B114BA}" name="Sugar" totalsRowFunction="custom" dataDxfId="782" totalsRowDxfId="781">
      <totalsRowFormula>SUBTOTAL(109,BeefMexican[Sugar])/$I$23</totalsRowFormula>
    </tableColumn>
    <tableColumn id="8" xr3:uid="{668DEF59-22C7-4108-B4D3-56FBEB9CA250}" name="Servings" totalsRowFunction="custom" dataDxfId="780" totalsRowDxfId="779">
      <totalsRowFormula>SUBTOTAL(109,BeefMexican[Servings])/$I$23</totalsRowFormula>
    </tableColumn>
    <tableColumn id="9" xr3:uid="{FA337B8D-40A3-47BE-ABA8-F37DDCD6988A}" name="Measurement" totalsRowLabel="4" dataDxfId="778" totalsRowDxfId="777"/>
    <tableColumn id="10" xr3:uid="{0BB9B536-4B98-4205-AC9A-FAFB7D069F4B}" name="Test" dataDxfId="776" totalsRowDxfId="775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F6106F-1023-4076-8565-08039146C291}" name="MexicanSpice" displayName="MexicanSpice" ref="A63:H88" totalsRowCount="1" headerRowDxfId="774" totalsRowDxfId="772" headerRowBorderDxfId="773" totalsRowBorderDxfId="771">
  <autoFilter ref="A63:H87" xr:uid="{D7F6106F-1023-4076-8565-08039146C291}"/>
  <tableColumns count="8">
    <tableColumn id="1" xr3:uid="{DBE36E73-D1D6-40D9-AF71-CF9999592D49}" name="Spice" totalsRowLabel="Total" totalsRowDxfId="770"/>
    <tableColumn id="2" xr3:uid="{4535B82B-5D6D-4B83-BC40-7D40375479D6}" name="Calories" totalsRowFunction="sum" totalsRowDxfId="769"/>
    <tableColumn id="3" xr3:uid="{DB61B6B7-B740-4644-9091-CC3FADE244F5}" name="Carbs" totalsRowFunction="sum" totalsRowDxfId="768"/>
    <tableColumn id="4" xr3:uid="{DCA097EA-939A-494D-89A5-561C8D514BBC}" name="Fat" totalsRowFunction="sum" totalsRowDxfId="767"/>
    <tableColumn id="5" xr3:uid="{1D7F5B6C-2384-4B93-B9D1-5399B00145AA}" name="Protein" totalsRowFunction="sum" totalsRowDxfId="766"/>
    <tableColumn id="6" xr3:uid="{CAC8D8B9-3CC9-4B09-861A-14C515C731C0}" name="Fiber" totalsRowFunction="sum" totalsRowDxfId="765"/>
    <tableColumn id="7" xr3:uid="{EAD2EAE3-D4F9-4CEE-AE93-455CD1953AE1}" name="Sugar" totalsRowFunction="sum" totalsRowDxfId="764">
      <calculatedColumnFormula>0*$H64</calculatedColumnFormula>
    </tableColumn>
    <tableColumn id="8" xr3:uid="{902EDF03-F66F-492C-AB43-1B0D54D6F800}" name="Serving by TSP" totalsRowFunction="sum" totalsRowDxfId="76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303636F-6800-42BB-90F8-4D241067BA1B}" name="ChickenMexican" displayName="ChickenMexican" ref="A25:J60" totalsRowCount="1" headerRowDxfId="762" dataDxfId="761">
  <autoFilter ref="A25:J59" xr:uid="{5303636F-6800-42BB-90F8-4D241067BA1B}"/>
  <tableColumns count="10">
    <tableColumn id="1" xr3:uid="{457A1B11-2586-4C84-8F0E-D5CCEFA606AB}" name="Item" totalsRowLabel="Total" dataDxfId="760" totalsRowDxfId="759"/>
    <tableColumn id="2" xr3:uid="{A016A6ED-412F-4913-9230-CB7BEB8045DB}" name="Calories" totalsRowFunction="custom" dataDxfId="758" totalsRowDxfId="757">
      <totalsRowFormula>SUBTOTAL(109,ChickenMexican[Calories])/ChickenMexican[[#Totals],[Measurement]]</totalsRowFormula>
    </tableColumn>
    <tableColumn id="3" xr3:uid="{C1259AA5-4400-4F00-8C22-6455FE7A8E5C}" name="Carbs" totalsRowFunction="custom" dataDxfId="756" totalsRowDxfId="755">
      <totalsRowFormula>SUBTOTAL(109,ChickenMexican[Carbs])/ChickenMexican[[#Totals],[Measurement]]</totalsRowFormula>
    </tableColumn>
    <tableColumn id="4" xr3:uid="{3907B552-5E0D-41A3-A9ED-42FEF664BD22}" name="Fat " totalsRowFunction="custom" dataDxfId="754" totalsRowDxfId="753">
      <totalsRowFormula>SUBTOTAL(109,ChickenMexican[[Fat ]])/ChickenMexican[[#Totals],[Measurement]]</totalsRowFormula>
    </tableColumn>
    <tableColumn id="5" xr3:uid="{271DE27A-5B0B-4D1C-99F3-F0230119F88F}" name="Protein" totalsRowFunction="custom" dataDxfId="752" totalsRowDxfId="751">
      <totalsRowFormula>SUBTOTAL(109,ChickenMexican[Protein])/ChickenMexican[[#Totals],[Measurement]]</totalsRowFormula>
    </tableColumn>
    <tableColumn id="6" xr3:uid="{06223B6E-4927-432B-91FF-9D341FFDA573}" name="Fiber" totalsRowFunction="custom" dataDxfId="750" totalsRowDxfId="749">
      <totalsRowFormula>SUBTOTAL(109,ChickenMexican[Fiber])/ChickenMexican[[#Totals],[Measurement]]</totalsRowFormula>
    </tableColumn>
    <tableColumn id="7" xr3:uid="{1468B798-C9AC-4F30-BC04-3904176ECA7B}" name="Sugar" totalsRowFunction="custom" dataDxfId="748" totalsRowDxfId="747">
      <totalsRowFormula>SUBTOTAL(109,ChickenMexican[Sugar])/ChickenMexican[[#Totals],[Measurement]]</totalsRowFormula>
    </tableColumn>
    <tableColumn id="8" xr3:uid="{D2B0F003-4D5C-429D-9DB6-08ADC9DCE71B}" name="Servings" totalsRowFunction="custom" dataDxfId="746" totalsRowDxfId="745">
      <totalsRowFormula>SUBTOTAL(109,ChickenMexican[Servings])/ChickenMexican[[#Totals],[Measurement]]</totalsRowFormula>
    </tableColumn>
    <tableColumn id="9" xr3:uid="{14B929A7-C555-4303-80A5-C15E8AF772AD}" name="Measurement" totalsRowLabel="6" dataDxfId="744" totalsRowDxfId="743"/>
    <tableColumn id="10" xr3:uid="{301F1C50-C934-410F-A86E-CB56D048CFA9}" name="Test" dataDxfId="742" totalsRowDxfId="741">
      <calculatedColumnFormula>NOT(ISERROR(MATCH(A26,Index[Item],0)))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6DD454B-30AC-435E-B822-665594B36033}" name="Sauce" displayName="Sauce" ref="A1:J34" totalsRowCount="1" headerRowDxfId="740" dataDxfId="739" totalsRowDxfId="738">
  <autoFilter ref="A1:J33" xr:uid="{AFB601E8-8BB7-4641-BD58-48304727C705}"/>
  <tableColumns count="10">
    <tableColumn id="1" xr3:uid="{B358ACD0-1755-449B-B094-386907F9A9C0}" name="Item" totalsRowLabel="Average" dataDxfId="737" totalsRowDxfId="736"/>
    <tableColumn id="2" xr3:uid="{D9301448-23D2-4074-B172-9BF669DC4F1D}" name="Calories" totalsRowFunction="custom" dataDxfId="735" totalsRowDxfId="734">
      <totalsRowFormula>SUBTOTAL(109,Sauce[Calories])/Sauce[[#Totals],[Measurement]]</totalsRowFormula>
    </tableColumn>
    <tableColumn id="3" xr3:uid="{1C13B58A-FF91-4D46-85EC-45E59E710359}" name="Carbs" totalsRowFunction="custom" dataDxfId="733" totalsRowDxfId="732">
      <totalsRowFormula>SUBTOTAL(109,Sauce[Carbs])/Sauce[[#Totals],[Measurement]]</totalsRowFormula>
    </tableColumn>
    <tableColumn id="4" xr3:uid="{607C8F0E-3C96-44B5-B464-6C68C46C39FD}" name="Fat " totalsRowFunction="custom" dataDxfId="731" totalsRowDxfId="730">
      <totalsRowFormula>SUBTOTAL(109,Sauce[[Fat ]])/Sauce[[#Totals],[Measurement]]</totalsRowFormula>
    </tableColumn>
    <tableColumn id="5" xr3:uid="{8EBC6606-57F4-4DA6-AB0F-921D28CDE786}" name="Protein" totalsRowFunction="custom" dataDxfId="729" totalsRowDxfId="728">
      <totalsRowFormula>SUBTOTAL(109,Sauce[Protein])/Sauce[[#Totals],[Measurement]]</totalsRowFormula>
    </tableColumn>
    <tableColumn id="6" xr3:uid="{57295222-A067-4E71-8153-1124B41B68D8}" name="Fiber" totalsRowFunction="custom" dataDxfId="727" totalsRowDxfId="726">
      <totalsRowFormula>SUBTOTAL(109,Sauce[Fiber])/Sauce[[#Totals],[Measurement]]</totalsRowFormula>
    </tableColumn>
    <tableColumn id="7" xr3:uid="{91FF9129-5279-4686-8D70-849A711F2FDA}" name="Sugar" totalsRowFunction="custom" dataDxfId="725" totalsRowDxfId="724">
      <totalsRowFormula>SUBTOTAL(109,Sauce[Sugar])/Sauce[[#Totals],[Measurement]]</totalsRowFormula>
    </tableColumn>
    <tableColumn id="8" xr3:uid="{527120C8-9157-47A8-B80A-93062DF41E6C}" name="Servings" totalsRowFunction="custom" dataDxfId="723" totalsRowDxfId="722">
      <totalsRowFormula>SUBTOTAL(109,Sauce[Servings])/Sauce[[#Totals],[Measurement]]</totalsRowFormula>
    </tableColumn>
    <tableColumn id="9" xr3:uid="{1D104AFA-9571-466C-A55D-2F9D0046FF33}" name="Measurement" totalsRowLabel="1" dataDxfId="721" totalsRowDxfId="720"/>
    <tableColumn id="10" xr3:uid="{1D1498DF-18DB-4548-8DB2-292966C0A802}" name="Test" dataDxfId="719" totalsRowDxfId="718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7FF4CA9-B360-49DF-B5D4-BA9B8276E182}" name="PizzaSpice30" displayName="PizzaSpice30" ref="A36:H64" totalsRowCount="1" headerRowDxfId="717" dataDxfId="715" totalsRowDxfId="713" headerRowBorderDxfId="716" tableBorderDxfId="714" totalsRowBorderDxfId="712">
  <autoFilter ref="A36:H63" xr:uid="{0AF2D953-F7F4-44C8-9D35-18C190BCADAD}"/>
  <tableColumns count="8">
    <tableColumn id="1" xr3:uid="{E8E57C44-6077-417E-B4AE-2F02AE6FD231}" name="Spice" totalsRowLabel="Total" dataDxfId="711" totalsRowDxfId="710"/>
    <tableColumn id="2" xr3:uid="{5CB8F286-EA62-46D7-833C-7FE49C2DC280}" name="Calories" totalsRowFunction="sum" dataDxfId="709" totalsRowDxfId="708"/>
    <tableColumn id="3" xr3:uid="{0B31069D-DADC-4C7A-BA92-E4D82A7D7535}" name="Carbs" totalsRowFunction="sum" dataDxfId="707" totalsRowDxfId="706"/>
    <tableColumn id="4" xr3:uid="{E6A8239D-0D69-4172-A713-33D541AB18DE}" name="Fat" totalsRowFunction="sum" dataDxfId="705" totalsRowDxfId="704"/>
    <tableColumn id="5" xr3:uid="{F2A38829-5C2A-47AD-AB0B-0355E6A6940E}" name="Protein" totalsRowFunction="sum" dataDxfId="703" totalsRowDxfId="702"/>
    <tableColumn id="6" xr3:uid="{302DB1F7-65A9-407F-8EFF-D10E9ACA05FC}" name="Fiber" totalsRowFunction="sum" dataDxfId="701" totalsRowDxfId="700"/>
    <tableColumn id="7" xr3:uid="{E6405328-2679-4368-85F5-032767341C43}" name="Sugar" totalsRowFunction="sum" dataDxfId="699" totalsRowDxfId="698"/>
    <tableColumn id="8" xr3:uid="{29FC8733-11D7-4F93-9D73-C780F708316D}" name="Serving by TSP" totalsRowFunction="sum" dataDxfId="697" totalsRowDxfId="69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3FBA8D3-D914-45AB-A33F-5BB81DDCCCBF}" name="MexicanSpice494623" displayName="MexicanSpice494623" ref="A43:H69" totalsRowCount="1" headerRowDxfId="695" totalsRowDxfId="693" headerRowBorderDxfId="694" totalsRowBorderDxfId="692">
  <autoFilter ref="A43:H68" xr:uid="{D7F6106F-1023-4076-8565-08039146C291}"/>
  <tableColumns count="8">
    <tableColumn id="1" xr3:uid="{9C736C90-7E37-4C29-BEDB-DD4FA32E2941}" name="Spice" totalsRowLabel="Total" totalsRowDxfId="691"/>
    <tableColumn id="2" xr3:uid="{835DBD87-120B-4E19-8AFC-700B96EBA82D}" name="Calories" totalsRowFunction="sum" totalsRowDxfId="690"/>
    <tableColumn id="3" xr3:uid="{5D10C607-C329-470E-8AB1-CF4DA7A987DE}" name="Carbs" totalsRowFunction="sum" totalsRowDxfId="689"/>
    <tableColumn id="4" xr3:uid="{FBBC6FE1-85A5-41C4-98D8-75786F4375AB}" name="Fat" totalsRowFunction="sum" totalsRowDxfId="688"/>
    <tableColumn id="5" xr3:uid="{11CBE54B-3F66-4333-975D-7957D681F293}" name="Protein" totalsRowFunction="sum" totalsRowDxfId="687"/>
    <tableColumn id="6" xr3:uid="{3DCD59DC-51D5-4705-BDE9-ABA12AF3D505}" name="Fiber" totalsRowFunction="sum" totalsRowDxfId="686"/>
    <tableColumn id="7" xr3:uid="{50D6380F-7E13-4F43-B6CC-CF28F15D6F09}" name="Sugar" totalsRowFunction="sum" totalsRowDxfId="685">
      <calculatedColumnFormula>0*$H44</calculatedColumnFormula>
    </tableColumn>
    <tableColumn id="8" xr3:uid="{19CA809F-AC93-485E-A602-F2A3B2900C32}" name="Serving by TSP" totalsRowFunction="sum" totalsRowDxfId="6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F53252F-9463-4293-BD09-06EED4DDCA01}" name="Pasta" displayName="Pasta" ref="A1:J40" totalsRowCount="1" headerRowDxfId="683" dataDxfId="682">
  <autoFilter ref="A1:J39" xr:uid="{5303636F-6800-42BB-90F8-4D241067BA1B}"/>
  <tableColumns count="10">
    <tableColumn id="1" xr3:uid="{1EDF61DB-1B01-40EF-9BF6-0E1FF1E32EDB}" name="Item" totalsRowLabel="Total" dataDxfId="681" totalsRowDxfId="680"/>
    <tableColumn id="2" xr3:uid="{BDFA8FC2-7064-49FB-AB64-BE4A9B7F3BED}" name="Calories" totalsRowFunction="custom" dataDxfId="679" totalsRowDxfId="678">
      <totalsRowFormula>SUBTOTAL(109,Pasta[Calories])/Pasta[[#Totals],[Measurement]]</totalsRowFormula>
    </tableColumn>
    <tableColumn id="3" xr3:uid="{8CB16B76-4600-401E-99EF-DB0891713999}" name="Carbs" totalsRowFunction="custom" dataDxfId="677" totalsRowDxfId="676">
      <totalsRowFormula>SUBTOTAL(109,Pasta[Carbs])/Pasta[[#Totals],[Measurement]]</totalsRowFormula>
    </tableColumn>
    <tableColumn id="4" xr3:uid="{8435F38E-3FEE-4193-8966-E2E24B5D85A3}" name="Fat " totalsRowFunction="custom" dataDxfId="675" totalsRowDxfId="674">
      <totalsRowFormula>SUBTOTAL(109,Pasta[[Fat ]])/Pasta[[#Totals],[Measurement]]</totalsRowFormula>
    </tableColumn>
    <tableColumn id="5" xr3:uid="{ECDD5B91-873C-44C5-9FE4-EACFFB8C0E55}" name="Protein" totalsRowFunction="custom" dataDxfId="673" totalsRowDxfId="672">
      <totalsRowFormula>SUBTOTAL(109,Pasta[Protein])/Pasta[[#Totals],[Measurement]]</totalsRowFormula>
    </tableColumn>
    <tableColumn id="6" xr3:uid="{5ECD5729-96DF-40AD-8909-D9CE384E1BE0}" name="Fiber" totalsRowFunction="custom" dataDxfId="671" totalsRowDxfId="670">
      <totalsRowFormula>SUBTOTAL(109,Pasta[Fiber])/Pasta[[#Totals],[Measurement]]</totalsRowFormula>
    </tableColumn>
    <tableColumn id="7" xr3:uid="{BF3C4263-82E3-4612-8ECB-2A7389821945}" name="Sugar" totalsRowFunction="custom" dataDxfId="669" totalsRowDxfId="668">
      <totalsRowFormula>SUBTOTAL(109,Pasta[Sugar])/Pasta[[#Totals],[Measurement]]</totalsRowFormula>
    </tableColumn>
    <tableColumn id="8" xr3:uid="{7F9720B1-CE9A-4DE5-A705-DB95786C8823}" name="Servings" totalsRowFunction="custom" dataDxfId="667" totalsRowDxfId="666">
      <totalsRowFormula>SUBTOTAL(109,Pasta[Servings])/Pasta[[#Totals],[Measurement]]</totalsRowFormula>
    </tableColumn>
    <tableColumn id="9" xr3:uid="{C39571EA-2964-4E2D-8548-A73450FCA515}" name="Measurement" totalsRowLabel="8" dataDxfId="665" totalsRowDxfId="664"/>
    <tableColumn id="10" xr3:uid="{AE12A4BD-8D8C-44AB-BE1E-C9B1AB1D7377}" name="Test" dataDxfId="663" totalsRowDxfId="66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DBB39CE-747A-47F4-9C55-B8DC527725D9}" name="Pizza" displayName="Pizza" ref="A1:J55" totalsRowCount="1" headerRowDxfId="661" dataDxfId="660" totalsRowDxfId="659">
  <autoFilter ref="A1:J54" xr:uid="{AFB601E8-8BB7-4641-BD58-48304727C705}"/>
  <tableColumns count="10">
    <tableColumn id="1" xr3:uid="{DF5E2A27-365D-4FD5-9E69-0D57933BE2BF}" name="Item" totalsRowLabel="Average" dataDxfId="658" totalsRowDxfId="657"/>
    <tableColumn id="2" xr3:uid="{08EA8A22-D909-4875-842D-8519235708A5}" name="Calories" totalsRowFunction="custom" dataDxfId="656" totalsRowDxfId="655">
      <totalsRowFormula>SUBTOTAL(109,Pizza[Calories])/Pizza[[#Totals],[Measurement]]</totalsRowFormula>
    </tableColumn>
    <tableColumn id="3" xr3:uid="{686A5610-9818-4E3D-89E8-55CA7716B7CD}" name="Carbs" totalsRowFunction="custom" dataDxfId="654" totalsRowDxfId="653">
      <totalsRowFormula>SUBTOTAL(109,Pizza[Carbs])/Pizza[[#Totals],[Measurement]]</totalsRowFormula>
    </tableColumn>
    <tableColumn id="4" xr3:uid="{4C943A8F-8A9E-4E28-BC95-2FA0BF2E681E}" name="Fat " totalsRowFunction="custom" dataDxfId="652" totalsRowDxfId="651">
      <totalsRowFormula>SUBTOTAL(109,Pizza[[Fat ]])/Pizza[[#Totals],[Measurement]]</totalsRowFormula>
    </tableColumn>
    <tableColumn id="5" xr3:uid="{DB2D9D65-F7A0-428A-92FB-B6253C36C951}" name="Protein" totalsRowFunction="custom" dataDxfId="650" totalsRowDxfId="649">
      <totalsRowFormula>SUBTOTAL(109,Pizza[Protein])/Pizza[[#Totals],[Measurement]]</totalsRowFormula>
    </tableColumn>
    <tableColumn id="6" xr3:uid="{F5BDBF9C-86EB-494E-A35D-72B8EF41F257}" name="Fiber" totalsRowFunction="custom" dataDxfId="648" totalsRowDxfId="647">
      <totalsRowFormula>SUBTOTAL(109,Pizza[Fiber])/Pizza[[#Totals],[Measurement]]</totalsRowFormula>
    </tableColumn>
    <tableColumn id="7" xr3:uid="{110B40DA-3507-47D1-9806-6607F2008C7C}" name="Sugar" totalsRowFunction="custom" dataDxfId="646" totalsRowDxfId="645">
      <totalsRowFormula>SUBTOTAL(109,Pizza[Sugar])/Pizza[[#Totals],[Measurement]]</totalsRowFormula>
    </tableColumn>
    <tableColumn id="8" xr3:uid="{0D79B8DF-54FA-4CDE-93A9-0BBBA67C8A98}" name="Servings" totalsRowFunction="custom" dataDxfId="644" totalsRowDxfId="643">
      <totalsRowFormula>SUBTOTAL(109,Pizza[Servings])/Pizza[[#Totals],[Measurement]]</totalsRowFormula>
    </tableColumn>
    <tableColumn id="9" xr3:uid="{FF176366-C387-4DEF-97F3-9398AE734027}" name="Measurement" totalsRowLabel="4" dataDxfId="642" totalsRowDxfId="641"/>
    <tableColumn id="10" xr3:uid="{E272A0B1-AB84-4C3E-86F9-D4373482F4C4}" name="Test" dataDxfId="640" totalsRowDxfId="639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AF2D953-F7F4-44C8-9D35-18C190BCADAD}" name="PizzaSpice" displayName="PizzaSpice" ref="A57:H85" totalsRowCount="1" headerRowDxfId="638" dataDxfId="636" totalsRowDxfId="634" headerRowBorderDxfId="637" tableBorderDxfId="635" totalsRowBorderDxfId="633">
  <autoFilter ref="A57:H84" xr:uid="{0AF2D953-F7F4-44C8-9D35-18C190BCADAD}"/>
  <tableColumns count="8">
    <tableColumn id="1" xr3:uid="{53775979-1C66-4842-BCA6-9AC22E461E72}" name="Spice" totalsRowLabel="Total" dataDxfId="632" totalsRowDxfId="631"/>
    <tableColumn id="2" xr3:uid="{AF843E43-A41F-4CD5-AC53-9C650CF67FC7}" name="Calories" totalsRowFunction="sum" dataDxfId="630" totalsRowDxfId="629"/>
    <tableColumn id="3" xr3:uid="{02E8B58E-9261-4EF5-B004-501F907D218B}" name="Carbs" totalsRowFunction="sum" dataDxfId="628" totalsRowDxfId="627"/>
    <tableColumn id="4" xr3:uid="{72AD9B89-6AF7-4F95-8B16-87A0FAA5C35F}" name="Fat" totalsRowFunction="sum" dataDxfId="626" totalsRowDxfId="625"/>
    <tableColumn id="5" xr3:uid="{22635291-2EAF-4530-83DB-D14C496C7B65}" name="Protein" totalsRowFunction="sum" dataDxfId="624" totalsRowDxfId="623"/>
    <tableColumn id="6" xr3:uid="{F84F4F81-3F2A-4EE4-AA6E-A9F0F7126686}" name="Fiber" totalsRowFunction="sum" dataDxfId="622" totalsRowDxfId="621"/>
    <tableColumn id="7" xr3:uid="{EAF4CA47-1B78-42D4-8704-883C67F35246}" name="Sugar" totalsRowFunction="sum" dataDxfId="620" totalsRowDxfId="619"/>
    <tableColumn id="8" xr3:uid="{7FA7495E-856D-4DA6-A1CA-64D84FAB451D}" name="Serving by TSP" totalsRowFunction="sum" dataDxfId="618" totalsRowDxfId="6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BCC66A3-0454-40A6-A82F-72D06A7CBE55}" name="MexicanSpice4946" displayName="MexicanSpice4946" ref="A39:H65" totalsRowCount="1" headerRowDxfId="616" totalsRowDxfId="614" headerRowBorderDxfId="615" totalsRowBorderDxfId="613">
  <autoFilter ref="A39:H64" xr:uid="{D7F6106F-1023-4076-8565-08039146C291}"/>
  <tableColumns count="8">
    <tableColumn id="1" xr3:uid="{CC8107E3-5F77-441A-BE63-43B0E56E8132}" name="Spice" totalsRowLabel="Total" totalsRowDxfId="612"/>
    <tableColumn id="2" xr3:uid="{5678EFCE-E405-4753-ADC0-78ECA55E8B1A}" name="Calories" totalsRowFunction="sum" totalsRowDxfId="611"/>
    <tableColumn id="3" xr3:uid="{9FA89741-95BA-4903-BFDF-BEF39292C954}" name="Carbs" totalsRowFunction="sum" totalsRowDxfId="610"/>
    <tableColumn id="4" xr3:uid="{AAB34D99-6868-4BF9-BBC2-64CAE3D47A29}" name="Fat" totalsRowFunction="sum" totalsRowDxfId="609"/>
    <tableColumn id="5" xr3:uid="{C3ACA343-2E84-4445-BF38-52F9436104A6}" name="Protein" totalsRowFunction="sum" totalsRowDxfId="608"/>
    <tableColumn id="6" xr3:uid="{FB360D01-25BA-4107-BE72-5CBD7384A757}" name="Fiber" totalsRowFunction="sum" totalsRowDxfId="607"/>
    <tableColumn id="7" xr3:uid="{139A38AD-F274-4F0B-BD96-30C8A233457B}" name="Sugar" totalsRowFunction="sum" totalsRowDxfId="606">
      <calculatedColumnFormula>0*$H40</calculatedColumnFormula>
    </tableColumn>
    <tableColumn id="8" xr3:uid="{1407309F-143D-44CE-87B8-6BC95FD2B7BF}" name="Serving by TSP" totalsRowFunction="sum" totalsRowDxfId="60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AD1ECBB-7060-46F3-B18B-E51702124CD9}" name="RomanChicken" displayName="RomanChicken" ref="A1:J36" totalsRowCount="1" headerRowDxfId="604" dataDxfId="603">
  <autoFilter ref="A1:J35" xr:uid="{5303636F-6800-42BB-90F8-4D241067BA1B}"/>
  <tableColumns count="10">
    <tableColumn id="1" xr3:uid="{429323A5-1AD5-45B6-9F49-B510DC1F12A9}" name="Item" totalsRowLabel="Total" dataDxfId="602" totalsRowDxfId="601"/>
    <tableColumn id="2" xr3:uid="{D49456DB-631C-4306-A29D-F6F1DD923018}" name="Calories" totalsRowFunction="custom" dataDxfId="600" totalsRowDxfId="599">
      <totalsRowFormula>SUBTOTAL(109,RomanChicken[Calories])/RomanChicken[[#Totals],[Measurement]]</totalsRowFormula>
    </tableColumn>
    <tableColumn id="3" xr3:uid="{966E9543-C01F-4FB1-865D-14E1D31997DB}" name="Carbs" totalsRowFunction="custom" dataDxfId="598" totalsRowDxfId="597">
      <totalsRowFormula>SUBTOTAL(109,RomanChicken[Carbs])/RomanChicken[[#Totals],[Measurement]]</totalsRowFormula>
    </tableColumn>
    <tableColumn id="4" xr3:uid="{90A777D1-2773-4C6F-9F5F-D1BDD0AADA9D}" name="Fat " totalsRowFunction="custom" dataDxfId="596" totalsRowDxfId="595">
      <totalsRowFormula>SUBTOTAL(109,RomanChicken[[Fat ]])/RomanChicken[[#Totals],[Measurement]]</totalsRowFormula>
    </tableColumn>
    <tableColumn id="5" xr3:uid="{DB698EBC-03F2-402F-B2B4-2CCE0DCD75C0}" name="Protein" totalsRowFunction="custom" dataDxfId="594" totalsRowDxfId="593">
      <totalsRowFormula>SUBTOTAL(109,RomanChicken[Protein])/RomanChicken[[#Totals],[Measurement]]</totalsRowFormula>
    </tableColumn>
    <tableColumn id="6" xr3:uid="{AB0A3035-92A9-4968-9623-ACC386AF1B45}" name="Fiber" totalsRowFunction="custom" dataDxfId="592" totalsRowDxfId="591">
      <totalsRowFormula>SUBTOTAL(109,RomanChicken[Fiber])/RomanChicken[[#Totals],[Measurement]]</totalsRowFormula>
    </tableColumn>
    <tableColumn id="7" xr3:uid="{AD7F4B8D-F454-4DFC-9517-D02CB1A26DDF}" name="Sugar" totalsRowFunction="custom" dataDxfId="590" totalsRowDxfId="589">
      <totalsRowFormula>SUBTOTAL(109,RomanChicken[Sugar])/RomanChicken[[#Totals],[Measurement]]</totalsRowFormula>
    </tableColumn>
    <tableColumn id="8" xr3:uid="{72DE2B43-399E-4025-8018-EB869123EB41}" name="Servings" totalsRowFunction="custom" dataDxfId="588" totalsRowDxfId="587">
      <totalsRowFormula>SUBTOTAL(109,RomanChicken[Servings])/RomanChicken[[#Totals],[Measurement]]</totalsRowFormula>
    </tableColumn>
    <tableColumn id="9" xr3:uid="{7F9EB085-69DC-4D75-92B5-3032300F2732}" name="Measurement" totalsRowLabel="6" dataDxfId="586" totalsRowDxfId="585"/>
    <tableColumn id="10" xr3:uid="{5E587F59-3FA1-4169-95FE-9BECC4155CEB}" name="Test" dataDxfId="584" totalsRowDxfId="583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FB601E8-8BB7-4641-BD58-48304727C705}" name="Buffalo" displayName="Buffalo" ref="A1:J34" totalsRowCount="1" headerRowDxfId="582" dataDxfId="581">
  <autoFilter ref="A1:J33" xr:uid="{AFB601E8-8BB7-4641-BD58-48304727C705}"/>
  <tableColumns count="10">
    <tableColumn id="1" xr3:uid="{256F92E1-2729-4C5F-AD2C-EF49CE07CA18}" name="Item" totalsRowLabel="Average" dataDxfId="580" totalsRowDxfId="579"/>
    <tableColumn id="2" xr3:uid="{8E82BC53-E11B-4F42-B533-F70941740C9E}" name="Calories" totalsRowFunction="custom" dataDxfId="578" totalsRowDxfId="577">
      <totalsRowFormula>SUBTOTAL(109,Buffalo[Calories])/Buffalo[[#Totals],[Measurement]]</totalsRowFormula>
    </tableColumn>
    <tableColumn id="3" xr3:uid="{DE896850-3EEC-43D7-8DB7-BE44470AF437}" name="Carbs" totalsRowFunction="custom" dataDxfId="576" totalsRowDxfId="575">
      <totalsRowFormula>SUBTOTAL(109,Buffalo[Carbs])/Buffalo[[#Totals],[Measurement]]</totalsRowFormula>
    </tableColumn>
    <tableColumn id="4" xr3:uid="{11711135-85BF-4D98-A57E-5F7B92C5A502}" name="Fat " totalsRowFunction="custom" dataDxfId="574" totalsRowDxfId="573">
      <totalsRowFormula>SUBTOTAL(109,Buffalo[[Fat ]])/Buffalo[[#Totals],[Measurement]]</totalsRowFormula>
    </tableColumn>
    <tableColumn id="5" xr3:uid="{A8E55B18-C22A-4C6D-A1C6-47CAC46A4E9B}" name="Protein" totalsRowFunction="custom" dataDxfId="572" totalsRowDxfId="571">
      <totalsRowFormula>SUBTOTAL(109,Buffalo[Protein])/Buffalo[[#Totals],[Measurement]]</totalsRowFormula>
    </tableColumn>
    <tableColumn id="6" xr3:uid="{D7B9AE3D-006A-4DFC-A32C-0E1E1D29B081}" name="Fiber" totalsRowFunction="custom" dataDxfId="570" totalsRowDxfId="569">
      <totalsRowFormula>SUBTOTAL(109,Buffalo[Fiber])/Buffalo[[#Totals],[Measurement]]</totalsRowFormula>
    </tableColumn>
    <tableColumn id="7" xr3:uid="{71DE35F6-A575-4CD0-B869-726479ECB6C6}" name="Sugar" totalsRowFunction="custom" dataDxfId="568" totalsRowDxfId="567">
      <totalsRowFormula>SUBTOTAL(109,Buffalo[Sugar])/Buffalo[[#Totals],[Measurement]]</totalsRowFormula>
    </tableColumn>
    <tableColumn id="8" xr3:uid="{08B85675-5675-4AAC-A826-E3FB7B7406E5}" name="Servings" totalsRowFunction="custom" dataDxfId="566" totalsRowDxfId="565">
      <totalsRowFormula>SUBTOTAL(109,Buffalo[Servings])/Buffalo[[#Totals],[Measurement]]</totalsRowFormula>
    </tableColumn>
    <tableColumn id="9" xr3:uid="{F6BDB15D-2166-4EA2-B6C5-6E58B9C3359B}" name="Measurement" totalsRowLabel="6" dataDxfId="564" totalsRowDxfId="563"/>
    <tableColumn id="10" xr3:uid="{4D1EEF77-C504-4FC8-BAA4-3519BD2E814D}" name="Test" dataDxfId="562" totalsRowDxfId="561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0AA1A00-CB42-4B7C-91DA-1BC43C0A1046}" name="Table37" displayName="Table37" ref="A36:H61" totalsRowCount="1" headerRowDxfId="560" dataDxfId="559">
  <autoFilter ref="A36:H60" xr:uid="{10AA1A00-CB42-4B7C-91DA-1BC43C0A1046}"/>
  <tableColumns count="8">
    <tableColumn id="1" xr3:uid="{23C055C0-63E6-4F10-8E1F-7677C669EDCD}" name="Spice" totalsRowLabel="Total" dataDxfId="558" totalsRowDxfId="557"/>
    <tableColumn id="2" xr3:uid="{9F9763C6-0D1B-4768-B9FD-CD22B52FDBA1}" name="Calories" totalsRowFunction="sum" dataDxfId="556" totalsRowDxfId="555"/>
    <tableColumn id="3" xr3:uid="{11904EE4-81CA-42C9-B520-2B572C8319A4}" name="Carbs" totalsRowFunction="sum" dataDxfId="554" totalsRowDxfId="553"/>
    <tableColumn id="4" xr3:uid="{CD3EBC7A-1384-4239-AEFC-6A54E9E05080}" name="Fat" totalsRowFunction="sum" dataDxfId="552" totalsRowDxfId="551"/>
    <tableColumn id="5" xr3:uid="{E4A98F62-C565-4A9C-A193-265453FAA6CB}" name="Protein" totalsRowFunction="sum" dataDxfId="550" totalsRowDxfId="549"/>
    <tableColumn id="6" xr3:uid="{AEF4E523-F6B8-48E6-AD4B-01E349E244F6}" name="Fiber" totalsRowFunction="sum" dataDxfId="548" totalsRowDxfId="547"/>
    <tableColumn id="7" xr3:uid="{284004FA-7D2E-4164-91FC-7BF51767EAFA}" name="Sugar" totalsRowFunction="sum" dataDxfId="546" totalsRowDxfId="545"/>
    <tableColumn id="8" xr3:uid="{3C508F00-789C-49DC-933E-D53B8B4B738F}" name="Serving by TSP" totalsRowFunction="sum" dataDxfId="544" totalsRowDxfId="543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9865CE-D562-44BC-89F3-5AF32BFE7F91}" name="Roast" displayName="Roast" ref="A1:J24" totalsRowCount="1" headerRowDxfId="542" dataDxfId="541" tableBorderDxfId="540">
  <autoFilter ref="A1:J23" xr:uid="{769865CE-D562-44BC-89F3-5AF32BFE7F91}"/>
  <tableColumns count="10">
    <tableColumn id="1" xr3:uid="{8A3ADB83-4DBE-4833-A4E3-BFD5C1E47B7C}" name="Item" totalsRowLabel="Average" dataDxfId="539" totalsRowDxfId="538"/>
    <tableColumn id="2" xr3:uid="{34181A47-BFAD-47B5-97FE-478DF4D2FEF9}" name="Calories" totalsRowFunction="custom" dataDxfId="537" totalsRowDxfId="536">
      <totalsRowFormula>SUBTOTAL(109,Roast[Calories])/Roast[[#Totals],[Measurement]]</totalsRowFormula>
    </tableColumn>
    <tableColumn id="3" xr3:uid="{9B3877E9-2312-4BDB-9B32-AAC05C7A46F0}" name="Carbs" totalsRowFunction="custom" dataDxfId="535" totalsRowDxfId="534">
      <totalsRowFormula>SUBTOTAL(109,Roast[Carbs])/Roast[[#Totals],[Measurement]]</totalsRowFormula>
    </tableColumn>
    <tableColumn id="4" xr3:uid="{2F185618-3C2B-4F83-8BE0-75E167573FA0}" name="Fat " totalsRowFunction="custom" dataDxfId="533" totalsRowDxfId="532">
      <totalsRowFormula>SUBTOTAL(109,Roast[[Fat ]])/Roast[[#Totals],[Measurement]]</totalsRowFormula>
    </tableColumn>
    <tableColumn id="5" xr3:uid="{C146DACC-12F6-46BC-9D0A-72C4BCAC7C28}" name="Protein" totalsRowFunction="custom" dataDxfId="531" totalsRowDxfId="530">
      <totalsRowFormula>SUBTOTAL(109,Roast[Protein])/Roast[[#Totals],[Measurement]]</totalsRowFormula>
    </tableColumn>
    <tableColumn id="6" xr3:uid="{F0C67E1A-8E03-4C6F-8A1E-43FC1C05369B}" name="Fiber" totalsRowFunction="custom" dataDxfId="529" totalsRowDxfId="528">
      <totalsRowFormula>SUBTOTAL(109,Roast[Fiber])/Roast[[#Totals],[Measurement]]</totalsRowFormula>
    </tableColumn>
    <tableColumn id="7" xr3:uid="{CCCA61A1-1096-413E-BFC7-6AA500D6A804}" name="Sugar" totalsRowFunction="custom" dataDxfId="527" totalsRowDxfId="526">
      <totalsRowFormula>SUBTOTAL(109,Roast[Sugar])/Roast[[#Totals],[Measurement]]</totalsRowFormula>
    </tableColumn>
    <tableColumn id="8" xr3:uid="{6ACDDFFA-DD0D-4B21-A8BE-78E74D034ABC}" name="Servings" totalsRowFunction="custom" dataDxfId="525" totalsRowDxfId="524">
      <totalsRowFormula>SUBTOTAL(109,Roast[Servings])/Roast[[#Totals],[Measurement]]</totalsRowFormula>
    </tableColumn>
    <tableColumn id="9" xr3:uid="{82F3FD49-15BC-4E56-92B7-8A02C29127AF}" name="Measurement" totalsRowLabel="6" dataDxfId="523" totalsRowDxfId="522"/>
    <tableColumn id="10" xr3:uid="{BE099636-F899-4B8C-85F5-7F2459083C58}" name="Test" dataDxfId="521" totalsRowDxfId="520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FA092-75F9-4C89-B2D6-90FC1E702679}" name="Potatoes" displayName="Potatoes" ref="A26:I36" totalsRowCount="1" headerRowDxfId="519" totalsRowDxfId="516" headerRowBorderDxfId="518" tableBorderDxfId="517">
  <autoFilter ref="A26:I35" xr:uid="{9E5FA092-75F9-4C89-B2D6-90FC1E702679}"/>
  <tableColumns count="9">
    <tableColumn id="1" xr3:uid="{E719D6CF-2631-431C-A1B0-94B097967119}" name="Item" totalsRowLabel="Average" totalsRowDxfId="515"/>
    <tableColumn id="2" xr3:uid="{15E73CFA-9D3F-4321-A9BC-9415CCE0DCF3}" name="Calories" totalsRowFunction="custom" totalsRowDxfId="514">
      <totalsRowFormula>SUBTOTAL(109,Potatoes[Calories])/Potatoes[[#Totals],[Measurement]]</totalsRowFormula>
    </tableColumn>
    <tableColumn id="3" xr3:uid="{4968DCF9-C6FD-4995-B565-40DCC52ACC40}" name="Carbs" totalsRowFunction="custom" totalsRowDxfId="513">
      <totalsRowFormula>SUBTOTAL(109,Potatoes[Carbs])/Potatoes[[#Totals],[Measurement]]</totalsRowFormula>
    </tableColumn>
    <tableColumn id="4" xr3:uid="{BC175D2E-6833-46AA-B417-50C17AF1F00D}" name="Fat " totalsRowFunction="custom" totalsRowDxfId="512">
      <totalsRowFormula>SUBTOTAL(109,Potatoes[[Fat ]])/Potatoes[[#Totals],[Measurement]]</totalsRowFormula>
    </tableColumn>
    <tableColumn id="5" xr3:uid="{8C17A150-753C-42CE-B91C-ED68E20619AF}" name="Protein" totalsRowFunction="custom" totalsRowDxfId="511">
      <totalsRowFormula>SUBTOTAL(109,Potatoes[Protein])/Potatoes[[#Totals],[Measurement]]</totalsRowFormula>
    </tableColumn>
    <tableColumn id="6" xr3:uid="{4F6C3706-9517-4CC7-A1E0-768934CB9876}" name="Fiber" totalsRowFunction="custom" totalsRowDxfId="510">
      <totalsRowFormula>SUBTOTAL(109,Potatoes[Fiber])/Potatoes[[#Totals],[Measurement]]</totalsRowFormula>
    </tableColumn>
    <tableColumn id="7" xr3:uid="{046CFC29-5767-4DDF-8F07-78A3AAD2D6A4}" name="Sugar" totalsRowFunction="custom" totalsRowDxfId="509">
      <totalsRowFormula>SUBTOTAL(109,Potatoes[Sugar])/Potatoes[[#Totals],[Measurement]]</totalsRowFormula>
    </tableColumn>
    <tableColumn id="8" xr3:uid="{7F4910DD-CB75-452C-82D5-E3E8DCE15B9B}" name="Servings" totalsRowFunction="custom" totalsRowDxfId="508">
      <totalsRowFormula>SUBTOTAL(109,Potatoes[Servings])/Potatoes[[#Totals],[Measurement]]</totalsRowFormula>
    </tableColumn>
    <tableColumn id="9" xr3:uid="{04DF9F17-D434-420E-B1A6-715227CE61F4}" name="Measurement" totalsRowLabel="4" totalsRowDxfId="507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AEC333D-88BD-4CD4-8A18-B094FFC5A121}" name="Table28" displayName="Table28" ref="A38:H63" totalsRowCount="1" headerRowDxfId="506" dataDxfId="504" headerRowBorderDxfId="505" tableBorderDxfId="503" totalsRowBorderDxfId="502">
  <autoFilter ref="A38:H62" xr:uid="{8AEC333D-88BD-4CD4-8A18-B094FFC5A121}"/>
  <tableColumns count="8">
    <tableColumn id="1" xr3:uid="{556E18F2-B3AC-4644-973E-FC431D1E26D0}" name="Spice" totalsRowLabel="Total" dataDxfId="501" totalsRowDxfId="500"/>
    <tableColumn id="2" xr3:uid="{812C221F-2154-41EA-A5F4-A8AC6960A18D}" name="Calories" totalsRowFunction="sum" dataDxfId="499" totalsRowDxfId="498"/>
    <tableColumn id="3" xr3:uid="{CD84BF96-C112-4109-A38E-C29DB4FF2FAC}" name="Carbs" totalsRowFunction="sum" dataDxfId="497" totalsRowDxfId="496"/>
    <tableColumn id="4" xr3:uid="{E57DD8C7-F768-4DD9-B80E-FC127C882076}" name="Fat" totalsRowFunction="sum" dataDxfId="495" totalsRowDxfId="494"/>
    <tableColumn id="5" xr3:uid="{B14C879F-B8C4-467C-8EED-3F2735051DA4}" name="Protein" totalsRowFunction="sum" dataDxfId="493" totalsRowDxfId="492"/>
    <tableColumn id="6" xr3:uid="{364DCE83-FB5C-45AB-8720-3E0A0962191F}" name="Fiber" totalsRowFunction="sum" dataDxfId="491" totalsRowDxfId="490"/>
    <tableColumn id="7" xr3:uid="{E18D53B1-8332-4529-A4A9-D430042B6EC4}" name="Sugar" totalsRowFunction="sum" dataDxfId="489" totalsRowDxfId="488">
      <calculatedColumnFormula>0*$H39</calculatedColumnFormula>
    </tableColumn>
    <tableColumn id="8" xr3:uid="{91DF6978-8658-47D8-894C-4E3A3F91D1C6}" name="Serving by TSP" totalsRowFunction="sum" dataDxfId="487" totalsRowDxfId="48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5E2ED2B-938A-45AE-A340-F82706DB3B78}" name="MexicanSpice49" displayName="MexicanSpice49" ref="A42:H67" totalsRowCount="1" headerRowDxfId="485" totalsRowDxfId="483" headerRowBorderDxfId="484" totalsRowBorderDxfId="482">
  <autoFilter ref="A42:H66" xr:uid="{D7F6106F-1023-4076-8565-08039146C291}"/>
  <tableColumns count="8">
    <tableColumn id="1" xr3:uid="{E03EDC58-FF3A-4726-A97E-30A673FDE464}" name="Spice" totalsRowLabel="Total" totalsRowDxfId="481"/>
    <tableColumn id="2" xr3:uid="{A537EC0F-3625-4512-95CC-8A106A615E93}" name="Calories" totalsRowFunction="sum" totalsRowDxfId="480"/>
    <tableColumn id="3" xr3:uid="{64C39197-C5DD-4257-B78D-FD5194899964}" name="Carbs" totalsRowFunction="sum" totalsRowDxfId="479"/>
    <tableColumn id="4" xr3:uid="{DBCA6D60-3827-42B2-97B5-C11DDE28983B}" name="Fat" totalsRowFunction="sum" totalsRowDxfId="478"/>
    <tableColumn id="5" xr3:uid="{3B108E00-C1E0-4076-9441-A7BDD3CA9095}" name="Protein" totalsRowFunction="sum" totalsRowDxfId="477"/>
    <tableColumn id="6" xr3:uid="{6D55E427-5A7E-49C2-9EDC-D6FACD34ACC1}" name="Fiber" totalsRowFunction="sum" totalsRowDxfId="476"/>
    <tableColumn id="7" xr3:uid="{54340134-3C7F-4518-85D7-59BC9705855E}" name="Sugar" totalsRowFunction="sum" totalsRowDxfId="475">
      <calculatedColumnFormula>0*$H43</calculatedColumnFormula>
    </tableColumn>
    <tableColumn id="8" xr3:uid="{EF70C86B-A1D1-4AE5-94F7-7F537429CB84}" name="Serving by TSP" totalsRowFunction="sum" totalsRowDxfId="47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31FA3F9-E1C5-45B5-94F0-50E7DADEEF4F}" name="ChickenCasserole" displayName="ChickenCasserole" ref="A1:J39" totalsRowCount="1" headerRowDxfId="473" dataDxfId="472">
  <autoFilter ref="A1:J38" xr:uid="{5303636F-6800-42BB-90F8-4D241067BA1B}"/>
  <tableColumns count="10">
    <tableColumn id="1" xr3:uid="{0D0E45C8-E5CD-493A-A442-346B9CACFEB0}" name="Item" totalsRowLabel="Total" dataDxfId="471" totalsRowDxfId="470"/>
    <tableColumn id="2" xr3:uid="{DDE80503-BD0F-47DA-95AE-53D7314E7004}" name="Calories" totalsRowFunction="custom" dataDxfId="469" totalsRowDxfId="468">
      <totalsRowFormula>SUBTOTAL(109,ChickenCasserole[Calories])/ChickenCasserole[[#Totals],[Measurement]]</totalsRowFormula>
    </tableColumn>
    <tableColumn id="3" xr3:uid="{181A70FE-95BD-470D-AEF2-5F6B9869332F}" name="Carbs" totalsRowFunction="custom" dataDxfId="467" totalsRowDxfId="466">
      <totalsRowFormula>SUBTOTAL(109,ChickenCasserole[Carbs])/ChickenCasserole[[#Totals],[Measurement]]</totalsRowFormula>
    </tableColumn>
    <tableColumn id="4" xr3:uid="{561EFD84-1A42-404E-B7CD-63AB10CFB7DB}" name="Fat " totalsRowFunction="custom" dataDxfId="465" totalsRowDxfId="464">
      <totalsRowFormula>SUBTOTAL(109,ChickenCasserole[[Fat ]])/ChickenCasserole[[#Totals],[Measurement]]</totalsRowFormula>
    </tableColumn>
    <tableColumn id="5" xr3:uid="{F461D965-4267-44C4-8742-7264AD637F6F}" name="Protein" totalsRowFunction="custom" dataDxfId="463" totalsRowDxfId="462">
      <totalsRowFormula>SUBTOTAL(109,ChickenCasserole[Protein])/ChickenCasserole[[#Totals],[Measurement]]</totalsRowFormula>
    </tableColumn>
    <tableColumn id="6" xr3:uid="{7D4ED20F-BD4F-423B-867C-3FCFBD0670E7}" name="Fiber" totalsRowFunction="custom" dataDxfId="461" totalsRowDxfId="460">
      <totalsRowFormula>SUBTOTAL(109,ChickenCasserole[Fiber])/ChickenCasserole[[#Totals],[Measurement]]</totalsRowFormula>
    </tableColumn>
    <tableColumn id="7" xr3:uid="{1A543D36-F941-4F6F-A3A4-62A42CDEDBBF}" name="Sugar" totalsRowFunction="custom" dataDxfId="459" totalsRowDxfId="458">
      <totalsRowFormula>SUBTOTAL(109,ChickenCasserole[Sugar])/ChickenCasserole[[#Totals],[Measurement]]</totalsRowFormula>
    </tableColumn>
    <tableColumn id="8" xr3:uid="{D66A2D25-9984-4219-B656-07F16AA122F8}" name="Servings" totalsRowFunction="custom" dataDxfId="457" totalsRowDxfId="456">
      <totalsRowFormula>SUBTOTAL(109,ChickenCasserole[Servings])/ChickenCasserole[[#Totals],[Measurement]]</totalsRowFormula>
    </tableColumn>
    <tableColumn id="9" xr3:uid="{00CEB7A5-0F6F-46BC-B9E7-EFB207863E18}" name="Measurement" totalsRowLabel="6" dataDxfId="455" totalsRowDxfId="454"/>
    <tableColumn id="10" xr3:uid="{E3B63F38-FE12-4FAB-8BE2-0BA25A8A59C0}" name="Test" dataDxfId="453" totalsRowDxfId="45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3F030D54-FC03-43A8-85B6-0464248BC209}" name="BBQPizza" displayName="BBQPizza" ref="A1:J56" totalsRowCount="1" headerRowDxfId="451" dataDxfId="450" totalsRowDxfId="449">
  <autoFilter ref="A1:J55" xr:uid="{AFB601E8-8BB7-4641-BD58-48304727C705}"/>
  <tableColumns count="10">
    <tableColumn id="1" xr3:uid="{24CABD37-8434-43DF-AFBF-EC4E4CE49F03}" name="Item" totalsRowLabel="Average" dataDxfId="448" totalsRowDxfId="447"/>
    <tableColumn id="2" xr3:uid="{F99E66B1-4B71-44A1-869A-8C8635DD85C5}" name="Calories" totalsRowFunction="custom" dataDxfId="446" totalsRowDxfId="445">
      <totalsRowFormula>SUBTOTAL(109,BBQPizza[Calories])/BBQPizza[[#Totals],[Measurement]]</totalsRowFormula>
    </tableColumn>
    <tableColumn id="3" xr3:uid="{1F2053FE-3D47-4A21-82AA-DD4DC5C6D589}" name="Carbs" totalsRowFunction="custom" dataDxfId="444" totalsRowDxfId="443">
      <totalsRowFormula>SUBTOTAL(109,BBQPizza[Carbs])/BBQPizza[[#Totals],[Measurement]]</totalsRowFormula>
    </tableColumn>
    <tableColumn id="4" xr3:uid="{F08EE8DA-B475-4425-BC2B-DE3148943723}" name="Fat " totalsRowFunction="custom" dataDxfId="442" totalsRowDxfId="441">
      <totalsRowFormula>SUBTOTAL(109,BBQPizza[[Fat ]])/BBQPizza[[#Totals],[Measurement]]</totalsRowFormula>
    </tableColumn>
    <tableColumn id="5" xr3:uid="{76FB86DB-1422-497B-936B-D381E9DA64A2}" name="Protein" totalsRowFunction="custom" dataDxfId="440" totalsRowDxfId="439">
      <totalsRowFormula>SUBTOTAL(109,BBQPizza[Protein])/BBQPizza[[#Totals],[Measurement]]</totalsRowFormula>
    </tableColumn>
    <tableColumn id="6" xr3:uid="{99F95070-3B86-4D2B-B29E-4B9768BE95D7}" name="Fiber" totalsRowFunction="custom" dataDxfId="438" totalsRowDxfId="437">
      <totalsRowFormula>SUBTOTAL(109,BBQPizza[Fiber])/BBQPizza[[#Totals],[Measurement]]</totalsRowFormula>
    </tableColumn>
    <tableColumn id="7" xr3:uid="{DED28BAE-AD21-4FF0-AB1F-E5D69A174BD3}" name="Sugar" totalsRowFunction="custom" dataDxfId="436" totalsRowDxfId="435">
      <totalsRowFormula>SUBTOTAL(109,BBQPizza[Sugar])/BBQPizza[[#Totals],[Measurement]]</totalsRowFormula>
    </tableColumn>
    <tableColumn id="8" xr3:uid="{FA63E7E5-45FC-4A80-8AD8-423176623288}" name="Servings" totalsRowFunction="custom" dataDxfId="434" totalsRowDxfId="433">
      <totalsRowFormula>SUBTOTAL(109,BBQPizza[Servings])/BBQPizza[[#Totals],[Measurement]]</totalsRowFormula>
    </tableColumn>
    <tableColumn id="9" xr3:uid="{9C4ABE38-AED7-4B33-9E90-6FFCAB2338AB}" name="Measurement" totalsRowLabel="4" dataDxfId="432" totalsRowDxfId="431"/>
    <tableColumn id="10" xr3:uid="{EB4C9E93-9F02-47C9-B80E-89D7E75DEF16}" name="Test" dataDxfId="430" totalsRowDxfId="429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28F4016-A39B-463C-8D13-480F565B00AE}" name="PizzaSpice43" displayName="PizzaSpice43" ref="A58:H85" totalsRowCount="1" headerRowDxfId="428" dataDxfId="426" totalsRowDxfId="424" headerRowBorderDxfId="427" tableBorderDxfId="425" totalsRowBorderDxfId="423">
  <autoFilter ref="A58:H84" xr:uid="{0AF2D953-F7F4-44C8-9D35-18C190BCADAD}"/>
  <tableColumns count="8">
    <tableColumn id="1" xr3:uid="{842B2836-3BD2-4CD4-AE07-BF32883FA4EA}" name="Spice" totalsRowLabel="Total" dataDxfId="422" totalsRowDxfId="421"/>
    <tableColumn id="2" xr3:uid="{1B97F6CD-9119-4159-AC19-CFC400856009}" name="Calories" totalsRowFunction="sum" dataDxfId="420" totalsRowDxfId="419"/>
    <tableColumn id="3" xr3:uid="{F5724CBC-F037-42DE-94AC-48716D24A5AC}" name="Carbs" totalsRowFunction="sum" dataDxfId="418" totalsRowDxfId="417"/>
    <tableColumn id="4" xr3:uid="{1922891D-470D-4054-8A54-133F103AE0A6}" name="Fat" totalsRowFunction="sum" dataDxfId="416" totalsRowDxfId="415"/>
    <tableColumn id="5" xr3:uid="{D134B85B-A955-4C24-8B65-F179857B269C}" name="Protein" totalsRowFunction="sum" dataDxfId="414" totalsRowDxfId="413"/>
    <tableColumn id="6" xr3:uid="{C3F3DCD9-4436-4187-B141-87C01B480CC9}" name="Fiber" totalsRowFunction="sum" dataDxfId="412" totalsRowDxfId="411"/>
    <tableColumn id="7" xr3:uid="{E1F09FB0-95E7-46A8-957E-B797175C38E8}" name="Sugar" totalsRowFunction="sum" dataDxfId="410" totalsRowDxfId="409"/>
    <tableColumn id="8" xr3:uid="{2C335382-BB6D-47F1-AF29-A8800449DEC3}" name="Serving by TSP" totalsRowFunction="sum" dataDxfId="408" totalsRowDxfId="40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65C04E1-A867-40A5-9CDD-ACC2E5259DE5}" name="FriedRice" displayName="FriedRice" ref="A1:J41" totalsRowCount="1" headerRowDxfId="406" dataDxfId="405">
  <autoFilter ref="A1:J40" xr:uid="{AFB601E8-8BB7-4641-BD58-48304727C705}"/>
  <tableColumns count="10">
    <tableColumn id="1" xr3:uid="{4B774B60-5DAC-4477-BEE2-ED57CC6CE577}" name="Item" totalsRowLabel="Average" dataDxfId="404" totalsRowDxfId="403"/>
    <tableColumn id="2" xr3:uid="{0A52F30D-F493-42B2-A59A-6B059E3A9F52}" name="Calories" totalsRowFunction="custom" dataDxfId="402" totalsRowDxfId="401">
      <totalsRowFormula>SUBTOTAL(109,FriedRice[Calories])/FriedRice[[#Totals],[Measurement]]</totalsRowFormula>
    </tableColumn>
    <tableColumn id="3" xr3:uid="{729CDC1C-4B42-4A58-AFF1-80A7BF421F58}" name="Carbs" totalsRowFunction="custom" dataDxfId="400" totalsRowDxfId="399">
      <totalsRowFormula>SUBTOTAL(109,FriedRice[Carbs])/FriedRice[[#Totals],[Measurement]]</totalsRowFormula>
    </tableColumn>
    <tableColumn id="4" xr3:uid="{45445623-4AB6-42F8-9FA6-E439F238D07D}" name="Fat " totalsRowFunction="custom" dataDxfId="398" totalsRowDxfId="397">
      <totalsRowFormula>SUBTOTAL(109,FriedRice[[Fat ]])/FriedRice[[#Totals],[Measurement]]</totalsRowFormula>
    </tableColumn>
    <tableColumn id="5" xr3:uid="{54DEB087-B592-474F-B1AE-59BB0B2BF450}" name="Protein" totalsRowFunction="custom" dataDxfId="396" totalsRowDxfId="395">
      <totalsRowFormula>SUBTOTAL(109,FriedRice[Protein])/FriedRice[[#Totals],[Measurement]]</totalsRowFormula>
    </tableColumn>
    <tableColumn id="6" xr3:uid="{BD74CC7D-D4C5-44D5-80B1-0E8F76E57205}" name="Fiber" totalsRowFunction="custom" dataDxfId="394" totalsRowDxfId="393">
      <totalsRowFormula>SUBTOTAL(109,FriedRice[Fiber])/FriedRice[[#Totals],[Measurement]]</totalsRowFormula>
    </tableColumn>
    <tableColumn id="7" xr3:uid="{7FCD2004-A892-4297-B40C-67C62C004BA1}" name="Sugar" totalsRowFunction="custom" dataDxfId="392" totalsRowDxfId="391">
      <totalsRowFormula>SUBTOTAL(109,FriedRice[Sugar])/FriedRice[[#Totals],[Measurement]]</totalsRowFormula>
    </tableColumn>
    <tableColumn id="8" xr3:uid="{630D1172-3D10-4B42-BB45-8C900B2B46EF}" name="Servings" totalsRowFunction="custom" dataDxfId="390" totalsRowDxfId="389">
      <totalsRowFormula>SUBTOTAL(109,FriedRice[Servings])/FriedRice[[#Totals],[Measurement]]</totalsRowFormula>
    </tableColumn>
    <tableColumn id="9" xr3:uid="{FE79C708-68C6-4C47-A39D-77FF88CCA140}" name="Measurement" totalsRowLabel="6" dataDxfId="388" totalsRowDxfId="387"/>
    <tableColumn id="10" xr3:uid="{1EEA9A5B-730B-45D4-AC89-5FB683498827}" name="Test" dataDxfId="386" totalsRowDxfId="385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A975A83-2627-4B5E-B16A-63BF23BABFDF}" name="Table27" displayName="Table27" ref="A43:H70" totalsRowCount="1" headerRowDxfId="384" tableBorderDxfId="383">
  <autoFilter ref="A43:H69" xr:uid="{FA975A83-2627-4B5E-B16A-63BF23BABFDF}"/>
  <tableColumns count="8">
    <tableColumn id="1" xr3:uid="{BBAF02B8-3F45-491D-B406-7F74CEDED741}" name="Spice" totalsRowLabel="Total" dataDxfId="382" totalsRowDxfId="381"/>
    <tableColumn id="2" xr3:uid="{1F2BE7A0-A7AB-4997-B2A0-F16F4D0FD896}" name="Calories" totalsRowFunction="sum" dataDxfId="380" totalsRowDxfId="379"/>
    <tableColumn id="3" xr3:uid="{6C9A90C7-CEBA-4CE8-BDF5-B8CFC18ADB8B}" name="Carbs" totalsRowFunction="sum" dataDxfId="378" totalsRowDxfId="377"/>
    <tableColumn id="4" xr3:uid="{D1586554-4521-4751-B400-6FD13BCFDD5E}" name="Fat" totalsRowFunction="sum" dataDxfId="376" totalsRowDxfId="375"/>
    <tableColumn id="5" xr3:uid="{A4BD7EB5-06ED-495D-959C-0F598AD4BDB5}" name="Protein" totalsRowFunction="sum" dataDxfId="374" totalsRowDxfId="373"/>
    <tableColumn id="6" xr3:uid="{F929DD37-58C1-4B40-A035-2355EA4701DC}" name="Fiber" totalsRowFunction="sum" dataDxfId="372" totalsRowDxfId="371"/>
    <tableColumn id="7" xr3:uid="{814292CE-FEC8-4437-8348-DB5D3B280527}" name="Sugar" totalsRowFunction="sum" dataDxfId="370" totalsRowDxfId="369"/>
    <tableColumn id="8" xr3:uid="{03AD95BB-74AD-459E-8A9A-C966503259B5}" name="Serving by TSP" totalsRowFunction="sum" dataDxfId="368" totalsRowDxfId="36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5DAF4F4-5205-4866-ADD1-C30C5BB0BCE0}" name="HoneyChicken" displayName="HoneyChicken" ref="A1:J59" totalsRowCount="1" headerRowDxfId="366" dataDxfId="365">
  <autoFilter ref="A1:J58" xr:uid="{AFB601E8-8BB7-4641-BD58-48304727C705}"/>
  <tableColumns count="10">
    <tableColumn id="1" xr3:uid="{D515F957-94E7-4415-9094-F0D5536BDC0F}" name="Item" totalsRowLabel="Average" dataDxfId="364" totalsRowDxfId="363"/>
    <tableColumn id="2" xr3:uid="{48F67376-97BE-4B30-B2EA-E0C5D1C4A035}" name="Calories" totalsRowFunction="custom" dataDxfId="362" totalsRowDxfId="361">
      <totalsRowFormula>SUBTOTAL(109,HoneyChicken[Calories])/HoneyChicken[[#Totals],[Measurement]]</totalsRowFormula>
    </tableColumn>
    <tableColumn id="3" xr3:uid="{DC01E509-7A7C-4BC6-855E-F5DE6A68EF60}" name="Carbs" totalsRowFunction="custom" dataDxfId="360" totalsRowDxfId="359">
      <totalsRowFormula>SUBTOTAL(109,HoneyChicken[Carbs])/HoneyChicken[[#Totals],[Measurement]]</totalsRowFormula>
    </tableColumn>
    <tableColumn id="4" xr3:uid="{F556BB1B-679D-4A7E-ACEE-E61278C6BB73}" name="Fat " totalsRowFunction="custom" dataDxfId="358" totalsRowDxfId="357">
      <totalsRowFormula>SUBTOTAL(109,HoneyChicken[[Fat ]])/HoneyChicken[[#Totals],[Measurement]]</totalsRowFormula>
    </tableColumn>
    <tableColumn id="5" xr3:uid="{3D2DD72C-B20C-4C00-9931-7FEA0A5797E8}" name="Protein" totalsRowFunction="custom" dataDxfId="356" totalsRowDxfId="355">
      <totalsRowFormula>SUBTOTAL(109,HoneyChicken[Protein])/HoneyChicken[[#Totals],[Measurement]]</totalsRowFormula>
    </tableColumn>
    <tableColumn id="6" xr3:uid="{84AB13AC-F22B-47C8-A53A-BC3BFD00BCD2}" name="Fiber" totalsRowFunction="custom" dataDxfId="354" totalsRowDxfId="353">
      <totalsRowFormula>SUBTOTAL(109,HoneyChicken[Fiber])/HoneyChicken[[#Totals],[Measurement]]</totalsRowFormula>
    </tableColumn>
    <tableColumn id="7" xr3:uid="{E999D1FC-F310-4A3D-98A2-183342D90DD3}" name="Sugar" totalsRowFunction="custom" dataDxfId="352" totalsRowDxfId="351">
      <totalsRowFormula>SUBTOTAL(109,HoneyChicken[Sugar])/HoneyChicken[[#Totals],[Measurement]]</totalsRowFormula>
    </tableColumn>
    <tableColumn id="8" xr3:uid="{22CC36FB-27C4-4287-8724-D00295E2A17F}" name="Servings" totalsRowFunction="custom" dataDxfId="350" totalsRowDxfId="349">
      <totalsRowFormula>SUBTOTAL(109,HoneyChicken[Servings])/HoneyChicken[[#Totals],[Measurement]]</totalsRowFormula>
    </tableColumn>
    <tableColumn id="9" xr3:uid="{F5A4C60F-218A-4C7D-AD53-2043BDBA96AD}" name="Measurement" totalsRowLabel="6" dataDxfId="348" totalsRowDxfId="347"/>
    <tableColumn id="10" xr3:uid="{0AF1B950-DBD2-4803-B247-D591BD35E045}" name="Test" dataDxfId="346" totalsRowDxfId="345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4782DA7-58BF-484E-981E-5CAEB0F6E18A}" name="Table2734353640" displayName="Table2734353640" ref="A61:H88" totalsRowCount="1" headerRowDxfId="344" tableBorderDxfId="343">
  <autoFilter ref="A61:H87" xr:uid="{FA975A83-2627-4B5E-B16A-63BF23BABFDF}"/>
  <tableColumns count="8">
    <tableColumn id="1" xr3:uid="{02CCB365-127A-4019-A367-2ABE2385B9B8}" name="Spice" totalsRowLabel="Total" dataDxfId="342" totalsRowDxfId="341"/>
    <tableColumn id="2" xr3:uid="{0FD3918B-D47D-42AC-9D50-95CC593BA1AC}" name="Calories" totalsRowFunction="sum" dataDxfId="340" totalsRowDxfId="339"/>
    <tableColumn id="3" xr3:uid="{91A5DF2D-ED70-41ED-B85C-C6F1A000FF5F}" name="Carbs" totalsRowFunction="sum" dataDxfId="338" totalsRowDxfId="337"/>
    <tableColumn id="4" xr3:uid="{5CC2D718-1F71-4E58-A6A0-53836572BBE3}" name="Fat" totalsRowFunction="sum" dataDxfId="336" totalsRowDxfId="335"/>
    <tableColumn id="5" xr3:uid="{886E40A3-20EF-4C69-BE65-10145E44E66E}" name="Protein" totalsRowFunction="sum" dataDxfId="334" totalsRowDxfId="333"/>
    <tableColumn id="6" xr3:uid="{56E06994-1B35-4C18-9966-E4299CB66FA3}" name="Fiber" totalsRowFunction="sum" dataDxfId="332" totalsRowDxfId="331"/>
    <tableColumn id="7" xr3:uid="{CD600BB3-C09E-4CC4-BF47-C32085D91ECE}" name="Sugar" totalsRowFunction="sum" dataDxfId="330" totalsRowDxfId="329"/>
    <tableColumn id="8" xr3:uid="{4FFA07BE-754F-4B24-802B-1A281AD09337}" name="Serving by TSP" totalsRowFunction="sum" dataDxfId="328" totalsRowDxfId="327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9EF280-6B7D-454C-954E-434B4615ED33}" name="CharSiu" displayName="CharSiu" ref="A1:J37" totalsRowCount="1" headerRowDxfId="326" dataDxfId="325" tableBorderDxfId="324">
  <autoFilter ref="A1:J36" xr:uid="{769865CE-D562-44BC-89F3-5AF32BFE7F91}"/>
  <tableColumns count="10">
    <tableColumn id="1" xr3:uid="{EFA1D98B-E64B-410E-971D-83946D1202E6}" name="Item" totalsRowLabel="Average" dataDxfId="323" totalsRowDxfId="322"/>
    <tableColumn id="2" xr3:uid="{F975F1F3-C636-4F1E-8225-546104BD3139}" name="Calories" totalsRowFunction="custom" dataDxfId="321" totalsRowDxfId="320">
      <totalsRowFormula>SUBTOTAL(109,CharSiu[Calories])/CharSiu[[#Totals],[Measurement]]</totalsRowFormula>
    </tableColumn>
    <tableColumn id="3" xr3:uid="{CDCC1F58-C2A9-4088-8801-E5484166FEB2}" name="Carbs" totalsRowFunction="custom" dataDxfId="319" totalsRowDxfId="318">
      <totalsRowFormula>SUBTOTAL(109,CharSiu[Carbs])/CharSiu[[#Totals],[Measurement]]</totalsRowFormula>
    </tableColumn>
    <tableColumn id="4" xr3:uid="{D704EB69-3E40-4B14-BF99-D3A6324B05E0}" name="Fat " totalsRowFunction="custom" dataDxfId="317" totalsRowDxfId="316">
      <totalsRowFormula>SUBTOTAL(109,CharSiu[[Fat ]])/CharSiu[[#Totals],[Measurement]]</totalsRowFormula>
    </tableColumn>
    <tableColumn id="5" xr3:uid="{557B7563-247A-416A-BA72-977C973AEDBD}" name="Protein" totalsRowFunction="custom" dataDxfId="315" totalsRowDxfId="314">
      <totalsRowFormula>SUBTOTAL(109,CharSiu[Protein])/CharSiu[[#Totals],[Measurement]]</totalsRowFormula>
    </tableColumn>
    <tableColumn id="6" xr3:uid="{DA6D1DFE-09B5-4DFE-A49A-44B6DE89E996}" name="Fiber" totalsRowFunction="custom" dataDxfId="313" totalsRowDxfId="312">
      <totalsRowFormula>SUBTOTAL(109,CharSiu[Fiber])/CharSiu[[#Totals],[Measurement]]</totalsRowFormula>
    </tableColumn>
    <tableColumn id="7" xr3:uid="{544BBF6E-F198-44EB-AB4A-A57793EA826E}" name="Sugar" totalsRowFunction="custom" dataDxfId="311" totalsRowDxfId="310">
      <totalsRowFormula>SUBTOTAL(109,CharSiu[Sugar])/CharSiu[[#Totals],[Measurement]]</totalsRowFormula>
    </tableColumn>
    <tableColumn id="8" xr3:uid="{9439A5CE-5856-4CAD-9A32-79A60BCA8463}" name="Servings" totalsRowFunction="custom" dataDxfId="309" totalsRowDxfId="308">
      <totalsRowFormula>SUBTOTAL(109,CharSiu[Servings])/CharSiu[[#Totals],[Measurement]]</totalsRowFormula>
    </tableColumn>
    <tableColumn id="9" xr3:uid="{806F8C1A-F333-49C7-9DAC-576B3567C1FF}" name="Measurement" totalsRowLabel="6" dataDxfId="307" totalsRowDxfId="306"/>
    <tableColumn id="10" xr3:uid="{4CDB2834-0398-4DCB-A359-F8AAB334748D}" name="Test" dataDxfId="305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2E275A5-0C4E-4009-A399-2EE49D31AFEE}" name="Table2819" displayName="Table2819" ref="A39:H64" totalsRowCount="1" headerRowDxfId="304" dataDxfId="302" headerRowBorderDxfId="303" tableBorderDxfId="301" totalsRowBorderDxfId="300">
  <autoFilter ref="A39:H63" xr:uid="{8AEC333D-88BD-4CD4-8A18-B094FFC5A121}"/>
  <tableColumns count="8">
    <tableColumn id="1" xr3:uid="{758BA6CE-8689-4EA4-B8C0-B0B28C71D076}" name="Spice" totalsRowLabel="Total" dataDxfId="299" totalsRowDxfId="298"/>
    <tableColumn id="2" xr3:uid="{8CDC5A02-686B-4DC6-B294-A7549DADC629}" name="Calories" totalsRowFunction="sum" dataDxfId="297" totalsRowDxfId="296"/>
    <tableColumn id="3" xr3:uid="{132FA1B4-B12B-4AD2-967B-B9D43F47B455}" name="Carbs" totalsRowFunction="sum" dataDxfId="295" totalsRowDxfId="294"/>
    <tableColumn id="4" xr3:uid="{6309AF43-4597-47E8-A535-55A84BBC8F92}" name="Fat" totalsRowFunction="sum" dataDxfId="293" totalsRowDxfId="292"/>
    <tableColumn id="5" xr3:uid="{DA612301-7A74-45AF-82A4-98ED71AD6238}" name="Protein" totalsRowFunction="sum" dataDxfId="291" totalsRowDxfId="290"/>
    <tableColumn id="6" xr3:uid="{7065AF3B-84FE-482D-AEB7-606B187E977D}" name="Fiber" totalsRowFunction="sum" dataDxfId="289" totalsRowDxfId="288"/>
    <tableColumn id="7" xr3:uid="{14ABB3BA-6C90-47F9-AC00-521F15834539}" name="Sugar" totalsRowFunction="sum" dataDxfId="287" totalsRowDxfId="286">
      <calculatedColumnFormula>0*$H40</calculatedColumnFormula>
    </tableColumn>
    <tableColumn id="8" xr3:uid="{D306BD3E-5114-40FC-B060-051124BD3E82}" name="Serving by TSP" totalsRowFunction="sum" dataDxfId="285" totalsRowDxfId="28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F6F04C-4317-409A-AD84-3397DDC21C2C}" name="FriedRice3358" displayName="FriedRice3358" ref="A1:J48" totalsRowCount="1" headerRowDxfId="283" dataDxfId="282">
  <autoFilter ref="A1:J47" xr:uid="{AFB601E8-8BB7-4641-BD58-48304727C705}"/>
  <tableColumns count="10">
    <tableColumn id="1" xr3:uid="{619F81B3-038C-4FFC-AE4B-DCE6F1B482B8}" name="Item" totalsRowLabel="Average" dataDxfId="281" totalsRowDxfId="280"/>
    <tableColumn id="2" xr3:uid="{CC0C2825-C575-437C-A3FE-B78D4B6D06C3}" name="Calories" totalsRowFunction="custom" dataDxfId="279" totalsRowDxfId="278">
      <totalsRowFormula>SUBTOTAL(109,FriedRice3358[Calories])/FriedRice3358[[#Totals],[Measurement]]</totalsRowFormula>
    </tableColumn>
    <tableColumn id="3" xr3:uid="{E8432773-3965-4AEC-9E4B-A381A67F5E97}" name="Carbs" totalsRowFunction="custom" dataDxfId="277" totalsRowDxfId="276">
      <totalsRowFormula>SUBTOTAL(109,FriedRice3358[Carbs])/FriedRice3358[[#Totals],[Measurement]]</totalsRowFormula>
    </tableColumn>
    <tableColumn id="4" xr3:uid="{53EF7015-77A1-411A-8937-48A48C23532F}" name="Fat " totalsRowFunction="custom" dataDxfId="275" totalsRowDxfId="274">
      <totalsRowFormula>SUBTOTAL(109,FriedRice3358[[Fat ]])/FriedRice3358[[#Totals],[Measurement]]</totalsRowFormula>
    </tableColumn>
    <tableColumn id="5" xr3:uid="{B2144EF9-CEA4-425B-ACF6-6FD3BD801249}" name="Protein" totalsRowFunction="custom" dataDxfId="273" totalsRowDxfId="272">
      <totalsRowFormula>SUBTOTAL(109,FriedRice3358[Protein])/FriedRice3358[[#Totals],[Measurement]]</totalsRowFormula>
    </tableColumn>
    <tableColumn id="6" xr3:uid="{0DA33706-D66A-4DF5-AD45-CF2F33E5C7D3}" name="Fiber" totalsRowFunction="custom" dataDxfId="271" totalsRowDxfId="270">
      <totalsRowFormula>SUBTOTAL(109,FriedRice3358[Fiber])/FriedRice3358[[#Totals],[Measurement]]</totalsRowFormula>
    </tableColumn>
    <tableColumn id="7" xr3:uid="{EED3C7C1-8477-4448-B195-EEE122EDD9A2}" name="Sugar" totalsRowFunction="custom" dataDxfId="269" totalsRowDxfId="268">
      <totalsRowFormula>SUBTOTAL(109,FriedRice3358[Sugar])/FriedRice3358[[#Totals],[Measurement]]</totalsRowFormula>
    </tableColumn>
    <tableColumn id="8" xr3:uid="{C36BFE55-21B1-4102-B63E-3B992F074624}" name="Servings" totalsRowFunction="custom" dataDxfId="267" totalsRowDxfId="266">
      <totalsRowFormula>SUBTOTAL(109,FriedRice3358[Servings])/FriedRice3358[[#Totals],[Measurement]]</totalsRowFormula>
    </tableColumn>
    <tableColumn id="9" xr3:uid="{E7FEB4BB-80C0-41D2-9AA8-8856E631B675}" name="Measurement" totalsRowLabel="8" dataDxfId="265" totalsRowDxfId="264"/>
    <tableColumn id="10" xr3:uid="{0B21441B-5217-4F8E-88DF-49DAF987899F}" name="Test" dataDxfId="263" totalsRowDxfId="26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F84593-A155-4F2D-9C0C-FB7AB4671C2C}" name="Table273479" displayName="Table273479" ref="A50:H77" totalsRowCount="1" headerRowDxfId="261" tableBorderDxfId="260">
  <autoFilter ref="A50:H76" xr:uid="{FA975A83-2627-4B5E-B16A-63BF23BABFDF}"/>
  <tableColumns count="8">
    <tableColumn id="1" xr3:uid="{611BFC3E-D63B-4BE4-9687-17784B929D73}" name="Spice" totalsRowLabel="Total" dataDxfId="259" totalsRowDxfId="258"/>
    <tableColumn id="2" xr3:uid="{F766264A-53B5-43C3-87EA-8DDEE2EE3737}" name="Calories" totalsRowFunction="sum" dataDxfId="257" totalsRowDxfId="256"/>
    <tableColumn id="3" xr3:uid="{BDE8E1D1-80AB-44F2-9984-7FB5222824DF}" name="Carbs" totalsRowFunction="sum" dataDxfId="255" totalsRowDxfId="254"/>
    <tableColumn id="4" xr3:uid="{F3C8D2A4-AF3B-4AA3-94D9-A39653575357}" name="Fat" totalsRowFunction="sum" dataDxfId="253" totalsRowDxfId="252"/>
    <tableColumn id="5" xr3:uid="{5B7F4FF9-44C3-4B35-979F-14D7988CE7C2}" name="Protein" totalsRowFunction="sum" dataDxfId="251" totalsRowDxfId="250"/>
    <tableColumn id="6" xr3:uid="{89012E0E-FA32-4594-967F-FC7751E97C44}" name="Fiber" totalsRowFunction="sum" dataDxfId="249" totalsRowDxfId="248"/>
    <tableColumn id="7" xr3:uid="{E1E93DE3-9FA3-4537-84A2-9A70DE793F30}" name="Sugar" totalsRowFunction="sum" dataDxfId="247" totalsRowDxfId="246"/>
    <tableColumn id="8" xr3:uid="{AF8C646B-B2BA-41D7-85BD-53499495C682}" name="Serving by TSP" totalsRowFunction="sum" dataDxfId="245" totalsRowDxfId="24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B7C90D9-5DA4-4426-9F0F-DEFE2E5D4901}" name="HoneyChicken48" displayName="HoneyChicken48" ref="A1:J55" totalsRowCount="1" headerRowDxfId="243" dataDxfId="242">
  <autoFilter ref="A1:J54" xr:uid="{AFB601E8-8BB7-4641-BD58-48304727C705}"/>
  <tableColumns count="10">
    <tableColumn id="1" xr3:uid="{0D1812F5-132B-46E1-BE4C-C0CF5EC3ED7E}" name="Item" totalsRowLabel="Average" dataDxfId="241" totalsRowDxfId="240"/>
    <tableColumn id="2" xr3:uid="{6B65AC4C-AA7E-4061-A8F3-A24DB5C2BAC6}" name="Calories" totalsRowFunction="custom" dataDxfId="239" totalsRowDxfId="238">
      <totalsRowFormula>SUBTOTAL(109,HoneyChicken48[Calories])/HoneyChicken48[[#Totals],[Measurement]]</totalsRowFormula>
    </tableColumn>
    <tableColumn id="3" xr3:uid="{33B43216-9781-4EF9-8BAE-A9C66EA19322}" name="Carbs" totalsRowFunction="custom" dataDxfId="237" totalsRowDxfId="236">
      <totalsRowFormula>SUBTOTAL(109,HoneyChicken48[Carbs])/HoneyChicken48[[#Totals],[Measurement]]</totalsRowFormula>
    </tableColumn>
    <tableColumn id="4" xr3:uid="{36342989-AAED-4C5B-A473-A68BA8631991}" name="Fat " totalsRowFunction="custom" dataDxfId="235" totalsRowDxfId="234">
      <totalsRowFormula>SUBTOTAL(109,HoneyChicken48[[Fat ]])/HoneyChicken48[[#Totals],[Measurement]]</totalsRowFormula>
    </tableColumn>
    <tableColumn id="5" xr3:uid="{EF9C0DA1-9467-4386-B71A-F85732242035}" name="Protein" totalsRowFunction="custom" dataDxfId="233" totalsRowDxfId="232">
      <totalsRowFormula>SUBTOTAL(109,HoneyChicken48[Protein])/HoneyChicken48[[#Totals],[Measurement]]</totalsRowFormula>
    </tableColumn>
    <tableColumn id="6" xr3:uid="{1EC0CBBD-C63B-4766-86D5-5E84BDDCE829}" name="Fiber" totalsRowFunction="custom" dataDxfId="231" totalsRowDxfId="230">
      <totalsRowFormula>SUBTOTAL(109,HoneyChicken48[Fiber])/HoneyChicken48[[#Totals],[Measurement]]</totalsRowFormula>
    </tableColumn>
    <tableColumn id="7" xr3:uid="{EBB50BAD-4376-42E0-8454-39AB6B4404B9}" name="Sugar" totalsRowFunction="custom" dataDxfId="229" totalsRowDxfId="228">
      <totalsRowFormula>SUBTOTAL(109,HoneyChicken48[Sugar])/HoneyChicken48[[#Totals],[Measurement]]</totalsRowFormula>
    </tableColumn>
    <tableColumn id="8" xr3:uid="{0688D797-11F0-4AC2-BD46-6F0E88EDCC1A}" name="Servings" totalsRowFunction="custom" dataDxfId="227" totalsRowDxfId="226">
      <totalsRowFormula>SUBTOTAL(109,HoneyChicken48[Servings])/HoneyChicken48[[#Totals],[Measurement]]</totalsRowFormula>
    </tableColumn>
    <tableColumn id="9" xr3:uid="{DD351630-7A0B-484D-809D-A8E826174569}" name="Measurement" totalsRowLabel="6" dataDxfId="225" totalsRowDxfId="224"/>
    <tableColumn id="10" xr3:uid="{B30F73A8-61D9-44C1-8191-78580BDA561A}" name="Test" dataDxfId="223" totalsRowDxfId="22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5BEFE383-260B-447F-8319-D30591F71FD2}" name="Table273435364051" displayName="Table273435364051" ref="A57:H84" totalsRowCount="1" headerRowDxfId="221" tableBorderDxfId="220">
  <autoFilter ref="A57:H83" xr:uid="{FA975A83-2627-4B5E-B16A-63BF23BABFDF}"/>
  <tableColumns count="8">
    <tableColumn id="1" xr3:uid="{BFDDD274-C9F5-480A-9732-37A4C615A2AA}" name="Spice" totalsRowLabel="Total" dataDxfId="219" totalsRowDxfId="218"/>
    <tableColumn id="2" xr3:uid="{BA14D44A-506D-446F-A59D-4CDA692F670C}" name="Calories" totalsRowFunction="sum" dataDxfId="217" totalsRowDxfId="216"/>
    <tableColumn id="3" xr3:uid="{F36BBEC6-ABEB-429A-9B34-C4E5EEE7E2E9}" name="Carbs" totalsRowFunction="sum" dataDxfId="215" totalsRowDxfId="214"/>
    <tableColumn id="4" xr3:uid="{80CCC2EA-2FBE-4F15-81C3-CC6F5A82F7CF}" name="Fat" totalsRowFunction="sum" dataDxfId="213" totalsRowDxfId="212"/>
    <tableColumn id="5" xr3:uid="{E32267CD-E82A-42E8-9809-708065CA63BD}" name="Protein" totalsRowFunction="sum" dataDxfId="211" totalsRowDxfId="210"/>
    <tableColumn id="6" xr3:uid="{7550A9C6-BF8B-4F8E-9B17-44C0382EB481}" name="Fiber" totalsRowFunction="sum" dataDxfId="209" totalsRowDxfId="208"/>
    <tableColumn id="7" xr3:uid="{0DC86500-E45A-447B-8422-1E20F1894560}" name="Sugar" totalsRowFunction="sum" dataDxfId="207" totalsRowDxfId="206"/>
    <tableColumn id="8" xr3:uid="{E3B05B08-5F58-4C8D-A23D-980CB0BD871D}" name="Serving by TSP" totalsRowFunction="sum" dataDxfId="205" totalsRowDxfId="20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1A92596-DA7B-4577-BCE7-5C37E08CC8DC}" name="FriedRice3331" displayName="FriedRice3331" ref="A1:J48" totalsRowCount="1" headerRowDxfId="203" dataDxfId="202">
  <autoFilter ref="A1:J47" xr:uid="{AFB601E8-8BB7-4641-BD58-48304727C705}"/>
  <tableColumns count="10">
    <tableColumn id="1" xr3:uid="{965399E6-9F46-48EF-AF95-CD2D2BC798F5}" name="Item" totalsRowLabel="Average" dataDxfId="201" totalsRowDxfId="200"/>
    <tableColumn id="2" xr3:uid="{5D4567B4-2EDC-4AA8-968A-F9C99305BE1B}" name="Calories" totalsRowFunction="custom" dataDxfId="199" totalsRowDxfId="198">
      <totalsRowFormula>SUBTOTAL(109,FriedRice3331[Calories])/FriedRice3331[[#Totals],[Measurement]]</totalsRowFormula>
    </tableColumn>
    <tableColumn id="3" xr3:uid="{7BCD37C3-B25D-4C78-8F6E-389B95D360F1}" name="Carbs" totalsRowFunction="custom" dataDxfId="197" totalsRowDxfId="196">
      <totalsRowFormula>SUBTOTAL(109,FriedRice3331[Carbs])/FriedRice3331[[#Totals],[Measurement]]</totalsRowFormula>
    </tableColumn>
    <tableColumn id="4" xr3:uid="{4CE4D4D5-CDAC-4DCB-9AEA-62883D586835}" name="Fat " totalsRowFunction="custom" dataDxfId="195" totalsRowDxfId="194">
      <totalsRowFormula>SUBTOTAL(109,FriedRice3331[[Fat ]])/FriedRice3331[[#Totals],[Measurement]]</totalsRowFormula>
    </tableColumn>
    <tableColumn id="5" xr3:uid="{132D2417-091E-4DEA-835A-F1B6D7842BCF}" name="Protein" totalsRowFunction="custom" dataDxfId="193" totalsRowDxfId="192">
      <totalsRowFormula>SUBTOTAL(109,FriedRice3331[Protein])/FriedRice3331[[#Totals],[Measurement]]</totalsRowFormula>
    </tableColumn>
    <tableColumn id="6" xr3:uid="{F9E4B32B-7B39-4745-9BBA-D2D9648CBF50}" name="Fiber" totalsRowFunction="custom" dataDxfId="191" totalsRowDxfId="190">
      <totalsRowFormula>SUBTOTAL(109,FriedRice3331[Fiber])/FriedRice3331[[#Totals],[Measurement]]</totalsRowFormula>
    </tableColumn>
    <tableColumn id="7" xr3:uid="{3C3EB88E-EF88-4296-B9BB-8C7DA6C05AFE}" name="Sugar" totalsRowFunction="custom" dataDxfId="189" totalsRowDxfId="188">
      <totalsRowFormula>SUBTOTAL(109,FriedRice3331[Sugar])/FriedRice3331[[#Totals],[Measurement]]</totalsRowFormula>
    </tableColumn>
    <tableColumn id="8" xr3:uid="{E1C051A0-E567-4F8B-B7DB-36CA31FA5FBD}" name="Servings" totalsRowFunction="custom" dataDxfId="187" totalsRowDxfId="186">
      <totalsRowFormula>SUBTOTAL(109,FriedRice3331[Servings])/FriedRice3331[[#Totals],[Measurement]]</totalsRowFormula>
    </tableColumn>
    <tableColumn id="9" xr3:uid="{0FF2A50D-C2BE-41D9-91BD-A1D48953F41E}" name="Measurement" totalsRowLabel="6" dataDxfId="185" totalsRowDxfId="184"/>
    <tableColumn id="10" xr3:uid="{9CA986C9-2F19-4D02-90C5-0033061F51F5}" name="Test" dataDxfId="183" totalsRowDxfId="18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64E9D32-E569-4274-8507-A817B71155CA}" name="Table273435" displayName="Table273435" ref="A50:H76" totalsRowCount="1" headerRowDxfId="181" tableBorderDxfId="180">
  <autoFilter ref="A50:H75" xr:uid="{FA975A83-2627-4B5E-B16A-63BF23BABFDF}"/>
  <tableColumns count="8">
    <tableColumn id="1" xr3:uid="{605EEDF7-71AA-446D-B3AA-12AA21C34389}" name="Spice" totalsRowLabel="Total" dataDxfId="179" totalsRowDxfId="178"/>
    <tableColumn id="2" xr3:uid="{DAE2D50E-BEEC-4305-B071-CA9551F6CB23}" name="Calories" totalsRowFunction="sum" dataDxfId="177" totalsRowDxfId="176"/>
    <tableColumn id="3" xr3:uid="{56E4DD91-437E-4922-8BC9-0736DDA3C804}" name="Carbs" totalsRowFunction="sum" dataDxfId="175" totalsRowDxfId="174"/>
    <tableColumn id="4" xr3:uid="{8A8D8B40-AA21-4376-ABE7-C83D96E0C1DC}" name="Fat" totalsRowFunction="sum" dataDxfId="173" totalsRowDxfId="172"/>
    <tableColumn id="5" xr3:uid="{687AA6B5-C9E0-4797-9855-AC57405A8A3D}" name="Protein" totalsRowFunction="sum" dataDxfId="171" totalsRowDxfId="170"/>
    <tableColumn id="6" xr3:uid="{2F16C0AC-8B85-4424-87EB-2C7DF5A9444A}" name="Fiber" totalsRowFunction="sum" dataDxfId="169" totalsRowDxfId="168"/>
    <tableColumn id="7" xr3:uid="{63B7F17F-D507-4857-847C-74A7D229EDBB}" name="Sugar" totalsRowFunction="sum" dataDxfId="167" totalsRowDxfId="166"/>
    <tableColumn id="8" xr3:uid="{25164748-A965-48F5-A672-19766E2E7E5E}" name="Serving by TSP" totalsRowFunction="sum" dataDxfId="165" totalsRowDxfId="16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152ACB8-6ED2-4A48-B410-B78735121124}" name="FriedRice33" displayName="FriedRice33" ref="A1:J46" totalsRowCount="1" headerRowDxfId="163" dataDxfId="162">
  <autoFilter ref="A1:J45" xr:uid="{AFB601E8-8BB7-4641-BD58-48304727C705}"/>
  <tableColumns count="10">
    <tableColumn id="1" xr3:uid="{22A2F459-B526-4D7A-ACC1-673AB4EBFFD3}" name="Item" totalsRowLabel="Average" dataDxfId="161" totalsRowDxfId="160"/>
    <tableColumn id="2" xr3:uid="{F160D07E-A8BF-4981-9540-CD24D6221915}" name="Calories" totalsRowFunction="custom" dataDxfId="159" totalsRowDxfId="158">
      <totalsRowFormula>SUBTOTAL(109,FriedRice33[Calories])/FriedRice33[[#Totals],[Measurement]]</totalsRowFormula>
    </tableColumn>
    <tableColumn id="3" xr3:uid="{75E2B559-CA1F-4509-8176-99A635C5AF71}" name="Carbs" totalsRowFunction="custom" dataDxfId="157" totalsRowDxfId="156">
      <totalsRowFormula>SUBTOTAL(109,FriedRice33[Carbs])/FriedRice33[[#Totals],[Measurement]]</totalsRowFormula>
    </tableColumn>
    <tableColumn id="4" xr3:uid="{20AAAD82-9482-40B5-8F64-9C4C89FB947A}" name="Fat " totalsRowFunction="custom" dataDxfId="155" totalsRowDxfId="154">
      <totalsRowFormula>SUBTOTAL(109,FriedRice33[[Fat ]])/FriedRice33[[#Totals],[Measurement]]</totalsRowFormula>
    </tableColumn>
    <tableColumn id="5" xr3:uid="{3A166987-A744-4B7C-9D03-658E2EC85352}" name="Protein" totalsRowFunction="custom" dataDxfId="153" totalsRowDxfId="152">
      <totalsRowFormula>SUBTOTAL(109,FriedRice33[Protein])/FriedRice33[[#Totals],[Measurement]]</totalsRowFormula>
    </tableColumn>
    <tableColumn id="6" xr3:uid="{BB5F3C07-936F-4BAE-BBCE-4FEEC897CEC7}" name="Fiber" totalsRowFunction="custom" dataDxfId="151" totalsRowDxfId="150">
      <totalsRowFormula>SUBTOTAL(109,FriedRice33[Fiber])/FriedRice33[[#Totals],[Measurement]]</totalsRowFormula>
    </tableColumn>
    <tableColumn id="7" xr3:uid="{553DDEF7-8C04-4060-A07C-4B7AA3A70929}" name="Sugar" totalsRowFunction="custom" dataDxfId="149" totalsRowDxfId="148">
      <totalsRowFormula>SUBTOTAL(109,FriedRice33[Sugar])/FriedRice33[[#Totals],[Measurement]]</totalsRowFormula>
    </tableColumn>
    <tableColumn id="8" xr3:uid="{2CCA8B3C-BD84-42F6-8D99-1494C8445AAB}" name="Servings" totalsRowFunction="custom" dataDxfId="147" totalsRowDxfId="146">
      <totalsRowFormula>SUBTOTAL(109,FriedRice33[Servings])/FriedRice33[[#Totals],[Measurement]]</totalsRowFormula>
    </tableColumn>
    <tableColumn id="9" xr3:uid="{A0D87264-33D6-430A-827A-68DC5DB77AF6}" name="Measurement" totalsRowLabel="6" dataDxfId="145" totalsRowDxfId="144"/>
    <tableColumn id="10" xr3:uid="{591BD32C-B39F-4EDE-B339-2543929346FB}" name="Test" dataDxfId="143" totalsRowDxfId="14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F550C06-728B-4D01-84A8-DE876068560B}" name="Table2734" displayName="Table2734" ref="A48:H74" totalsRowCount="1" headerRowDxfId="141" tableBorderDxfId="140">
  <autoFilter ref="A48:H73" xr:uid="{FA975A83-2627-4B5E-B16A-63BF23BABFDF}"/>
  <tableColumns count="8">
    <tableColumn id="1" xr3:uid="{612F14D4-AC4D-408B-B862-108E709935A1}" name="Spice" totalsRowLabel="Total" dataDxfId="139" totalsRowDxfId="138"/>
    <tableColumn id="2" xr3:uid="{89D1D972-1AC3-4BCF-864E-B4FC28325A1F}" name="Calories" totalsRowFunction="sum" dataDxfId="137" totalsRowDxfId="136"/>
    <tableColumn id="3" xr3:uid="{FE808660-575C-494C-A13D-D23EE78CD829}" name="Carbs" totalsRowFunction="sum" dataDxfId="135" totalsRowDxfId="134"/>
    <tableColumn id="4" xr3:uid="{0FA5BB86-D057-4249-A4B6-27DB6A173ABA}" name="Fat" totalsRowFunction="sum" dataDxfId="133" totalsRowDxfId="132"/>
    <tableColumn id="5" xr3:uid="{0066B2C5-15C3-485C-B275-671797B0241D}" name="Protein" totalsRowFunction="sum" dataDxfId="131" totalsRowDxfId="130"/>
    <tableColumn id="6" xr3:uid="{2D5856CA-8E2C-4290-B39A-0B5CD843F7A6}" name="Fiber" totalsRowFunction="sum" dataDxfId="129" totalsRowDxfId="128"/>
    <tableColumn id="7" xr3:uid="{7F3A2C9F-A5E7-452D-8DA6-297D879936A2}" name="Sugar" totalsRowFunction="sum" dataDxfId="127" totalsRowDxfId="126">
      <calculatedColumnFormula>0*$H49</calculatedColumnFormula>
    </tableColumn>
    <tableColumn id="8" xr3:uid="{401FF0C0-C5E0-4922-B98F-2D3E6152571B}" name="Serving by TSP" totalsRowFunction="sum" dataDxfId="125" totalsRowDxfId="124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E9CC05-FFF0-4500-B9FE-8C5077B7661F}" name="Soba" displayName="Soba" ref="A1:J40" totalsRowCount="1" headerRowDxfId="123" dataDxfId="122">
  <autoFilter ref="A1:J39" xr:uid="{AFB601E8-8BB7-4641-BD58-48304727C705}"/>
  <tableColumns count="10">
    <tableColumn id="1" xr3:uid="{7CD4F340-CB07-4306-8347-D3A98B52056D}" name="Item" totalsRowLabel="Average" dataDxfId="121" totalsRowDxfId="120"/>
    <tableColumn id="2" xr3:uid="{733A66EB-45D7-4200-982C-6F4C566B9715}" name="Calories" totalsRowFunction="custom" dataDxfId="119" totalsRowDxfId="118">
      <totalsRowFormula>SUBTOTAL(109,Soba[Calories])/Soba[[#Totals],[Measurement]]</totalsRowFormula>
    </tableColumn>
    <tableColumn id="3" xr3:uid="{3D4B2DB1-C6AA-4959-9F2C-9F70D6895769}" name="Carbs" totalsRowFunction="custom" dataDxfId="117" totalsRowDxfId="116">
      <totalsRowFormula>SUBTOTAL(109,Soba[Carbs])/Soba[[#Totals],[Measurement]]</totalsRowFormula>
    </tableColumn>
    <tableColumn id="4" xr3:uid="{6A51A830-97CA-4F03-AAA5-10C58864F87B}" name="Fat " totalsRowFunction="custom" dataDxfId="115" totalsRowDxfId="114">
      <totalsRowFormula>SUBTOTAL(109,Soba[[Fat ]])/Soba[[#Totals],[Measurement]]</totalsRowFormula>
    </tableColumn>
    <tableColumn id="5" xr3:uid="{9AC5242A-FEC2-41EA-8B58-EA7F0D31C395}" name="Protein" totalsRowFunction="custom" dataDxfId="113" totalsRowDxfId="112">
      <totalsRowFormula>SUBTOTAL(109,Soba[Protein])/Soba[[#Totals],[Measurement]]</totalsRowFormula>
    </tableColumn>
    <tableColumn id="6" xr3:uid="{A50D8AD4-69C1-4764-8033-DDF4E9E1CC63}" name="Fiber" totalsRowFunction="custom" dataDxfId="111" totalsRowDxfId="110">
      <totalsRowFormula>SUBTOTAL(109,Soba[Fiber])/Soba[[#Totals],[Measurement]]</totalsRowFormula>
    </tableColumn>
    <tableColumn id="7" xr3:uid="{D6D55CC7-C5F4-4685-87B4-E1E215AAD66F}" name="Sugar" totalsRowFunction="custom" dataDxfId="109" totalsRowDxfId="108">
      <totalsRowFormula>SUBTOTAL(109,Soba[Sugar])/Soba[[#Totals],[Measurement]]</totalsRowFormula>
    </tableColumn>
    <tableColumn id="8" xr3:uid="{E1222FB4-62BC-4E66-808C-F6F0CE38AC3F}" name="Servings" totalsRowFunction="custom" dataDxfId="107" totalsRowDxfId="106">
      <totalsRowFormula>SUBTOTAL(109,Soba[Servings])/Soba[[#Totals],[Measurement]]</totalsRowFormula>
    </tableColumn>
    <tableColumn id="9" xr3:uid="{B2ABB3A6-0B89-4EEB-B492-30641F60CE9F}" name="Measurement" totalsRowLabel="1" dataDxfId="105" totalsRowDxfId="104"/>
    <tableColumn id="10" xr3:uid="{69EF9A4C-3B7B-4878-BB9D-31CDB373C2A3}" name="Test" dataDxfId="103" totalsRowDxfId="10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99B9999-9881-4D05-A210-709D3C9976FB}" name="Table27343536" displayName="Table27343536" ref="A42:H68" totalsRowCount="1" headerRowDxfId="101" tableBorderDxfId="100">
  <autoFilter ref="A42:H67" xr:uid="{FA975A83-2627-4B5E-B16A-63BF23BABFDF}"/>
  <tableColumns count="8">
    <tableColumn id="1" xr3:uid="{E76FA8E1-2D71-4347-BA7D-B9D068248DBA}" name="Spice" totalsRowLabel="Total" dataDxfId="99" totalsRowDxfId="98"/>
    <tableColumn id="2" xr3:uid="{89211236-4601-4EEB-B183-AE712DDE9CB2}" name="Calories" totalsRowFunction="sum" dataDxfId="97" totalsRowDxfId="96"/>
    <tableColumn id="3" xr3:uid="{DCA4B544-9FC3-491E-ABA9-B79AC09493AF}" name="Carbs" totalsRowFunction="sum" dataDxfId="95" totalsRowDxfId="94"/>
    <tableColumn id="4" xr3:uid="{BF9A425A-05DF-491A-AD5A-64EA876FAD2B}" name="Fat" totalsRowFunction="sum" dataDxfId="93" totalsRowDxfId="92"/>
    <tableColumn id="5" xr3:uid="{265EB1DE-E9DE-4553-8A21-C99FEA34A2B2}" name="Protein" totalsRowFunction="sum" dataDxfId="91" totalsRowDxfId="90"/>
    <tableColumn id="6" xr3:uid="{277D1B7A-F9CC-4F24-9B64-996A5BCDAB29}" name="Fiber" totalsRowFunction="sum" dataDxfId="89" totalsRowDxfId="88"/>
    <tableColumn id="7" xr3:uid="{9EDB4853-D3B4-4FE7-8F20-42F4E139FDE2}" name="Sugar" totalsRowFunction="sum" dataDxfId="87" totalsRowDxfId="86"/>
    <tableColumn id="8" xr3:uid="{616B4138-6069-480A-8C54-C27D1072A709}" name="Serving by TSP" totalsRowFunction="sum" dataDxfId="85" totalsRowDxfId="84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096C85D-0598-4B47-A3CD-ADF979099477}" name="Salad" displayName="Salad" ref="A1:J23" totalsRowCount="1" headerRowDxfId="83" dataDxfId="82">
  <autoFilter ref="A1:J22" xr:uid="{AFB601E8-8BB7-4641-BD58-48304727C705}"/>
  <tableColumns count="10">
    <tableColumn id="1" xr3:uid="{8BAA492C-6591-4AC8-9D30-1C11E42FED1F}" name="Item" totalsRowLabel="Average" dataDxfId="81" totalsRowDxfId="80"/>
    <tableColumn id="2" xr3:uid="{BB997918-74CA-4BA1-A9B1-3C7A9487A8FF}" name="Calories" totalsRowFunction="custom" dataDxfId="79" totalsRowDxfId="78">
      <totalsRowFormula>SUBTOTAL(109,Salad[Calories])/Salad[[#Totals],[Measurement]]</totalsRowFormula>
    </tableColumn>
    <tableColumn id="3" xr3:uid="{84C9C1E5-BE38-4814-87C8-B1F2795D6ED0}" name="Carbs" totalsRowFunction="custom" dataDxfId="77" totalsRowDxfId="76">
      <totalsRowFormula>SUBTOTAL(109,Salad[Carbs])/Salad[[#Totals],[Measurement]]</totalsRowFormula>
    </tableColumn>
    <tableColumn id="4" xr3:uid="{178ED3A7-B2A0-4D99-99F5-69E63B4920B3}" name="Fat " totalsRowFunction="custom" dataDxfId="75" totalsRowDxfId="74">
      <totalsRowFormula>SUBTOTAL(109,Salad[[Fat ]])/Salad[[#Totals],[Measurement]]</totalsRowFormula>
    </tableColumn>
    <tableColumn id="5" xr3:uid="{10E057B6-69E4-421C-99F6-ADE337BD6954}" name="Protein" totalsRowFunction="custom" dataDxfId="73" totalsRowDxfId="72">
      <totalsRowFormula>SUBTOTAL(109,Salad[Protein])/Salad[[#Totals],[Measurement]]</totalsRowFormula>
    </tableColumn>
    <tableColumn id="6" xr3:uid="{F83095DF-915E-4963-BAE1-EE1EC35DC7E5}" name="Fiber" totalsRowFunction="custom" dataDxfId="71" totalsRowDxfId="70">
      <totalsRowFormula>SUBTOTAL(109,Salad[Fiber])/Salad[[#Totals],[Measurement]]</totalsRowFormula>
    </tableColumn>
    <tableColumn id="7" xr3:uid="{7624DC7B-BAE5-403F-8A82-08F2218B4EE3}" name="Sugar" totalsRowFunction="custom" dataDxfId="69" totalsRowDxfId="68">
      <totalsRowFormula>SUBTOTAL(109,Salad[Sugar])/Salad[[#Totals],[Measurement]]</totalsRowFormula>
    </tableColumn>
    <tableColumn id="8" xr3:uid="{A4E79091-D994-4204-951E-658DF0E3B0A5}" name="Servings" totalsRowFunction="custom" dataDxfId="67" totalsRowDxfId="66">
      <totalsRowFormula>SUBTOTAL(109,Salad[Servings])/Salad[[#Totals],[Measurement]]</totalsRowFormula>
    </tableColumn>
    <tableColumn id="9" xr3:uid="{4B16B2BD-E942-44DC-942E-33837EC46812}" name="Measurement" totalsRowLabel="1" dataDxfId="65" totalsRowDxfId="64"/>
    <tableColumn id="10" xr3:uid="{7EF99520-9E91-408D-A81B-D32744F53F65}" name="Test" dataDxfId="63" totalsRowDxfId="62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01AB161-6232-441D-AF03-4828E077B907}" name="Table38" displayName="Table38" ref="A25:H50" totalsRowCount="1" headerRowDxfId="61" dataDxfId="59" headerRowBorderDxfId="60">
  <autoFilter ref="A25:H49" xr:uid="{601AB161-6232-441D-AF03-4828E077B907}"/>
  <tableColumns count="8">
    <tableColumn id="1" xr3:uid="{83E2186C-1DEB-4A70-95FD-87892ED392F4}" name="Spice" totalsRowLabel="Total" dataDxfId="58" totalsRowDxfId="57"/>
    <tableColumn id="2" xr3:uid="{B673DEF8-CF80-4728-9937-28D03951187A}" name="Calories" totalsRowFunction="sum" dataDxfId="56" totalsRowDxfId="55"/>
    <tableColumn id="3" xr3:uid="{4AC55825-5F5E-4222-B71B-47760A21C8A0}" name="Carbs" totalsRowFunction="sum" dataDxfId="54" totalsRowDxfId="53"/>
    <tableColumn id="4" xr3:uid="{5DEEA4EE-4645-40F2-9F72-E9BF9EC109B5}" name="Fat" totalsRowFunction="sum" dataDxfId="52" totalsRowDxfId="51"/>
    <tableColumn id="5" xr3:uid="{3E584028-F964-4914-B1A4-624E901AE22A}" name="Protein" totalsRowFunction="sum" dataDxfId="50" totalsRowDxfId="49"/>
    <tableColumn id="6" xr3:uid="{E1DC7FE7-BD8C-403C-A6EF-E696ADE313FC}" name="Fiber" totalsRowFunction="sum" dataDxfId="48" totalsRowDxfId="47"/>
    <tableColumn id="7" xr3:uid="{D525C9E2-D40E-4BC9-9B54-2137DBE8F8DA}" name="Sugar" totalsRowFunction="sum" dataDxfId="46" totalsRowDxfId="45"/>
    <tableColumn id="8" xr3:uid="{9EF47F21-9CFB-47E8-AC2F-2EA34CC2E8EB}" name="Serving by TSP" totalsRowFunction="sum" dataDxfId="44" totalsRowDxfId="43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5B2F7E-AF82-4A64-B4BF-FB5A1511824B}" name="BurgersSpice" displayName="BurgersSpice" ref="A26:H51" totalsRowCount="1" headerRowDxfId="42" dataDxfId="40" headerRowBorderDxfId="41" tableBorderDxfId="39" totalsRowBorderDxfId="38">
  <autoFilter ref="A26:H50" xr:uid="{EB5B2F7E-AF82-4A64-B4BF-FB5A1511824B}"/>
  <tableColumns count="8">
    <tableColumn id="1" xr3:uid="{C64AFE19-FB04-4470-9B9E-5AB4B67D4FE6}" name="Spice" totalsRowLabel="Total" dataDxfId="37" totalsRowDxfId="36"/>
    <tableColumn id="2" xr3:uid="{3C668149-33B6-40E1-AFB4-B1D2CAE623FD}" name="Calories" totalsRowFunction="sum" dataDxfId="35" totalsRowDxfId="34"/>
    <tableColumn id="3" xr3:uid="{6478A66C-17DB-4F75-9671-810C466EB9A8}" name="Carbs" totalsRowFunction="sum" dataDxfId="33" totalsRowDxfId="32"/>
    <tableColumn id="4" xr3:uid="{8878342B-768F-4B8D-9751-80EA0E02229C}" name="Fat" totalsRowFunction="sum" dataDxfId="31" totalsRowDxfId="30"/>
    <tableColumn id="5" xr3:uid="{E1370823-9244-4017-A623-8E7A7A4160BF}" name="Protein" totalsRowFunction="sum" dataDxfId="29" totalsRowDxfId="28"/>
    <tableColumn id="6" xr3:uid="{45092D5A-651B-40D5-AE6D-8BA81D2E11A6}" name="Fiber" totalsRowFunction="sum" dataDxfId="27" totalsRowDxfId="26"/>
    <tableColumn id="7" xr3:uid="{777C088C-B469-4FCE-98FE-A75CB72BB3EC}" name="Sugar" totalsRowFunction="sum" dataDxfId="25" totalsRowDxfId="24"/>
    <tableColumn id="8" xr3:uid="{3992A6F8-178D-41F7-BB08-321DF8BCF8A0}" name="Serving by TSP" totalsRowFunction="sum" dataDxfId="23" totalsRowDxfId="22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63F616-E07C-41B6-958D-E733D7D518DE}" name="Burgers" displayName="Burgers" ref="A1:J24" totalsRowCount="1" headerRowDxfId="21" dataDxfId="20">
  <autoFilter ref="A1:J23" xr:uid="{5963F616-E07C-41B6-958D-E733D7D518DE}"/>
  <tableColumns count="10">
    <tableColumn id="1" xr3:uid="{CB781203-083C-448D-BD1E-6CED39B72986}" name="Item" totalsRowLabel="Average" dataDxfId="19" totalsRowDxfId="18"/>
    <tableColumn id="2" xr3:uid="{3C1DD298-E936-46A4-BE9A-42B12372C55A}" name="Calories" totalsRowFunction="custom" dataDxfId="17" totalsRowDxfId="16">
      <totalsRowFormula>SUBTOTAL(109,Burgers[Calories])/Burgers[[#Totals],[Measurement]]</totalsRowFormula>
    </tableColumn>
    <tableColumn id="3" xr3:uid="{2DAAE2DC-5C6E-4E5A-ABCB-D7EBD97A8C80}" name="Carbs" totalsRowFunction="custom" dataDxfId="15" totalsRowDxfId="14">
      <totalsRowFormula>SUBTOTAL(109,Burgers[Carbs])/Burgers[[#Totals],[Measurement]]</totalsRowFormula>
    </tableColumn>
    <tableColumn id="4" xr3:uid="{656E120B-B004-435F-8C17-0E0980343FFA}" name="Fat " totalsRowFunction="custom" dataDxfId="13" totalsRowDxfId="12">
      <totalsRowFormula>SUBTOTAL(109,Burgers[[Fat ]])/Burgers[[#Totals],[Measurement]]</totalsRowFormula>
    </tableColumn>
    <tableColumn id="5" xr3:uid="{F7ABA5E2-FC36-4785-86A3-86D6339E3F91}" name="Protein" totalsRowFunction="custom" dataDxfId="11" totalsRowDxfId="10">
      <totalsRowFormula>SUBTOTAL(109,Burgers[Protein])/Burgers[[#Totals],[Measurement]]</totalsRowFormula>
    </tableColumn>
    <tableColumn id="6" xr3:uid="{32FCD832-0A00-4C66-BFE9-82DEE655C4AA}" name="Fiber" totalsRowFunction="custom" dataDxfId="9" totalsRowDxfId="8">
      <totalsRowFormula>SUBTOTAL(109,Burgers[Fiber])/Burgers[[#Totals],[Measurement]]</totalsRowFormula>
    </tableColumn>
    <tableColumn id="7" xr3:uid="{5B85DBCB-7AE3-4444-A9DD-D3BC54B95ADD}" name="Sugar" totalsRowFunction="custom" dataDxfId="7" totalsRowDxfId="6">
      <totalsRowFormula>SUBTOTAL(109,Burgers[Sugar])/Burgers[[#Totals],[Measurement]]</totalsRowFormula>
    </tableColumn>
    <tableColumn id="8" xr3:uid="{1EFFF8FB-298F-4965-83EA-4A230F83E017}" name="Servings" totalsRowFunction="custom" dataDxfId="5" totalsRowDxfId="4">
      <totalsRowFormula>SUBTOTAL(109,Burgers[Servings])/Burgers[[#Totals],[Measurement]]</totalsRowFormula>
    </tableColumn>
    <tableColumn id="9" xr3:uid="{3F7C1C7F-2FAC-4150-AF45-57420B91E272}" name="Measurement" totalsRowLabel="1" dataDxfId="3" totalsRowDxfId="2"/>
    <tableColumn id="10" xr3:uid="{FD581D2E-DED8-4672-A7DD-748269B16F4F}" name="Test" dataDxfId="1" totalsRowDxfId="0">
      <calculatedColumnFormula>NOT(ISERROR(MATCH(A2,Index[Item],0)))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E0CB-CE88-4F23-AFDD-F1F9627FC3C4}">
  <sheetPr codeName="Sheet9"/>
  <dimension ref="A1:F13"/>
  <sheetViews>
    <sheetView workbookViewId="0">
      <selection activeCell="E10" sqref="E10"/>
    </sheetView>
  </sheetViews>
  <sheetFormatPr defaultColWidth="9.140625" defaultRowHeight="15.75" x14ac:dyDescent="0.25"/>
  <cols>
    <col min="1" max="1" width="13.7109375" style="37" customWidth="1"/>
    <col min="2" max="2" width="25.140625" style="37" customWidth="1"/>
    <col min="3" max="3" width="10.28515625" style="38" customWidth="1"/>
    <col min="4" max="4" width="11" style="39" customWidth="1"/>
    <col min="5" max="5" width="15.42578125" style="40" customWidth="1"/>
    <col min="6" max="6" width="17.28515625" style="37" customWidth="1"/>
    <col min="7" max="16384" width="9.140625" style="37"/>
  </cols>
  <sheetData>
    <row r="1" spans="1:6" x14ac:dyDescent="0.25">
      <c r="A1" s="37" t="s">
        <v>502</v>
      </c>
      <c r="B1" s="37" t="s">
        <v>503</v>
      </c>
      <c r="C1" s="38" t="s">
        <v>504</v>
      </c>
      <c r="D1" s="39" t="s">
        <v>505</v>
      </c>
      <c r="E1" s="40" t="s">
        <v>506</v>
      </c>
      <c r="F1" s="37" t="s">
        <v>38</v>
      </c>
    </row>
    <row r="2" spans="1:6" x14ac:dyDescent="0.25">
      <c r="A2" s="37" t="s">
        <v>507</v>
      </c>
      <c r="B2" s="37" t="s">
        <v>508</v>
      </c>
      <c r="C2" s="38">
        <v>30</v>
      </c>
      <c r="D2" s="39">
        <v>2.0833299999999999E-2</v>
      </c>
      <c r="E2" s="40">
        <f>C2*D2</f>
        <v>0.62499899999999997</v>
      </c>
      <c r="F2" s="37" t="s">
        <v>509</v>
      </c>
    </row>
    <row r="3" spans="1:6" x14ac:dyDescent="0.25">
      <c r="A3" s="37" t="s">
        <v>510</v>
      </c>
      <c r="B3" s="37" t="s">
        <v>511</v>
      </c>
      <c r="C3" s="38">
        <v>0.5</v>
      </c>
      <c r="D3" s="39">
        <v>48</v>
      </c>
      <c r="E3" s="40">
        <f>C3*D3</f>
        <v>24</v>
      </c>
      <c r="F3" s="37" t="s">
        <v>512</v>
      </c>
    </row>
    <row r="4" spans="1:6" x14ac:dyDescent="0.25">
      <c r="A4" s="37" t="s">
        <v>513</v>
      </c>
      <c r="B4" s="37" t="s">
        <v>514</v>
      </c>
      <c r="C4" s="38">
        <v>1</v>
      </c>
      <c r="D4" s="39">
        <v>0.16666700000000001</v>
      </c>
      <c r="E4" s="40">
        <f>C4*D4</f>
        <v>0.16666700000000001</v>
      </c>
      <c r="F4" s="37" t="s">
        <v>515</v>
      </c>
    </row>
    <row r="5" spans="1:6" x14ac:dyDescent="0.25">
      <c r="A5" s="37" t="s">
        <v>516</v>
      </c>
      <c r="B5" s="37" t="s">
        <v>517</v>
      </c>
      <c r="C5" s="38">
        <v>1</v>
      </c>
      <c r="D5" s="39">
        <v>6</v>
      </c>
      <c r="E5" s="40">
        <f t="shared" ref="E5:E13" si="0">C5*D5</f>
        <v>6</v>
      </c>
      <c r="F5" s="37" t="s">
        <v>512</v>
      </c>
    </row>
    <row r="6" spans="1:6" x14ac:dyDescent="0.25">
      <c r="A6" s="37" t="s">
        <v>518</v>
      </c>
      <c r="B6" s="37" t="s">
        <v>519</v>
      </c>
      <c r="C6" s="38">
        <v>28.5</v>
      </c>
      <c r="D6" s="39">
        <v>3.527396E-2</v>
      </c>
      <c r="E6" s="40">
        <f t="shared" si="0"/>
        <v>1.0053078600000001</v>
      </c>
      <c r="F6" s="37" t="s">
        <v>515</v>
      </c>
    </row>
    <row r="7" spans="1:6" x14ac:dyDescent="0.25">
      <c r="A7" s="37" t="s">
        <v>520</v>
      </c>
      <c r="B7" s="37" t="s">
        <v>521</v>
      </c>
      <c r="C7" s="38">
        <v>8.5</v>
      </c>
      <c r="D7" s="39">
        <v>28.349519999999998</v>
      </c>
      <c r="E7" s="40">
        <f t="shared" si="0"/>
        <v>240.97091999999998</v>
      </c>
      <c r="F7" s="37" t="s">
        <v>522</v>
      </c>
    </row>
    <row r="8" spans="1:6" x14ac:dyDescent="0.25">
      <c r="A8" s="37" t="s">
        <v>523</v>
      </c>
      <c r="B8" s="37" t="s">
        <v>524</v>
      </c>
      <c r="C8" s="38">
        <v>10</v>
      </c>
      <c r="D8" s="39">
        <v>3</v>
      </c>
      <c r="E8" s="40">
        <f t="shared" si="0"/>
        <v>30</v>
      </c>
      <c r="F8" s="37" t="s">
        <v>512</v>
      </c>
    </row>
    <row r="9" spans="1:6" x14ac:dyDescent="0.25">
      <c r="A9" s="37" t="s">
        <v>525</v>
      </c>
      <c r="B9" s="37" t="s">
        <v>526</v>
      </c>
      <c r="C9" s="38">
        <f>E3</f>
        <v>24</v>
      </c>
      <c r="D9" s="39">
        <f>1/3</f>
        <v>0.33333333333333331</v>
      </c>
      <c r="E9" s="40">
        <f t="shared" si="0"/>
        <v>8</v>
      </c>
      <c r="F9" s="37" t="s">
        <v>527</v>
      </c>
    </row>
    <row r="10" spans="1:6" x14ac:dyDescent="0.25">
      <c r="A10" s="37" t="s">
        <v>528</v>
      </c>
      <c r="B10" s="37" t="s">
        <v>529</v>
      </c>
      <c r="C10" s="38">
        <v>1</v>
      </c>
      <c r="D10" s="40">
        <f>1/240</f>
        <v>4.1666666666666666E-3</v>
      </c>
      <c r="E10" s="40">
        <f t="shared" si="0"/>
        <v>4.1666666666666666E-3</v>
      </c>
      <c r="F10" s="37" t="s">
        <v>509</v>
      </c>
    </row>
    <row r="11" spans="1:6" x14ac:dyDescent="0.25">
      <c r="A11" s="37" t="s">
        <v>530</v>
      </c>
      <c r="B11" s="37" t="s">
        <v>531</v>
      </c>
      <c r="C11" s="38">
        <v>1</v>
      </c>
      <c r="D11" s="39">
        <v>240</v>
      </c>
      <c r="E11" s="40">
        <f t="shared" si="0"/>
        <v>240</v>
      </c>
      <c r="F11" s="37" t="s">
        <v>522</v>
      </c>
    </row>
    <row r="12" spans="1:6" x14ac:dyDescent="0.25">
      <c r="A12" s="37" t="s">
        <v>532</v>
      </c>
      <c r="B12" s="37" t="s">
        <v>533</v>
      </c>
      <c r="C12" s="38">
        <v>1</v>
      </c>
      <c r="D12" s="37">
        <v>4.9289199999999997</v>
      </c>
      <c r="E12" s="40">
        <f t="shared" si="0"/>
        <v>4.9289199999999997</v>
      </c>
      <c r="F12" s="37" t="s">
        <v>522</v>
      </c>
    </row>
    <row r="13" spans="1:6" x14ac:dyDescent="0.25">
      <c r="A13" s="37" t="s">
        <v>534</v>
      </c>
      <c r="B13" s="37" t="s">
        <v>535</v>
      </c>
      <c r="C13" s="38">
        <v>1</v>
      </c>
      <c r="D13" s="39">
        <v>0.2</v>
      </c>
      <c r="E13" s="40">
        <f t="shared" si="0"/>
        <v>0.2</v>
      </c>
      <c r="F13" s="37" t="s">
        <v>512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72FB-500D-4F91-970F-F1C4A0348E17}">
  <sheetPr codeName="Sheet3"/>
  <dimension ref="A1:J29"/>
  <sheetViews>
    <sheetView workbookViewId="0"/>
  </sheetViews>
  <sheetFormatPr defaultColWidth="15.7109375" defaultRowHeight="20.100000000000001" customHeight="1" x14ac:dyDescent="0.3"/>
  <cols>
    <col min="1" max="1" width="23" style="2" customWidth="1"/>
    <col min="2" max="7" width="15.7109375" style="2"/>
    <col min="8" max="8" width="20.28515625" style="2" customWidth="1"/>
    <col min="9" max="16384" width="15.7109375" style="2"/>
  </cols>
  <sheetData>
    <row r="1" spans="1:10" ht="20.100000000000001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10" ht="20.100000000000001" customHeight="1" x14ac:dyDescent="0.3">
      <c r="A2" s="2" t="s">
        <v>8</v>
      </c>
      <c r="B2" s="5">
        <f>1.6*$H2</f>
        <v>0</v>
      </c>
      <c r="C2" s="5">
        <f>0.3*$H2</f>
        <v>0</v>
      </c>
      <c r="D2" s="5">
        <f>0*$H2</f>
        <v>0</v>
      </c>
      <c r="E2" s="5">
        <f>0.2*$H2</f>
        <v>0</v>
      </c>
      <c r="F2" s="5">
        <f>0.3*$H2</f>
        <v>0</v>
      </c>
      <c r="G2" s="5">
        <f>0*$H2</f>
        <v>0</v>
      </c>
      <c r="J2" s="2" t="b">
        <f>NOT(ISERROR(MATCH(A2,MexicanSpice[Spice],0)))</f>
        <v>1</v>
      </c>
    </row>
    <row r="3" spans="1:10" ht="39.75" customHeight="1" x14ac:dyDescent="0.3">
      <c r="A3" s="2" t="s">
        <v>9</v>
      </c>
      <c r="B3" s="5">
        <f>5.8*$H3</f>
        <v>11.6</v>
      </c>
      <c r="C3" s="5">
        <f>1.5*$H3</f>
        <v>3</v>
      </c>
      <c r="D3" s="5">
        <f>0.1*$H3</f>
        <v>0.2</v>
      </c>
      <c r="E3" s="5">
        <f>0.2*$H3</f>
        <v>0.4</v>
      </c>
      <c r="F3" s="5">
        <f>0.6*$H3</f>
        <v>1.2</v>
      </c>
      <c r="G3" s="5">
        <f>0*$H3</f>
        <v>0</v>
      </c>
      <c r="H3" s="2">
        <v>2</v>
      </c>
      <c r="J3" s="2" t="b">
        <f>NOT(ISERROR(MATCH(A3,MexicanSpice[Spice],0)))</f>
        <v>1</v>
      </c>
    </row>
    <row r="4" spans="1:10" ht="38.25" customHeight="1" x14ac:dyDescent="0.3">
      <c r="A4" s="2" t="s">
        <v>10</v>
      </c>
      <c r="B4" s="5">
        <f>7.6*$H4</f>
        <v>0</v>
      </c>
      <c r="C4" s="5">
        <f>1.3*$H4</f>
        <v>0</v>
      </c>
      <c r="D4" s="5">
        <f>0.4*$H4</f>
        <v>0</v>
      </c>
      <c r="E4" s="5">
        <f>0.4*$H4</f>
        <v>0</v>
      </c>
      <c r="F4" s="5">
        <f>0.9*$H4</f>
        <v>0</v>
      </c>
      <c r="G4" s="5">
        <f>0.2*$H4</f>
        <v>0</v>
      </c>
      <c r="J4" s="2" t="b">
        <f>NOT(ISERROR(MATCH(A4,MexicanSpice[Spice],0)))</f>
        <v>1</v>
      </c>
    </row>
    <row r="5" spans="1:10" ht="20.100000000000001" customHeight="1" x14ac:dyDescent="0.3">
      <c r="A5" s="2" t="s">
        <v>11</v>
      </c>
      <c r="B5" s="5">
        <f>48*$H5</f>
        <v>0</v>
      </c>
      <c r="C5" s="5">
        <f>8*$H5</f>
        <v>0</v>
      </c>
      <c r="D5" s="5">
        <f>0*$H5</f>
        <v>0</v>
      </c>
      <c r="E5" s="5">
        <f>0*$H5</f>
        <v>0</v>
      </c>
      <c r="F5" s="5">
        <f>0*$H5</f>
        <v>0</v>
      </c>
      <c r="G5" s="5">
        <f>0*$H5</f>
        <v>0</v>
      </c>
      <c r="J5" s="2" t="b">
        <f>NOT(ISERROR(MATCH(A5,MexicanSpice[Spice],0)))</f>
        <v>1</v>
      </c>
    </row>
    <row r="6" spans="1:10" ht="20.100000000000001" customHeight="1" x14ac:dyDescent="0.3">
      <c r="A6" s="2" t="s">
        <v>12</v>
      </c>
      <c r="B6" s="5">
        <f>6.4*$H6</f>
        <v>0</v>
      </c>
      <c r="C6" s="5">
        <f>2.1*$H6</f>
        <v>0</v>
      </c>
      <c r="D6" s="5">
        <f>0*$H5</f>
        <v>0</v>
      </c>
      <c r="E6" s="5">
        <f>0.1*$H6</f>
        <v>0</v>
      </c>
      <c r="F6" s="5">
        <f>1.4*$H6</f>
        <v>0</v>
      </c>
      <c r="G6" s="5">
        <f>0.1*$H6</f>
        <v>0</v>
      </c>
      <c r="J6" s="2" t="b">
        <f>NOT(ISERROR(MATCH(A6,MexicanSpice[Spice],0)))</f>
        <v>1</v>
      </c>
    </row>
    <row r="7" spans="1:10" ht="20.100000000000001" customHeight="1" x14ac:dyDescent="0.3">
      <c r="A7" s="2" t="s">
        <v>13</v>
      </c>
      <c r="B7" s="5">
        <f>1.7*$H7</f>
        <v>0</v>
      </c>
      <c r="C7" s="5">
        <f>0.3*$H7</f>
        <v>0</v>
      </c>
      <c r="D7" s="5">
        <f>0*$H7</f>
        <v>0</v>
      </c>
      <c r="E7" s="5">
        <f>0.1*$H7</f>
        <v>0</v>
      </c>
      <c r="F7" s="5">
        <f>0.1*$H7</f>
        <v>0</v>
      </c>
      <c r="G7" s="5">
        <f>0*$H7</f>
        <v>0</v>
      </c>
      <c r="J7" s="2" t="b">
        <f>NOT(ISERROR(MATCH(A7,MexicanSpice[Spice],0)))</f>
        <v>1</v>
      </c>
    </row>
    <row r="8" spans="1:10" ht="37.5" customHeight="1" x14ac:dyDescent="0.3">
      <c r="A8" s="2" t="s">
        <v>14</v>
      </c>
      <c r="B8" s="5">
        <f>5.7*$H8</f>
        <v>0</v>
      </c>
      <c r="C8" s="5">
        <f>1*$H8</f>
        <v>0</v>
      </c>
      <c r="D8" s="5">
        <f>0*$H8</f>
        <v>0</v>
      </c>
      <c r="E8" s="5">
        <f>0.2*$H8</f>
        <v>0</v>
      </c>
      <c r="F8" s="5">
        <f>0.5*$H8</f>
        <v>0</v>
      </c>
      <c r="G8" s="5">
        <f>0.2*$H8</f>
        <v>0</v>
      </c>
      <c r="J8" s="2" t="b">
        <f>NOT(ISERROR(MATCH(A8,MexicanSpice[Spice],0)))</f>
        <v>1</v>
      </c>
    </row>
    <row r="9" spans="1:10" ht="20.100000000000001" customHeight="1" x14ac:dyDescent="0.3">
      <c r="A9" s="2" t="s">
        <v>15</v>
      </c>
      <c r="B9" s="5">
        <f>7.6*$H9</f>
        <v>0</v>
      </c>
      <c r="C9" s="5">
        <f>0.9*$H9</f>
        <v>0</v>
      </c>
      <c r="D9" s="5">
        <f>0.5*$H9</f>
        <v>0</v>
      </c>
      <c r="E9" s="5">
        <f>0.4*$H9</f>
        <v>0</v>
      </c>
      <c r="F9" s="5">
        <f>0.2*$H9</f>
        <v>0</v>
      </c>
      <c r="G9" s="5">
        <f>0.1*$H9</f>
        <v>0</v>
      </c>
      <c r="J9" s="2" t="b">
        <f>NOT(ISERROR(MATCH(A9,MexicanSpice[Spice],0)))</f>
        <v>1</v>
      </c>
    </row>
    <row r="10" spans="1:10" ht="20.100000000000001" customHeight="1" x14ac:dyDescent="0.3">
      <c r="A10" s="2" t="s">
        <v>16</v>
      </c>
      <c r="B10" s="5">
        <f>(36/5)*$H10</f>
        <v>0</v>
      </c>
      <c r="C10" s="5">
        <f>(5/5)*$H10</f>
        <v>0</v>
      </c>
      <c r="D10" s="5">
        <f>(1.2/5)*$H10</f>
        <v>0</v>
      </c>
      <c r="E10" s="5">
        <f>(1.3/5)*$H10</f>
        <v>0</v>
      </c>
      <c r="F10" s="5">
        <f>(3/5)*$H10</f>
        <v>0</v>
      </c>
      <c r="G10" s="5">
        <f>(0.2/5)*$H10</f>
        <v>0</v>
      </c>
      <c r="J10" s="2" t="b">
        <f>NOT(ISERROR(MATCH(A10,MexicanSpice[Spice],0)))</f>
        <v>1</v>
      </c>
    </row>
    <row r="11" spans="1:10" ht="20.100000000000001" customHeight="1" x14ac:dyDescent="0.3">
      <c r="A11" s="2" t="s">
        <v>17</v>
      </c>
      <c r="B11" s="5">
        <f>5*$H11</f>
        <v>0</v>
      </c>
      <c r="C11" s="5">
        <f>1*$H11</f>
        <v>0</v>
      </c>
      <c r="D11" s="5">
        <f>0*$H11</f>
        <v>0</v>
      </c>
      <c r="E11" s="5">
        <f>0*$H11</f>
        <v>0</v>
      </c>
      <c r="F11" s="5">
        <f>0*$H11</f>
        <v>0</v>
      </c>
      <c r="G11" s="5">
        <f>0*$H11</f>
        <v>0</v>
      </c>
      <c r="J11" s="2" t="b">
        <f>NOT(ISERROR(MATCH(A11,MexicanSpice[Spice],0)))</f>
        <v>1</v>
      </c>
    </row>
    <row r="12" spans="1:10" ht="20.100000000000001" customHeight="1" x14ac:dyDescent="0.3">
      <c r="A12" s="2" t="s">
        <v>18</v>
      </c>
      <c r="B12" s="5">
        <f>10*$H12</f>
        <v>0</v>
      </c>
      <c r="C12" s="5">
        <f>2.3*$H12</f>
        <v>0</v>
      </c>
      <c r="D12" s="5">
        <f>0*$H12</f>
        <v>0</v>
      </c>
      <c r="E12" s="5">
        <f>0.5*$H12</f>
        <v>0</v>
      </c>
      <c r="F12" s="5">
        <f>0.3*$H12</f>
        <v>0</v>
      </c>
      <c r="G12" s="5">
        <f>0.1*$H12</f>
        <v>0</v>
      </c>
      <c r="J12" s="2" t="b">
        <f>NOT(ISERROR(MATCH(A12,MexicanSpice[Spice],0)))</f>
        <v>1</v>
      </c>
    </row>
    <row r="13" spans="1:10" ht="20.100000000000001" customHeight="1" x14ac:dyDescent="0.3">
      <c r="A13" s="2" t="s">
        <v>19</v>
      </c>
      <c r="B13" s="5">
        <f>1.2*$H13</f>
        <v>2.4</v>
      </c>
      <c r="C13" s="5">
        <f>0.3*$H13</f>
        <v>0.6</v>
      </c>
      <c r="D13" s="5">
        <f>0*$H13</f>
        <v>0</v>
      </c>
      <c r="E13" s="5">
        <f>1*$H13</f>
        <v>2</v>
      </c>
      <c r="F13" s="5">
        <f>0*$H13</f>
        <v>0</v>
      </c>
      <c r="G13" s="5">
        <f>0*$H13</f>
        <v>0</v>
      </c>
      <c r="H13" s="2">
        <v>2</v>
      </c>
      <c r="J13" s="2" t="b">
        <f>NOT(ISERROR(MATCH(A13,MexicanSpice[Spice],0)))</f>
        <v>1</v>
      </c>
    </row>
    <row r="14" spans="1:10" ht="20.100000000000001" customHeight="1" x14ac:dyDescent="0.3">
      <c r="A14" s="2" t="s">
        <v>20</v>
      </c>
      <c r="B14" s="5">
        <f>6*$H14</f>
        <v>0</v>
      </c>
      <c r="C14" s="5">
        <f>1.3*$H14</f>
        <v>0</v>
      </c>
      <c r="D14" s="5">
        <f>0.1*$H14</f>
        <v>0</v>
      </c>
      <c r="E14" s="5">
        <f>0.2*$H14</f>
        <v>0</v>
      </c>
      <c r="F14" s="5">
        <f>0.3*$H14</f>
        <v>0</v>
      </c>
      <c r="G14" s="5">
        <f>0.1*$H14</f>
        <v>0</v>
      </c>
      <c r="J14" s="2" t="b">
        <f>NOT(ISERROR(MATCH(A14,MexicanSpice[Spice],0)))</f>
        <v>1</v>
      </c>
    </row>
    <row r="15" spans="1:10" ht="20.100000000000001" customHeight="1" x14ac:dyDescent="0.3">
      <c r="A15" s="2" t="s">
        <v>21</v>
      </c>
      <c r="B15" s="5">
        <f>2.2*$H15</f>
        <v>0</v>
      </c>
      <c r="C15" s="5">
        <f>0.5*$H15</f>
        <v>0</v>
      </c>
      <c r="D15" s="5">
        <f>0.1*$H15</f>
        <v>0</v>
      </c>
      <c r="E15" s="5">
        <f>0.1*$H15</f>
        <v>0</v>
      </c>
      <c r="F15" s="5">
        <f>0.3*$H15</f>
        <v>0</v>
      </c>
      <c r="G15" s="5">
        <f>0*$H15</f>
        <v>0</v>
      </c>
      <c r="J15" s="2" t="b">
        <f>NOT(ISERROR(MATCH(A15,MexicanSpice[Spice],0)))</f>
        <v>1</v>
      </c>
    </row>
    <row r="16" spans="1:10" ht="20.100000000000001" customHeight="1" x14ac:dyDescent="0.3">
      <c r="A16" s="2" t="s">
        <v>22</v>
      </c>
      <c r="B16" s="5">
        <f>0*$H16</f>
        <v>0</v>
      </c>
      <c r="C16" s="5">
        <f>0*$H16</f>
        <v>0</v>
      </c>
      <c r="D16" s="5">
        <f>0*$H16</f>
        <v>0</v>
      </c>
      <c r="E16" s="5">
        <f>0*$H16</f>
        <v>0</v>
      </c>
      <c r="F16" s="5">
        <f>0*$H16</f>
        <v>0</v>
      </c>
      <c r="G16" s="5">
        <f>0*$H16</f>
        <v>0</v>
      </c>
      <c r="J16" s="2" t="b">
        <f>NOT(ISERROR(MATCH(A16,MexicanSpice[Spice],0)))</f>
        <v>1</v>
      </c>
    </row>
    <row r="17" spans="1:10" ht="20.100000000000001" customHeight="1" x14ac:dyDescent="0.3">
      <c r="A17" s="2" t="s">
        <v>23</v>
      </c>
      <c r="B17" s="5">
        <f>8.2*$H17</f>
        <v>0</v>
      </c>
      <c r="C17" s="5">
        <f>1.9*$H17</f>
        <v>0</v>
      </c>
      <c r="D17" s="5">
        <f>0*$H17</f>
        <v>0</v>
      </c>
      <c r="E17" s="5">
        <f>0.3*$H17</f>
        <v>0</v>
      </c>
      <c r="F17" s="5">
        <f>0.4*$H17</f>
        <v>0</v>
      </c>
      <c r="G17" s="5">
        <f>0.2*$H17</f>
        <v>0</v>
      </c>
      <c r="J17" s="2" t="b">
        <f>NOT(ISERROR(MATCH(A17,MexicanSpice[Spice],0)))</f>
        <v>1</v>
      </c>
    </row>
    <row r="18" spans="1:10" ht="20.100000000000001" customHeight="1" x14ac:dyDescent="0.3">
      <c r="A18" s="2" t="s">
        <v>24</v>
      </c>
      <c r="B18" s="5">
        <f>2.7*$H18</f>
        <v>0</v>
      </c>
      <c r="C18" s="5">
        <f>0.7*$H18</f>
        <v>0</v>
      </c>
      <c r="D18" s="5">
        <f>0*$H18</f>
        <v>0</v>
      </c>
      <c r="E18" s="5">
        <f>0.1*$H18</f>
        <v>0</v>
      </c>
      <c r="F18" s="5">
        <f>0.4*$H18</f>
        <v>0</v>
      </c>
      <c r="G18" s="5">
        <f>0*$H18</f>
        <v>0</v>
      </c>
      <c r="J18" s="2" t="b">
        <f>NOT(ISERROR(MATCH(A18,MexicanSpice[Spice],0)))</f>
        <v>1</v>
      </c>
    </row>
    <row r="19" spans="1:10" ht="20.100000000000001" customHeight="1" x14ac:dyDescent="0.3">
      <c r="A19" s="2" t="s">
        <v>25</v>
      </c>
      <c r="B19" s="5">
        <f>6.5*$H19</f>
        <v>0</v>
      </c>
      <c r="C19" s="5">
        <f>1.2*$H19</f>
        <v>0</v>
      </c>
      <c r="D19" s="5">
        <f>0.3*$H19</f>
        <v>0</v>
      </c>
      <c r="E19" s="5">
        <f>0.3*$H19</f>
        <v>0</v>
      </c>
      <c r="F19" s="5">
        <f>0.8*$H19</f>
        <v>0</v>
      </c>
      <c r="G19" s="5">
        <f>0.2*$H19</f>
        <v>0</v>
      </c>
      <c r="J19" s="2" t="b">
        <f>NOT(ISERROR(MATCH(A19,MexicanSpice[Spice],0)))</f>
        <v>1</v>
      </c>
    </row>
    <row r="20" spans="1:10" ht="20.100000000000001" customHeight="1" x14ac:dyDescent="0.3">
      <c r="A20" s="2" t="s">
        <v>26</v>
      </c>
      <c r="B20" s="5">
        <f>1.5*$H20</f>
        <v>0</v>
      </c>
      <c r="C20" s="5">
        <f>0.3*$H20</f>
        <v>0</v>
      </c>
      <c r="D20" s="5">
        <f>0*$H20</f>
        <v>0</v>
      </c>
      <c r="E20" s="5">
        <f>0.1*$H20</f>
        <v>0</v>
      </c>
      <c r="F20" s="5">
        <f>0.1*$H20</f>
        <v>0</v>
      </c>
      <c r="G20" s="5">
        <f>0*$H20</f>
        <v>0</v>
      </c>
      <c r="J20" s="2" t="b">
        <f>NOT(ISERROR(MATCH(A20,MexicanSpice[Spice],0)))</f>
        <v>1</v>
      </c>
    </row>
    <row r="21" spans="1:10" ht="20.100000000000001" customHeight="1" x14ac:dyDescent="0.3">
      <c r="A21" s="2" t="s">
        <v>27</v>
      </c>
      <c r="B21" s="5">
        <f>5.7*$H21</f>
        <v>0</v>
      </c>
      <c r="C21" s="5">
        <f>1*$H21</f>
        <v>0</v>
      </c>
      <c r="D21" s="5">
        <f>0.3*$H21</f>
        <v>0</v>
      </c>
      <c r="E21" s="5">
        <f>0.2*$H21</f>
        <v>0</v>
      </c>
      <c r="F21" s="5">
        <f>0.5*$H21</f>
        <v>0</v>
      </c>
      <c r="G21" s="5">
        <f>0.2*$H21</f>
        <v>0</v>
      </c>
      <c r="J21" s="2" t="b">
        <f>NOT(ISERROR(MATCH(A21,MexicanSpice[Spice],0)))</f>
        <v>1</v>
      </c>
    </row>
    <row r="22" spans="1:10" ht="20.100000000000001" customHeight="1" x14ac:dyDescent="0.3">
      <c r="A22" s="2" t="s">
        <v>28</v>
      </c>
      <c r="B22" s="5">
        <f t="shared" ref="B22:G22" si="0">0*$H22</f>
        <v>0</v>
      </c>
      <c r="C22" s="5">
        <f t="shared" si="0"/>
        <v>0</v>
      </c>
      <c r="D22" s="5">
        <f t="shared" si="0"/>
        <v>0</v>
      </c>
      <c r="E22" s="5">
        <f t="shared" si="0"/>
        <v>0</v>
      </c>
      <c r="F22" s="5">
        <f t="shared" si="0"/>
        <v>0</v>
      </c>
      <c r="G22" s="5">
        <f t="shared" si="0"/>
        <v>0</v>
      </c>
      <c r="J22" s="2" t="b">
        <f>NOT(ISERROR(MATCH(A22,MexicanSpice[Spice],0)))</f>
        <v>1</v>
      </c>
    </row>
    <row r="23" spans="1:10" ht="20.100000000000001" customHeight="1" x14ac:dyDescent="0.3">
      <c r="A23" s="2" t="s">
        <v>29</v>
      </c>
      <c r="B23" s="5">
        <f>2.5*$H23</f>
        <v>0</v>
      </c>
      <c r="C23" s="5">
        <f>0.6*$H23</f>
        <v>0</v>
      </c>
      <c r="D23" s="5">
        <f>0.1*$H23</f>
        <v>0</v>
      </c>
      <c r="E23" s="5">
        <f>0.1*$H23</f>
        <v>0</v>
      </c>
      <c r="F23" s="5">
        <f>0.3*$H23</f>
        <v>0</v>
      </c>
      <c r="G23" s="5">
        <f t="shared" ref="G23:G28" si="1">0*$H23</f>
        <v>0</v>
      </c>
      <c r="J23" s="2" t="b">
        <f>NOT(ISERROR(MATCH(A23,MexicanSpice[Spice],0)))</f>
        <v>1</v>
      </c>
    </row>
    <row r="24" spans="1:10" ht="20.100000000000001" customHeight="1" x14ac:dyDescent="0.3">
      <c r="A24" s="2" t="s">
        <v>30</v>
      </c>
      <c r="B24" s="5">
        <f>4*$H24</f>
        <v>0</v>
      </c>
      <c r="C24" s="5">
        <f>1*$H24</f>
        <v>0</v>
      </c>
      <c r="D24" s="5">
        <f t="shared" ref="D24:F25" si="2">0*$H24</f>
        <v>0</v>
      </c>
      <c r="E24" s="5">
        <f t="shared" si="2"/>
        <v>0</v>
      </c>
      <c r="F24" s="5">
        <f t="shared" si="2"/>
        <v>0</v>
      </c>
      <c r="G24" s="5">
        <f t="shared" si="1"/>
        <v>0</v>
      </c>
      <c r="J24" s="2" t="b">
        <f>NOT(ISERROR(MATCH(A24,MexicanSpice[Spice],0)))</f>
        <v>0</v>
      </c>
    </row>
    <row r="25" spans="1:10" ht="20.100000000000001" customHeight="1" x14ac:dyDescent="0.3">
      <c r="A25" s="2" t="s">
        <v>31</v>
      </c>
      <c r="B25" s="5">
        <f>0*$H25</f>
        <v>0</v>
      </c>
      <c r="C25" s="5">
        <f>0*$H25</f>
        <v>0</v>
      </c>
      <c r="D25" s="5">
        <f t="shared" si="2"/>
        <v>0</v>
      </c>
      <c r="E25" s="5">
        <f t="shared" si="2"/>
        <v>0</v>
      </c>
      <c r="F25" s="5">
        <f t="shared" si="2"/>
        <v>0</v>
      </c>
      <c r="G25" s="5">
        <f t="shared" si="1"/>
        <v>0</v>
      </c>
      <c r="J25" s="2" t="b">
        <f>NOT(ISERROR(MATCH(A25,MexicanSpice[Spice],0)))</f>
        <v>1</v>
      </c>
    </row>
    <row r="26" spans="1:10" ht="20.100000000000001" customHeight="1" x14ac:dyDescent="0.3">
      <c r="A26" s="2" t="s">
        <v>632</v>
      </c>
      <c r="B26" s="5">
        <f>3.9*$H26</f>
        <v>0</v>
      </c>
      <c r="C26" s="5">
        <f>0.9*$H26</f>
        <v>0</v>
      </c>
      <c r="D26" s="5">
        <f>0.1*$H26</f>
        <v>0</v>
      </c>
      <c r="E26" s="5">
        <f>0.1*$H26</f>
        <v>0</v>
      </c>
      <c r="F26" s="5">
        <f>0.5*$H26</f>
        <v>0</v>
      </c>
      <c r="G26" s="5">
        <f t="shared" si="1"/>
        <v>0</v>
      </c>
      <c r="J26" s="2" t="b">
        <f>NOT(ISERROR(MATCH(A26,MexicanSpice[Spice],0)))</f>
        <v>0</v>
      </c>
    </row>
    <row r="27" spans="1:10" ht="20.100000000000001" customHeight="1" x14ac:dyDescent="0.3">
      <c r="A27" s="2" t="s">
        <v>32</v>
      </c>
      <c r="B27" s="5">
        <f>8*$H27</f>
        <v>0</v>
      </c>
      <c r="C27" s="5">
        <f>1.43*$H27</f>
        <v>0</v>
      </c>
      <c r="D27" s="5">
        <f>0.22*$H27</f>
        <v>0</v>
      </c>
      <c r="E27" s="5">
        <f>0.17*$H27</f>
        <v>0</v>
      </c>
      <c r="F27" s="5">
        <f>0.5*$H27</f>
        <v>0</v>
      </c>
      <c r="G27" s="5">
        <f t="shared" si="1"/>
        <v>0</v>
      </c>
      <c r="J27" s="2" t="b">
        <f>NOT(ISERROR(MATCH(A27,MexicanSpice[Spice],0)))</f>
        <v>0</v>
      </c>
    </row>
    <row r="28" spans="1:10" ht="20.100000000000001" customHeight="1" x14ac:dyDescent="0.3">
      <c r="A28" s="2" t="s">
        <v>33</v>
      </c>
      <c r="B28" s="5">
        <f>7.1*$H28</f>
        <v>0</v>
      </c>
      <c r="C28" s="5">
        <f>1.6*$H28</f>
        <v>0</v>
      </c>
      <c r="D28" s="5">
        <f>0.1*$H28</f>
        <v>0</v>
      </c>
      <c r="E28" s="5">
        <f>0.3*$H28</f>
        <v>0</v>
      </c>
      <c r="F28" s="5">
        <f>0.6*$H28</f>
        <v>0</v>
      </c>
      <c r="G28" s="5">
        <f t="shared" si="1"/>
        <v>0</v>
      </c>
      <c r="J28" s="2" t="b">
        <f>NOT(ISERROR(MATCH(A28,MexicanSpice[Spice],0)))</f>
        <v>1</v>
      </c>
    </row>
    <row r="29" spans="1:10" ht="20.100000000000001" customHeight="1" x14ac:dyDescent="0.3">
      <c r="A29" s="2" t="s">
        <v>34</v>
      </c>
      <c r="B29" s="5">
        <f>SUBTOTAL(109,Spice[Calories])</f>
        <v>14</v>
      </c>
      <c r="C29" s="5">
        <f>SUBTOTAL(109,Spice[Carbs])</f>
        <v>3.6</v>
      </c>
      <c r="D29" s="5">
        <f>SUBTOTAL(109,Spice[Fat])</f>
        <v>0.2</v>
      </c>
      <c r="E29" s="5">
        <f>SUBTOTAL(109,Spice[Protein])</f>
        <v>2.4</v>
      </c>
      <c r="F29" s="5">
        <f>SUBTOTAL(109,Spice[Fiber])</f>
        <v>1.2</v>
      </c>
      <c r="G29" s="5">
        <f>SUBTOTAL(109,Spice[Sugar])</f>
        <v>0</v>
      </c>
      <c r="H29" s="2">
        <f>SUBTOTAL(109,Spice[Serving by TSP])</f>
        <v>4</v>
      </c>
    </row>
  </sheetData>
  <pageMargins left="0.7" right="0.7" top="0.75" bottom="0.75" header="0.3" footer="0.3"/>
  <pageSetup orientation="portrait" r:id="rId1"/>
  <ignoredErrors>
    <ignoredError sqref="B15:F23 B3:F13" formula="1"/>
    <ignoredError sqref="G28 G4:G13 G25 G15:G23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3D643-AE17-4744-86B0-CF9DD0A4F722}">
  <sheetPr codeName="Sheet12"/>
  <dimension ref="A1:M432"/>
  <sheetViews>
    <sheetView workbookViewId="0">
      <selection activeCell="A2" sqref="A2"/>
    </sheetView>
  </sheetViews>
  <sheetFormatPr defaultColWidth="9.140625" defaultRowHeight="18.75" x14ac:dyDescent="0.3"/>
  <cols>
    <col min="1" max="1" width="32.85546875" style="34" customWidth="1"/>
    <col min="2" max="2" width="12.85546875" style="2" customWidth="1"/>
    <col min="3" max="3" width="10.85546875" style="2" customWidth="1"/>
    <col min="4" max="4" width="11.140625" style="2" customWidth="1"/>
    <col min="5" max="5" width="12.28515625" style="2" customWidth="1"/>
    <col min="6" max="6" width="10" style="2" customWidth="1"/>
    <col min="7" max="7" width="15.28515625" style="2" customWidth="1"/>
    <col min="8" max="8" width="17.85546875" style="2" customWidth="1"/>
    <col min="9" max="9" width="34.7109375" style="22" customWidth="1"/>
    <col min="10" max="10" width="8.140625" style="2" customWidth="1"/>
    <col min="11" max="11" width="20.140625" style="2" customWidth="1"/>
    <col min="12" max="12" width="25.7109375" style="2" customWidth="1"/>
    <col min="13" max="13" width="17.42578125" style="2" customWidth="1"/>
    <col min="14" max="16384" width="9.140625" style="2"/>
  </cols>
  <sheetData>
    <row r="1" spans="1:13" ht="18.75" customHeight="1" x14ac:dyDescent="0.3">
      <c r="A1" s="34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39</v>
      </c>
      <c r="K1" s="2" t="s">
        <v>40</v>
      </c>
      <c r="L1" s="2" t="s">
        <v>41</v>
      </c>
      <c r="M1" s="2" t="s">
        <v>42</v>
      </c>
    </row>
    <row r="2" spans="1:13" ht="30.75" customHeight="1" x14ac:dyDescent="0.4">
      <c r="B2" s="5"/>
      <c r="C2" s="5"/>
      <c r="D2" s="5"/>
      <c r="E2" s="5"/>
      <c r="F2" s="5"/>
      <c r="G2" s="63" t="s">
        <v>43</v>
      </c>
      <c r="J2" s="2">
        <v>0.01</v>
      </c>
      <c r="L2" s="5"/>
      <c r="M2" s="5"/>
    </row>
    <row r="3" spans="1:13" x14ac:dyDescent="0.3">
      <c r="A3" s="34" t="s">
        <v>44</v>
      </c>
      <c r="B3" s="5">
        <f>(Mexican!$B$60)*$H$3</f>
        <v>0</v>
      </c>
      <c r="C3" s="5">
        <f>(Mexican!$C$60)*$H$3</f>
        <v>0</v>
      </c>
      <c r="D3" s="5">
        <f>(Mexican!$D$60)*$H$3</f>
        <v>0</v>
      </c>
      <c r="E3" s="5">
        <f>(Mexican!$E$60)*$H$3</f>
        <v>0</v>
      </c>
      <c r="F3" s="5">
        <f>(Mexican!$F$60)*$H$3</f>
        <v>0</v>
      </c>
      <c r="G3" s="5">
        <f>(Mexican!$G$60)*$H$3</f>
        <v>0</v>
      </c>
      <c r="I3" s="22" t="str">
        <f>_xlfn.CONCAT("1 of ", Mexican!$I$60)</f>
        <v>1 of 6</v>
      </c>
      <c r="J3" s="2">
        <v>0.01</v>
      </c>
      <c r="L3" s="5">
        <f>Index[[#This Row],[Calories]]-(9*(Index[[#This Row],[Fat Removed]]/Mexican!$I$60))</f>
        <v>0</v>
      </c>
      <c r="M3" s="5">
        <f>Index[[#This Row],[Fat ]]*9</f>
        <v>0</v>
      </c>
    </row>
    <row r="4" spans="1:13" x14ac:dyDescent="0.3">
      <c r="A4" s="34" t="s">
        <v>45</v>
      </c>
      <c r="B4" s="5">
        <f>(Mexican!B23)*$H$4</f>
        <v>0</v>
      </c>
      <c r="C4" s="5">
        <f>(Mexican!C23)*$H$4</f>
        <v>0</v>
      </c>
      <c r="D4" s="5">
        <f>(Mexican!D23)*$H$4</f>
        <v>0</v>
      </c>
      <c r="E4" s="5">
        <f>(Mexican!E23)*$H$4</f>
        <v>0</v>
      </c>
      <c r="F4" s="5">
        <f>(Mexican!F23)*$H$4</f>
        <v>0</v>
      </c>
      <c r="G4" s="5">
        <f>(Mexican!G23)*$H$4</f>
        <v>0</v>
      </c>
      <c r="I4" s="22" t="str">
        <f>_xlfn.CONCAT("1 of ", BeefMexican[[#Totals],[Measurement]])</f>
        <v>1 of 4</v>
      </c>
      <c r="J4" s="2">
        <v>0.01</v>
      </c>
      <c r="L4" s="5">
        <f>Index[[#This Row],[Calories]]-(9*(Index[[#This Row],[Fat Removed]]/Mexican!I23))</f>
        <v>0</v>
      </c>
      <c r="M4" s="5">
        <f>Index[[#This Row],[Fat ]]*9</f>
        <v>0</v>
      </c>
    </row>
    <row r="5" spans="1:13" x14ac:dyDescent="0.3">
      <c r="A5" s="34" t="s">
        <v>656</v>
      </c>
      <c r="B5" s="5">
        <f>'Pasta Dish'!B40*$H5</f>
        <v>0</v>
      </c>
      <c r="C5" s="5">
        <f>'Pasta Dish'!C40*$H5</f>
        <v>0</v>
      </c>
      <c r="D5" s="5">
        <f>'Pasta Dish'!D40*$H5</f>
        <v>0</v>
      </c>
      <c r="E5" s="5">
        <f>'Pasta Dish'!E40*$H5</f>
        <v>0</v>
      </c>
      <c r="F5" s="5">
        <f>'Pasta Dish'!F40*$H5</f>
        <v>0</v>
      </c>
      <c r="G5" s="5">
        <f>'Pasta Dish'!G40*$H5</f>
        <v>0</v>
      </c>
      <c r="I5" s="22" t="str">
        <f>_xlfn.CONCAT("1 of ", Pasta[[#Totals],[Measurement]])</f>
        <v>1 of 8</v>
      </c>
      <c r="J5" s="2">
        <v>0.01</v>
      </c>
      <c r="L5" s="5">
        <f>Index[[#This Row],[Calories]]-(9*(Index[[#This Row],[Fat Removed]]/Pasta[[#Totals],[Measurement]]))</f>
        <v>0</v>
      </c>
      <c r="M5" s="5">
        <f>Index[[#This Row],[Fat ]]*9</f>
        <v>0</v>
      </c>
    </row>
    <row r="6" spans="1:13" x14ac:dyDescent="0.3">
      <c r="A6" s="34" t="s">
        <v>593</v>
      </c>
      <c r="B6" s="5">
        <f>('Chicken Casserole'!B39)*$H$6</f>
        <v>0</v>
      </c>
      <c r="C6" s="5">
        <f>('Chicken Casserole'!C39)*$H$6</f>
        <v>0</v>
      </c>
      <c r="D6" s="5">
        <f>('Chicken Casserole'!D39)*$H$6</f>
        <v>0</v>
      </c>
      <c r="E6" s="5">
        <f>('Chicken Casserole'!E39)*$H$6</f>
        <v>0</v>
      </c>
      <c r="F6" s="5">
        <f>('Chicken Casserole'!F39)*$H$6</f>
        <v>0</v>
      </c>
      <c r="G6" s="5">
        <f>('Chicken Casserole'!G39)*$H$6</f>
        <v>0</v>
      </c>
      <c r="I6" s="22" t="str">
        <f>_xlfn.CONCAT("1 of ", ChickenCasserole[[#Totals],[Measurement]])</f>
        <v>1 of 6</v>
      </c>
      <c r="J6" s="2">
        <v>0.01</v>
      </c>
      <c r="L6" s="5">
        <f>Index[[#This Row],[Calories]]-(9*(Index[[#This Row],[Fat Removed]]/ChickenCasserole[[#Totals],[Measurement]]))</f>
        <v>0</v>
      </c>
      <c r="M6" s="5">
        <f>Index[[#This Row],[Fat ]]*9</f>
        <v>0</v>
      </c>
    </row>
    <row r="7" spans="1:13" x14ac:dyDescent="0.3">
      <c r="A7" s="34" t="s">
        <v>631</v>
      </c>
      <c r="B7" s="5">
        <f>('Roman Chicken'!B36)*$H$7</f>
        <v>0</v>
      </c>
      <c r="C7" s="5">
        <f>('Roman Chicken'!C36)*$H$7</f>
        <v>0</v>
      </c>
      <c r="D7" s="5">
        <f>('Roman Chicken'!D36)*$H$7</f>
        <v>0</v>
      </c>
      <c r="E7" s="5">
        <f>('Roman Chicken'!E36)*$H$7</f>
        <v>0</v>
      </c>
      <c r="F7" s="5">
        <f>('Roman Chicken'!F36)*$H$7</f>
        <v>0</v>
      </c>
      <c r="G7" s="5">
        <f>('Roman Chicken'!G36)*$H$7</f>
        <v>0</v>
      </c>
      <c r="I7" s="22" t="str">
        <f>_xlfn.CONCAT("1 of ", RomanChicken[[#Totals],[Measurement]])</f>
        <v>1 of 6</v>
      </c>
      <c r="J7" s="2">
        <v>0.01</v>
      </c>
      <c r="L7" s="5">
        <f>Index[[#This Row],[Calories]]-(9*(Index[[#This Row],[Fat Removed]]/RomanChicken[[#Totals],[Measurement]]))</f>
        <v>0</v>
      </c>
      <c r="M7" s="5">
        <f>Index[[#This Row],[Fat ]]*9</f>
        <v>0</v>
      </c>
    </row>
    <row r="8" spans="1:13" x14ac:dyDescent="0.3">
      <c r="A8" s="34" t="s">
        <v>46</v>
      </c>
      <c r="B8" s="5">
        <f>('Kung Poa'!B46)*$H$8</f>
        <v>0</v>
      </c>
      <c r="C8" s="5">
        <f>('Kung Poa'!C46)*$H$8</f>
        <v>0</v>
      </c>
      <c r="D8" s="5">
        <f>('Kung Poa'!D46)*$H$8</f>
        <v>0</v>
      </c>
      <c r="E8" s="5">
        <f>('Kung Poa'!E46)*$H$8</f>
        <v>0</v>
      </c>
      <c r="F8" s="5">
        <f>('Kung Poa'!F46)*$H$8</f>
        <v>0</v>
      </c>
      <c r="G8" s="5">
        <f>('Kung Poa'!G46)*$H$8</f>
        <v>0</v>
      </c>
      <c r="I8" s="22" t="str">
        <f>_xlfn.CONCAT("1 of ", FriedRice33[[#Totals],[Measurement]])</f>
        <v>1 of 6</v>
      </c>
      <c r="J8" s="2">
        <v>0.01</v>
      </c>
      <c r="L8" s="5">
        <f>Index[[#This Row],[Calories]]-(9*(Index[[#This Row],[Fat Removed]]/'Kung Poa'!I46))</f>
        <v>0</v>
      </c>
      <c r="M8" s="5">
        <f>Index[[#This Row],[Fat ]]*9</f>
        <v>0</v>
      </c>
    </row>
    <row r="9" spans="1:13" x14ac:dyDescent="0.3">
      <c r="A9" s="34" t="s">
        <v>47</v>
      </c>
      <c r="B9" s="5">
        <f>('General Tso'!B48)*$H$9</f>
        <v>0</v>
      </c>
      <c r="C9" s="5">
        <f>('General Tso'!C48)*$H$9</f>
        <v>0</v>
      </c>
      <c r="D9" s="5">
        <f>('General Tso'!D48)*$H$9</f>
        <v>0</v>
      </c>
      <c r="E9" s="5">
        <f>('General Tso'!E48)*$H$9</f>
        <v>0</v>
      </c>
      <c r="F9" s="5">
        <f>('General Tso'!F48)*$H$9</f>
        <v>0</v>
      </c>
      <c r="G9" s="5">
        <f>('General Tso'!G48)*$H$9</f>
        <v>0</v>
      </c>
      <c r="I9" s="22" t="str">
        <f>_xlfn.CONCAT("1 of ", FriedRice33[[#Totals],[Measurement]])</f>
        <v>1 of 6</v>
      </c>
      <c r="J9" s="2">
        <v>0.01</v>
      </c>
      <c r="L9" s="5">
        <f>Index[[#This Row],[Calories]]-(9*(Index[[#This Row],[Fat Removed]]/'General Tso'!I48))</f>
        <v>0</v>
      </c>
      <c r="M9" s="5">
        <f>Index[[#This Row],[Fat ]]*9</f>
        <v>0</v>
      </c>
    </row>
    <row r="10" spans="1:13" x14ac:dyDescent="0.3">
      <c r="A10" s="34" t="s">
        <v>48</v>
      </c>
      <c r="B10" s="5">
        <f>(Soba!B40)*$H$10</f>
        <v>0</v>
      </c>
      <c r="C10" s="5">
        <f>(Soba!C40)*$H$10</f>
        <v>0</v>
      </c>
      <c r="D10" s="5">
        <f>(Soba!D40)*$H$10</f>
        <v>0</v>
      </c>
      <c r="E10" s="5">
        <f>(Soba!E40)*$H$10</f>
        <v>0</v>
      </c>
      <c r="F10" s="5">
        <f>(Soba!F40)*$H$10</f>
        <v>0</v>
      </c>
      <c r="G10" s="5">
        <f>(Soba!G40)*$H$10</f>
        <v>0</v>
      </c>
      <c r="I10" s="22" t="str">
        <f>_xlfn.CONCAT("1 of ", Soba[[#Totals],[Measurement]])</f>
        <v>1 of 1</v>
      </c>
      <c r="J10" s="2">
        <v>0.01</v>
      </c>
      <c r="L10" s="5">
        <f>Index[[#This Row],[Calories]]-(9*(Index[[#This Row],[Fat Removed]]/Soba!I40))</f>
        <v>0</v>
      </c>
      <c r="M10" s="5">
        <f>Index[[#This Row],[Fat ]]*9</f>
        <v>0</v>
      </c>
    </row>
    <row r="11" spans="1:13" x14ac:dyDescent="0.3">
      <c r="A11" s="34" t="s">
        <v>49</v>
      </c>
      <c r="B11" s="5">
        <f>('Black Pepper Chicken'!B55)*$H$11</f>
        <v>0</v>
      </c>
      <c r="C11" s="5">
        <f>('Black Pepper Chicken'!C55)*$H$11</f>
        <v>0</v>
      </c>
      <c r="D11" s="5">
        <f>('Black Pepper Chicken'!D55)*$H$11</f>
        <v>0</v>
      </c>
      <c r="E11" s="5">
        <f>('Black Pepper Chicken'!E55)*$H$11</f>
        <v>0</v>
      </c>
      <c r="F11" s="5">
        <f>('Black Pepper Chicken'!F55)*$H$11</f>
        <v>0</v>
      </c>
      <c r="G11" s="5">
        <f>('Black Pepper Chicken'!G55)*$H$11</f>
        <v>0</v>
      </c>
      <c r="I11" s="22" t="str">
        <f>_xlfn.CONCAT("1 of ", HoneyChicken[[#Totals],[Measurement]])</f>
        <v>1 of 6</v>
      </c>
      <c r="J11" s="2">
        <v>0.01</v>
      </c>
      <c r="L11" s="5">
        <f>Index[[#This Row],[Calories]]-(9*(Index[[#This Row],[Fat Removed]]/'Black Pepper Chicken'!I55))</f>
        <v>0</v>
      </c>
      <c r="M11" s="5">
        <f>Index[[#This Row],[Fat ]]*9</f>
        <v>0</v>
      </c>
    </row>
    <row r="12" spans="1:13" x14ac:dyDescent="0.3">
      <c r="A12" s="34" t="s">
        <v>50</v>
      </c>
      <c r="B12" s="5">
        <f>('Sesame Chicken'!B59)*$H$12</f>
        <v>0</v>
      </c>
      <c r="C12" s="5">
        <f>('Sesame Chicken'!C59)*$H$12</f>
        <v>0</v>
      </c>
      <c r="D12" s="5">
        <f>('Sesame Chicken'!D59)*$H$12</f>
        <v>0</v>
      </c>
      <c r="E12" s="5">
        <f>('Sesame Chicken'!E59)*$H$12</f>
        <v>0</v>
      </c>
      <c r="F12" s="5">
        <f>('Sesame Chicken'!F59)*$H$12</f>
        <v>0</v>
      </c>
      <c r="G12" s="5">
        <f>('Sesame Chicken'!G59)*$H$12</f>
        <v>0</v>
      </c>
      <c r="I12" s="22" t="str">
        <f>_xlfn.CONCAT("1 of ", HoneyChicken[[#Totals],[Measurement]])</f>
        <v>1 of 6</v>
      </c>
      <c r="J12" s="2">
        <v>0.01</v>
      </c>
      <c r="L12" s="5">
        <f>Index[[#This Row],[Calories]]-(9*(Index[[#This Row],[Fat Removed]]/'Sesame Chicken'!I59))</f>
        <v>0</v>
      </c>
      <c r="M12" s="5">
        <f>Index[[#This Row],[Fat ]]*9</f>
        <v>0</v>
      </c>
    </row>
    <row r="13" spans="1:13" x14ac:dyDescent="0.3">
      <c r="A13" s="34" t="s">
        <v>51</v>
      </c>
      <c r="B13" s="5">
        <f>('Chow Mein'!B48)*$H$13</f>
        <v>0</v>
      </c>
      <c r="C13" s="5">
        <f>('Chow Mein'!C48)*$H$13</f>
        <v>0</v>
      </c>
      <c r="D13" s="5">
        <f>('Chow Mein'!D48)*$H$13</f>
        <v>0</v>
      </c>
      <c r="E13" s="5">
        <f>('Chow Mein'!E48)*$H$13</f>
        <v>0</v>
      </c>
      <c r="F13" s="5">
        <f>('Chow Mein'!F48)*$H$13</f>
        <v>0</v>
      </c>
      <c r="G13" s="5">
        <f>('Chow Mein'!G48)*$H$13</f>
        <v>0</v>
      </c>
      <c r="I13" s="22" t="str">
        <f>_xlfn.CONCAT("1 of ", FriedRice3358[[#Totals],[Measurement]])</f>
        <v>1 of 8</v>
      </c>
      <c r="J13" s="2">
        <v>0.01</v>
      </c>
      <c r="L13" s="5">
        <f>Index[[#This Row],[Calories]]-(9*(Index[[#This Row],[Fat Removed]]/'Chow Mein'!I48))</f>
        <v>0</v>
      </c>
      <c r="M13" s="5">
        <f>Index[[#This Row],[Fat ]]*9</f>
        <v>0</v>
      </c>
    </row>
    <row r="14" spans="1:13" x14ac:dyDescent="0.3">
      <c r="A14" s="34" t="s">
        <v>52</v>
      </c>
      <c r="B14" s="5">
        <f>('Char Siu'!B37)*$H$14</f>
        <v>0</v>
      </c>
      <c r="C14" s="5">
        <f>('Char Siu'!C37)*$H$14</f>
        <v>0</v>
      </c>
      <c r="D14" s="5">
        <f>('Char Siu'!D37)*$H$14</f>
        <v>0</v>
      </c>
      <c r="E14" s="5">
        <f>('Char Siu'!E37)*$H$14</f>
        <v>0</v>
      </c>
      <c r="F14" s="5">
        <f>('Char Siu'!F37)*$H$14</f>
        <v>0</v>
      </c>
      <c r="G14" s="5">
        <f>('Char Siu'!G37)*$H$14</f>
        <v>0</v>
      </c>
      <c r="I14" s="22" t="str">
        <f>_xlfn.CONCAT("1 of ",CharSiu[[#Totals],[Measurement]])</f>
        <v>1 of 6</v>
      </c>
      <c r="J14" s="2">
        <v>0.01</v>
      </c>
      <c r="L14" s="5">
        <f>Index[[#This Row],[Calories]]-(9*(Index[[#This Row],[Fat Removed]]/'Char Siu'!I37))</f>
        <v>0</v>
      </c>
      <c r="M14" s="5">
        <f>Index[[#This Row],[Fat ]]*9</f>
        <v>0</v>
      </c>
    </row>
    <row r="15" spans="1:13" x14ac:dyDescent="0.3">
      <c r="A15" s="34" t="s">
        <v>53</v>
      </c>
      <c r="B15" s="5">
        <f>('Fried Rice'!B41)*$H$15</f>
        <v>0</v>
      </c>
      <c r="C15" s="5">
        <f>('Fried Rice'!C41)*$H$15</f>
        <v>0</v>
      </c>
      <c r="D15" s="5">
        <f>('Fried Rice'!D41)*$H$15</f>
        <v>0</v>
      </c>
      <c r="E15" s="5">
        <f>('Fried Rice'!E41)*$H$15</f>
        <v>0</v>
      </c>
      <c r="F15" s="5">
        <f>('Fried Rice'!F41)*$H$15</f>
        <v>0</v>
      </c>
      <c r="G15" s="5">
        <f>('Fried Rice'!G41)*$H$15</f>
        <v>0</v>
      </c>
      <c r="I15" s="22" t="str">
        <f>_xlfn.CONCAT("1 of ", FriedRice[[#Totals],[Measurement]])</f>
        <v>1 of 6</v>
      </c>
      <c r="J15" s="2">
        <v>0.01</v>
      </c>
      <c r="L15" s="5">
        <f>Index[[#This Row],[Calories]]-(9*(Index[[#This Row],[Fat Removed]]/'Fried Rice'!I41))</f>
        <v>0</v>
      </c>
      <c r="M15" s="5">
        <f>Index[[#This Row],[Fat ]]*9</f>
        <v>0</v>
      </c>
    </row>
    <row r="16" spans="1:13" x14ac:dyDescent="0.3">
      <c r="A16" s="34" t="s">
        <v>54</v>
      </c>
      <c r="B16" s="5">
        <f>Pizza[[#Totals],[Calories]]*$H$16</f>
        <v>0</v>
      </c>
      <c r="C16" s="5">
        <f>Pizza[[#Totals],[Carbs]]*$H$16</f>
        <v>0</v>
      </c>
      <c r="D16" s="5">
        <f>Pizza[[#Totals],[Fat ]]*$H$16</f>
        <v>0</v>
      </c>
      <c r="E16" s="5">
        <f>Pizza[[#Totals],[Protein]]*$H$16</f>
        <v>0</v>
      </c>
      <c r="F16" s="5">
        <f>Pizza[[#Totals],[Fiber]]*$H$16</f>
        <v>0</v>
      </c>
      <c r="G16" s="5">
        <f>Pizza[[#Totals],[Sugar]]*$H$16</f>
        <v>0</v>
      </c>
      <c r="I16" s="22" t="str">
        <f>_xlfn.CONCAT("1 of ", Pizza[[#Totals],[Measurement]])</f>
        <v>1 of 4</v>
      </c>
      <c r="J16" s="2">
        <v>0.01</v>
      </c>
      <c r="L16" s="5">
        <f>Index[[#This Row],[Calories]]-(9*(Index[[#This Row],[Fat Removed]]/Pizza!I55))</f>
        <v>0</v>
      </c>
      <c r="M16" s="5">
        <f>Index[[#This Row],[Fat ]]*9</f>
        <v>0</v>
      </c>
    </row>
    <row r="17" spans="1:13" x14ac:dyDescent="0.3">
      <c r="A17" s="34" t="s">
        <v>568</v>
      </c>
      <c r="B17" s="5">
        <f>BBQPizza[[#Totals],[Calories]]*$H$17</f>
        <v>0</v>
      </c>
      <c r="C17" s="5">
        <f>BBQPizza[[#Totals],[Carbs]]*$H$17</f>
        <v>0</v>
      </c>
      <c r="D17" s="5">
        <f>BBQPizza[[#Totals],[Fat ]]*$H$17</f>
        <v>0</v>
      </c>
      <c r="E17" s="5">
        <f>BBQPizza[[#Totals],[Protein]]*$H$17</f>
        <v>0</v>
      </c>
      <c r="F17" s="5">
        <f>BBQPizza[[#Totals],[Fiber]]*$H$17</f>
        <v>0</v>
      </c>
      <c r="G17" s="5">
        <f>BBQPizza[[#Totals],[Sugar]]*$H$17</f>
        <v>0</v>
      </c>
      <c r="I17" s="22" t="str">
        <f>_xlfn.CONCAT("1 of ", BBQPizza[[#Totals],[Measurement]])</f>
        <v>1 of 4</v>
      </c>
      <c r="J17" s="2">
        <v>0.01</v>
      </c>
      <c r="L17" s="5">
        <f>Index[[#This Row],[Calories]]-(9*(Index[[#This Row],[Fat Removed]]/'BBQ Pizza'!I56))</f>
        <v>0</v>
      </c>
      <c r="M17" s="5">
        <f>Index[[#This Row],[Fat ]]*9</f>
        <v>0</v>
      </c>
    </row>
    <row r="18" spans="1:13" x14ac:dyDescent="0.3">
      <c r="A18" s="34" t="s">
        <v>564</v>
      </c>
      <c r="B18" s="5">
        <f>'Pasta Sauce'!B42*$H18</f>
        <v>0</v>
      </c>
      <c r="C18" s="5">
        <f>'Pasta Sauce'!C42*$H18</f>
        <v>0</v>
      </c>
      <c r="D18" s="5">
        <f>'Pasta Sauce'!D42*$H18</f>
        <v>0</v>
      </c>
      <c r="E18" s="5">
        <f>'Pasta Sauce'!E42*$H18</f>
        <v>0</v>
      </c>
      <c r="F18" s="5">
        <f>'Pasta Sauce'!F42*$H18</f>
        <v>0</v>
      </c>
      <c r="G18" s="5">
        <f>'Pasta Sauce'!G42*$H18</f>
        <v>0</v>
      </c>
      <c r="I18" s="22" t="str">
        <f>_xlfn.CONCAT("1 of ", Sauce[[#Totals],[Measurement]])</f>
        <v>1 of 1</v>
      </c>
      <c r="J18" s="2">
        <v>0.01</v>
      </c>
      <c r="L18" s="23">
        <f>Index[[#This Row],[Calories]]-(9*(Index[[#This Row],[Fat Removed]]/'Pasta Sauce'!I34))</f>
        <v>0</v>
      </c>
      <c r="M18" s="5">
        <f>Index[[#This Row],[Fat ]]*9</f>
        <v>0</v>
      </c>
    </row>
    <row r="19" spans="1:13" x14ac:dyDescent="0.3">
      <c r="A19" s="34" t="s">
        <v>55</v>
      </c>
      <c r="B19" s="5">
        <f>('Roast'!B24)*$H$19</f>
        <v>0</v>
      </c>
      <c r="C19" s="5">
        <f>('Roast'!C24)*$H$19</f>
        <v>0</v>
      </c>
      <c r="D19" s="5">
        <f>('Roast'!D24)*$H$19</f>
        <v>0</v>
      </c>
      <c r="E19" s="5">
        <f>('Roast'!E24)*$H$19</f>
        <v>0</v>
      </c>
      <c r="F19" s="5">
        <f>('Roast'!F24)*$H$19</f>
        <v>0</v>
      </c>
      <c r="G19" s="5">
        <f>('Roast'!G24)*$H$19</f>
        <v>0</v>
      </c>
      <c r="I19" s="22" t="str">
        <f>_xlfn.CONCAT("1 of ", Roast[[#Totals],[Measurement]])</f>
        <v>1 of 6</v>
      </c>
      <c r="J19" s="2">
        <v>0.01</v>
      </c>
      <c r="L19" s="5">
        <f>Index[[#This Row],[Calories]]-(9*(Index[[#This Row],[Fat Removed]]/'Roast'!I24))</f>
        <v>0</v>
      </c>
      <c r="M19" s="5">
        <f>Index[[#This Row],[Fat ]]*9</f>
        <v>0</v>
      </c>
    </row>
    <row r="20" spans="1:13" x14ac:dyDescent="0.3">
      <c r="A20" s="34" t="s">
        <v>56</v>
      </c>
      <c r="B20" s="5">
        <f>(Salad!B23)*$H$20</f>
        <v>0</v>
      </c>
      <c r="C20" s="5">
        <f>(Salad!C23)*$H$20</f>
        <v>0</v>
      </c>
      <c r="D20" s="5">
        <f>(Salad!D23)*$H$20</f>
        <v>0</v>
      </c>
      <c r="E20" s="5">
        <f>(Salad!E23)*$H$20</f>
        <v>0</v>
      </c>
      <c r="F20" s="5">
        <f>(Salad!F23)*$H$20</f>
        <v>0</v>
      </c>
      <c r="G20" s="5">
        <f>(Salad!G23)*$H$20</f>
        <v>0</v>
      </c>
      <c r="I20" s="22" t="str">
        <f>_xlfn.CONCAT("1 of ", Salad[[#Totals],[Measurement]])</f>
        <v>1 of 1</v>
      </c>
      <c r="J20" s="2">
        <v>0.01</v>
      </c>
      <c r="L20" s="5">
        <f>Index[[#This Row],[Calories]]-(9*(Index[[#This Row],[Fat Removed]]/Salad!I23))</f>
        <v>0</v>
      </c>
      <c r="M20" s="5">
        <f>Index[[#This Row],[Fat ]]*9</f>
        <v>0</v>
      </c>
    </row>
    <row r="21" spans="1:13" x14ac:dyDescent="0.3">
      <c r="A21" s="34" t="s">
        <v>57</v>
      </c>
      <c r="B21" s="5">
        <f>('Buffalo Chicken'!B34)*$H$21</f>
        <v>0</v>
      </c>
      <c r="C21" s="5">
        <f>('Buffalo Chicken'!C34)*$H$21</f>
        <v>0</v>
      </c>
      <c r="D21" s="5">
        <f>('Buffalo Chicken'!D34)*$H$21</f>
        <v>0</v>
      </c>
      <c r="E21" s="5">
        <f>('Buffalo Chicken'!E34)*$H$21</f>
        <v>0</v>
      </c>
      <c r="F21" s="5">
        <f>('Buffalo Chicken'!F34)*$H$21</f>
        <v>0</v>
      </c>
      <c r="G21" s="5">
        <f>('Buffalo Chicken'!G34)*$H$21</f>
        <v>0</v>
      </c>
      <c r="I21" s="22" t="str">
        <f>_xlfn.CONCAT("1 of ", Buffalo[[#Totals],[Measurement]])</f>
        <v>1 of 6</v>
      </c>
      <c r="J21" s="2">
        <v>0.01</v>
      </c>
      <c r="L21" s="5">
        <f>Index[[#This Row],[Calories]]-(9*(Index[[#This Row],[Fat Removed]]/'Buffalo Chicken'!I34))</f>
        <v>0</v>
      </c>
      <c r="M21" s="5">
        <f>Index[[#This Row],[Fat ]]*9</f>
        <v>0</v>
      </c>
    </row>
    <row r="22" spans="1:13" x14ac:dyDescent="0.3">
      <c r="A22" s="34" t="s">
        <v>58</v>
      </c>
      <c r="B22" s="5">
        <f>(Burgers!B24)*$H$22</f>
        <v>0</v>
      </c>
      <c r="C22" s="5">
        <f>(Burgers!C24)*$H$22</f>
        <v>0</v>
      </c>
      <c r="D22" s="5">
        <f>(Burgers!D24)*$H$22</f>
        <v>0</v>
      </c>
      <c r="E22" s="5">
        <f>(Burgers!E24)*$H$22</f>
        <v>0</v>
      </c>
      <c r="F22" s="5">
        <f>(Burgers!F24)*$H$22</f>
        <v>0</v>
      </c>
      <c r="G22" s="5">
        <f>(Burgers!G24)*$H$22</f>
        <v>0</v>
      </c>
      <c r="I22" s="22" t="str">
        <f>_xlfn.CONCAT("1 of ", Burgers[[#Totals],[Measurement]])</f>
        <v>1 of 1</v>
      </c>
      <c r="J22" s="2">
        <v>0.01</v>
      </c>
      <c r="L22" s="5">
        <f>Index[[#This Row],[Calories]]-(9*(Index[[#This Row],[Fat Removed]]/Burgers!I24))</f>
        <v>0</v>
      </c>
      <c r="M22" s="5">
        <f>Index[[#This Row],[Fat ]]*9</f>
        <v>0</v>
      </c>
    </row>
    <row r="23" spans="1:13" x14ac:dyDescent="0.3">
      <c r="A23" s="34" t="s">
        <v>59</v>
      </c>
      <c r="B23" s="5">
        <f>('Roast'!B36)*$H$23</f>
        <v>0</v>
      </c>
      <c r="C23" s="5">
        <f>('Roast'!C36)*$H$23</f>
        <v>0</v>
      </c>
      <c r="D23" s="5">
        <f>('Roast'!D36)*$H$23</f>
        <v>0</v>
      </c>
      <c r="E23" s="5">
        <f>('Roast'!E36)*$H$23</f>
        <v>0</v>
      </c>
      <c r="F23" s="5">
        <f>('Roast'!F36)*$H$23</f>
        <v>0</v>
      </c>
      <c r="G23" s="5">
        <f>('Roast'!G36)*$H$23</f>
        <v>0</v>
      </c>
      <c r="I23" s="22" t="str">
        <f>_xlfn.CONCAT("1 of ", Potatoes[[#Totals],[Measurement]])</f>
        <v>1 of 4</v>
      </c>
      <c r="J23" s="2">
        <v>0.01</v>
      </c>
      <c r="L23" s="5">
        <f>Index[[#This Row],[Calories]]-(9*(Index[[#This Row],[Fat Removed]]/'Roast'!I36))</f>
        <v>0</v>
      </c>
      <c r="M23" s="5">
        <f>Index[[#This Row],[Fat ]]*9</f>
        <v>0</v>
      </c>
    </row>
    <row r="24" spans="1:13" ht="26.25" x14ac:dyDescent="0.4">
      <c r="B24" s="5"/>
      <c r="C24" s="5"/>
      <c r="D24" s="5"/>
      <c r="E24" s="5"/>
      <c r="F24" s="5"/>
      <c r="G24" s="62" t="s">
        <v>60</v>
      </c>
      <c r="J24" s="2">
        <v>1.01</v>
      </c>
      <c r="L24" s="5"/>
      <c r="M24" s="5"/>
    </row>
    <row r="25" spans="1:13" x14ac:dyDescent="0.3">
      <c r="A25" s="34" t="s">
        <v>61</v>
      </c>
      <c r="B25" s="5">
        <f>10*$H25</f>
        <v>0</v>
      </c>
      <c r="C25" s="5">
        <f>2*$H25</f>
        <v>0</v>
      </c>
      <c r="D25" s="5">
        <f t="shared" ref="D25:F26" si="0">0*$H25</f>
        <v>0</v>
      </c>
      <c r="E25" s="5">
        <f t="shared" si="0"/>
        <v>0</v>
      </c>
      <c r="F25" s="5">
        <f t="shared" si="0"/>
        <v>0</v>
      </c>
      <c r="G25" s="5">
        <f>1*$H25</f>
        <v>0</v>
      </c>
      <c r="J25" s="2">
        <v>2</v>
      </c>
      <c r="L25" s="5">
        <f>Index[[#This Row],[Calories]]-(Index[[#This Row],[Fat Removed]]*Index[[#This Row],[Fat Calories]])</f>
        <v>0</v>
      </c>
      <c r="M25" s="5">
        <f>Index[[#This Row],[Fat ]]*9</f>
        <v>0</v>
      </c>
    </row>
    <row r="26" spans="1:13" x14ac:dyDescent="0.3">
      <c r="A26" s="34" t="s">
        <v>62</v>
      </c>
      <c r="B26" s="5">
        <f>0*$H26</f>
        <v>0</v>
      </c>
      <c r="C26" s="5">
        <f>0*$H26</f>
        <v>0</v>
      </c>
      <c r="D26" s="5">
        <f t="shared" si="0"/>
        <v>0</v>
      </c>
      <c r="E26" s="5">
        <f t="shared" si="0"/>
        <v>0</v>
      </c>
      <c r="F26" s="5">
        <f t="shared" si="0"/>
        <v>0</v>
      </c>
      <c r="G26" s="5">
        <f>0*$H26</f>
        <v>0</v>
      </c>
      <c r="J26" s="2">
        <v>2</v>
      </c>
      <c r="L26" s="5">
        <f>Index[[#This Row],[Calories]]-(Index[[#This Row],[Fat Removed]]*Index[[#This Row],[Fat Calories]])</f>
        <v>0</v>
      </c>
      <c r="M26" s="5">
        <f>Index[[#This Row],[Fat ]]*9</f>
        <v>0</v>
      </c>
    </row>
    <row r="27" spans="1:13" x14ac:dyDescent="0.3">
      <c r="A27" s="34" t="s">
        <v>63</v>
      </c>
      <c r="B27" s="5">
        <f>10*$H27</f>
        <v>0</v>
      </c>
      <c r="C27" s="5">
        <f>2*$H27</f>
        <v>0</v>
      </c>
      <c r="D27" s="5">
        <f>0*$H27</f>
        <v>0</v>
      </c>
      <c r="E27" s="5">
        <f>0*$H27</f>
        <v>0</v>
      </c>
      <c r="F27" s="5">
        <f>0.5*$H27</f>
        <v>0</v>
      </c>
      <c r="G27" s="5">
        <f>1*$H27</f>
        <v>0</v>
      </c>
      <c r="J27" s="2">
        <v>2</v>
      </c>
      <c r="L27" s="5">
        <f>Index[[#This Row],[Calories]]-(Index[[#This Row],[Fat Removed]]*Index[[#This Row],[Fat Calories]])</f>
        <v>0</v>
      </c>
      <c r="M27" s="5">
        <f>Index[[#This Row],[Fat ]]*9</f>
        <v>0</v>
      </c>
    </row>
    <row r="28" spans="1:13" x14ac:dyDescent="0.3">
      <c r="A28" s="34" t="s">
        <v>64</v>
      </c>
      <c r="B28" s="5">
        <f>10*$H28</f>
        <v>0</v>
      </c>
      <c r="C28" s="5">
        <f>3*$H28</f>
        <v>0</v>
      </c>
      <c r="D28" s="5">
        <f>0*$H28</f>
        <v>0</v>
      </c>
      <c r="E28" s="5">
        <f>0*$H28</f>
        <v>0</v>
      </c>
      <c r="F28" s="5">
        <f>0*$H28</f>
        <v>0</v>
      </c>
      <c r="G28" s="5">
        <f>2*$H28</f>
        <v>0</v>
      </c>
      <c r="J28" s="2">
        <v>2</v>
      </c>
      <c r="L28" s="5">
        <f>Index[[#This Row],[Calories]]-(Index[[#This Row],[Fat Removed]]*Index[[#This Row],[Fat Calories]])</f>
        <v>0</v>
      </c>
      <c r="M28" s="5">
        <f>Index[[#This Row],[Fat ]]*9</f>
        <v>0</v>
      </c>
    </row>
    <row r="29" spans="1:13" x14ac:dyDescent="0.3">
      <c r="A29" s="34" t="s">
        <v>65</v>
      </c>
      <c r="B29" s="5">
        <f>60*$H29</f>
        <v>0</v>
      </c>
      <c r="C29" s="5">
        <f>1*$H29</f>
        <v>0</v>
      </c>
      <c r="D29" s="5">
        <f>3.5*$H29</f>
        <v>0</v>
      </c>
      <c r="E29" s="5">
        <f>0.5*$H29</f>
        <v>0</v>
      </c>
      <c r="F29" s="5">
        <f>0*$H29</f>
        <v>0</v>
      </c>
      <c r="G29" s="5">
        <f>1*$H29</f>
        <v>0</v>
      </c>
      <c r="I29" s="22" t="s">
        <v>66</v>
      </c>
      <c r="J29" s="2">
        <v>2</v>
      </c>
      <c r="L29" s="5">
        <f>Index[[#This Row],[Calories]]-(Index[[#This Row],[Fat Removed]]*Index[[#This Row],[Fat Calories]])</f>
        <v>0</v>
      </c>
      <c r="M29" s="5">
        <f>Index[[#This Row],[Fat ]]*9</f>
        <v>0</v>
      </c>
    </row>
    <row r="30" spans="1:13" x14ac:dyDescent="0.3">
      <c r="A30" s="34" t="s">
        <v>67</v>
      </c>
      <c r="B30" s="5">
        <f>10*$H30</f>
        <v>0</v>
      </c>
      <c r="C30" s="5">
        <f>1*$H30</f>
        <v>0</v>
      </c>
      <c r="D30" s="5">
        <f>0*$H30</f>
        <v>0</v>
      </c>
      <c r="E30" s="5">
        <f>0*$H30</f>
        <v>0</v>
      </c>
      <c r="F30" s="5">
        <f>0*$H30</f>
        <v>0</v>
      </c>
      <c r="G30" s="5">
        <f>0.5*$H30</f>
        <v>0</v>
      </c>
      <c r="J30" s="2">
        <v>2</v>
      </c>
      <c r="L30" s="5">
        <f>Index[[#This Row],[Calories]]-(Index[[#This Row],[Fat Removed]]*Index[[#This Row],[Fat Calories]])</f>
        <v>0</v>
      </c>
      <c r="M30" s="5">
        <f>Index[[#This Row],[Fat ]]*9</f>
        <v>0</v>
      </c>
    </row>
    <row r="31" spans="1:13" x14ac:dyDescent="0.3">
      <c r="A31" s="34" t="s">
        <v>68</v>
      </c>
      <c r="B31" s="5">
        <f>9*$H31</f>
        <v>0</v>
      </c>
      <c r="C31" s="5">
        <f>0.9*$H31</f>
        <v>0</v>
      </c>
      <c r="D31" s="5">
        <f>0.5*$H31</f>
        <v>0</v>
      </c>
      <c r="E31" s="5">
        <f>0.6*$H31</f>
        <v>0</v>
      </c>
      <c r="F31" s="5">
        <f>0.6*$H31</f>
        <v>0</v>
      </c>
      <c r="G31" s="5">
        <f>0.2*$H31</f>
        <v>0</v>
      </c>
      <c r="J31" s="2">
        <v>2</v>
      </c>
      <c r="L31" s="5">
        <f>Index[[#This Row],[Calories]]-(Index[[#This Row],[Fat Removed]]*Index[[#This Row],[Fat Calories]])</f>
        <v>0</v>
      </c>
      <c r="M31" s="5">
        <f>Index[[#This Row],[Fat ]]*9</f>
        <v>0</v>
      </c>
    </row>
    <row r="32" spans="1:13" x14ac:dyDescent="0.3">
      <c r="A32" s="34" t="s">
        <v>69</v>
      </c>
      <c r="B32" s="5">
        <f>60*$H32</f>
        <v>0</v>
      </c>
      <c r="C32" s="5">
        <f>3*$H32</f>
        <v>0</v>
      </c>
      <c r="D32" s="5">
        <f>5*$H32</f>
        <v>0</v>
      </c>
      <c r="E32" s="5">
        <f t="shared" ref="E32:F38" si="1">0*$H32</f>
        <v>0</v>
      </c>
      <c r="F32" s="5">
        <f t="shared" si="1"/>
        <v>0</v>
      </c>
      <c r="G32" s="5">
        <f>2*$H32</f>
        <v>0</v>
      </c>
      <c r="I32" s="22" t="s">
        <v>70</v>
      </c>
      <c r="J32" s="2">
        <v>2</v>
      </c>
      <c r="L32" s="5">
        <f>Index[[#This Row],[Calories]]-(Index[[#This Row],[Fat Removed]]*Index[[#This Row],[Fat Calories]])</f>
        <v>0</v>
      </c>
      <c r="M32" s="5">
        <f>Index[[#This Row],[Fat ]]*9</f>
        <v>0</v>
      </c>
    </row>
    <row r="33" spans="1:13" x14ac:dyDescent="0.3">
      <c r="A33" s="34" t="s">
        <v>71</v>
      </c>
      <c r="B33" s="5">
        <f>100*$H33</f>
        <v>0</v>
      </c>
      <c r="C33" s="5">
        <f>2*$H33</f>
        <v>0</v>
      </c>
      <c r="D33" s="5">
        <f>11*$H33</f>
        <v>0</v>
      </c>
      <c r="E33" s="5">
        <f t="shared" si="1"/>
        <v>0</v>
      </c>
      <c r="F33" s="5">
        <f t="shared" si="1"/>
        <v>0</v>
      </c>
      <c r="G33" s="5">
        <f>1*$H33</f>
        <v>0</v>
      </c>
      <c r="I33" s="22" t="s">
        <v>66</v>
      </c>
      <c r="J33" s="2">
        <v>2</v>
      </c>
      <c r="L33" s="5">
        <f>Index[[#This Row],[Calories]]-(Index[[#This Row],[Fat Removed]]*Index[[#This Row],[Fat Calories]])</f>
        <v>0</v>
      </c>
      <c r="M33" s="5">
        <f>Index[[#This Row],[Fat ]]*9</f>
        <v>0</v>
      </c>
    </row>
    <row r="34" spans="1:13" x14ac:dyDescent="0.3">
      <c r="A34" s="34" t="s">
        <v>72</v>
      </c>
      <c r="B34" s="5">
        <f>0*$H34</f>
        <v>0</v>
      </c>
      <c r="C34" s="5">
        <f>0.5*$H34</f>
        <v>0</v>
      </c>
      <c r="D34" s="5">
        <f>0*$H34</f>
        <v>0</v>
      </c>
      <c r="E34" s="5">
        <f t="shared" si="1"/>
        <v>0</v>
      </c>
      <c r="F34" s="5">
        <f t="shared" si="1"/>
        <v>0</v>
      </c>
      <c r="G34" s="5">
        <f>0.5*$H34</f>
        <v>0</v>
      </c>
      <c r="I34" s="22" t="s">
        <v>73</v>
      </c>
      <c r="J34" s="2">
        <v>2</v>
      </c>
      <c r="L34" s="5">
        <f>Index[[#This Row],[Calories]]-(Index[[#This Row],[Fat Removed]]*Index[[#This Row],[Fat Calories]])</f>
        <v>0</v>
      </c>
      <c r="M34" s="5">
        <f>Index[[#This Row],[Fat ]]*9</f>
        <v>0</v>
      </c>
    </row>
    <row r="35" spans="1:13" x14ac:dyDescent="0.3">
      <c r="A35" s="34" t="s">
        <v>74</v>
      </c>
      <c r="B35" s="5">
        <f>0*$H35</f>
        <v>0</v>
      </c>
      <c r="C35" s="5">
        <f>0*$H35</f>
        <v>0</v>
      </c>
      <c r="D35" s="5">
        <f>0*$H35</f>
        <v>0</v>
      </c>
      <c r="E35" s="5">
        <f t="shared" si="1"/>
        <v>0</v>
      </c>
      <c r="F35" s="5">
        <f t="shared" si="1"/>
        <v>0</v>
      </c>
      <c r="G35" s="5">
        <f>0*$H35</f>
        <v>0</v>
      </c>
      <c r="J35" s="2">
        <v>2</v>
      </c>
      <c r="L35" s="5">
        <f>Index[[#This Row],[Calories]]-(Index[[#This Row],[Fat Removed]]*Index[[#This Row],[Fat Calories]])</f>
        <v>0</v>
      </c>
      <c r="M35" s="5">
        <f>Index[[#This Row],[Fat ]]*9</f>
        <v>0</v>
      </c>
    </row>
    <row r="36" spans="1:13" x14ac:dyDescent="0.3">
      <c r="A36" s="34" t="s">
        <v>75</v>
      </c>
      <c r="B36" s="5">
        <f>0*$H36</f>
        <v>0</v>
      </c>
      <c r="C36" s="5">
        <f>0*$H36</f>
        <v>0</v>
      </c>
      <c r="D36" s="5">
        <f>0*$H36</f>
        <v>0</v>
      </c>
      <c r="E36" s="5">
        <f t="shared" si="1"/>
        <v>0</v>
      </c>
      <c r="F36" s="5">
        <f t="shared" si="1"/>
        <v>0</v>
      </c>
      <c r="G36" s="5">
        <f>0*$H36</f>
        <v>0</v>
      </c>
      <c r="J36" s="2">
        <v>2</v>
      </c>
      <c r="L36" s="5">
        <f>Index[[#This Row],[Calories]]-(Index[[#This Row],[Fat Removed]]*Index[[#This Row],[Fat Calories]])</f>
        <v>0</v>
      </c>
      <c r="M36" s="5">
        <f>Index[[#This Row],[Fat ]]*9</f>
        <v>0</v>
      </c>
    </row>
    <row r="37" spans="1:13" x14ac:dyDescent="0.3">
      <c r="A37" s="34" t="s">
        <v>76</v>
      </c>
      <c r="B37" s="5">
        <f>0*$H37</f>
        <v>0</v>
      </c>
      <c r="C37" s="5">
        <f>0*$H37</f>
        <v>0</v>
      </c>
      <c r="D37" s="5">
        <f>0*$H37</f>
        <v>0</v>
      </c>
      <c r="E37" s="5">
        <f t="shared" si="1"/>
        <v>0</v>
      </c>
      <c r="F37" s="5">
        <f t="shared" si="1"/>
        <v>0</v>
      </c>
      <c r="G37" s="5">
        <f>0*$H37</f>
        <v>0</v>
      </c>
      <c r="J37" s="2">
        <v>2</v>
      </c>
      <c r="L37" s="5">
        <f>Index[[#This Row],[Calories]]-(Index[[#This Row],[Fat Removed]]*Index[[#This Row],[Fat Calories]])</f>
        <v>0</v>
      </c>
      <c r="M37" s="5">
        <f>Index[[#This Row],[Fat ]]*9</f>
        <v>0</v>
      </c>
    </row>
    <row r="38" spans="1:13" x14ac:dyDescent="0.3">
      <c r="A38" s="34" t="s">
        <v>77</v>
      </c>
      <c r="B38" s="5">
        <f>0*$H38</f>
        <v>0</v>
      </c>
      <c r="C38" s="5">
        <f>0*$H38</f>
        <v>0</v>
      </c>
      <c r="D38" s="5">
        <f>0*$H38</f>
        <v>0</v>
      </c>
      <c r="E38" s="5">
        <f t="shared" si="1"/>
        <v>0</v>
      </c>
      <c r="F38" s="5">
        <f t="shared" si="1"/>
        <v>0</v>
      </c>
      <c r="G38" s="5">
        <f>0*$H38</f>
        <v>0</v>
      </c>
      <c r="J38" s="2">
        <v>2</v>
      </c>
      <c r="L38" s="5">
        <f>Index[[#This Row],[Calories]]-(Index[[#This Row],[Fat Removed]]*Index[[#This Row],[Fat Calories]])</f>
        <v>0</v>
      </c>
      <c r="M38" s="5">
        <f>Index[[#This Row],[Fat ]]*9</f>
        <v>0</v>
      </c>
    </row>
    <row r="39" spans="1:13" ht="26.25" x14ac:dyDescent="0.4">
      <c r="B39" s="5"/>
      <c r="C39" s="5"/>
      <c r="D39" s="5"/>
      <c r="E39" s="5"/>
      <c r="F39" s="5"/>
      <c r="G39" s="62" t="s">
        <v>78</v>
      </c>
      <c r="J39" s="2">
        <v>2.0099999999999998</v>
      </c>
      <c r="L39" s="5"/>
      <c r="M39" s="5"/>
    </row>
    <row r="40" spans="1:13" x14ac:dyDescent="0.3">
      <c r="A40" s="34" t="s">
        <v>79</v>
      </c>
      <c r="B40" s="5">
        <f>110*$H40</f>
        <v>0</v>
      </c>
      <c r="C40" s="5">
        <f>0.5*$H40</f>
        <v>0</v>
      </c>
      <c r="D40" s="5">
        <f>9*$H40</f>
        <v>0</v>
      </c>
      <c r="E40" s="5">
        <f>7*$H40</f>
        <v>0</v>
      </c>
      <c r="F40" s="5">
        <f>0*$H40</f>
        <v>0</v>
      </c>
      <c r="G40" s="5">
        <f>0*$H40</f>
        <v>0</v>
      </c>
      <c r="I40" s="22" t="s">
        <v>80</v>
      </c>
      <c r="J40" s="2">
        <v>3</v>
      </c>
      <c r="L40" s="5">
        <f>Index[[#This Row],[Calories]]-(Index[[#This Row],[Fat Removed]]*Index[[#This Row],[Fat Calories]])</f>
        <v>0</v>
      </c>
      <c r="M40" s="5">
        <f>Index[[#This Row],[Fat ]]*9</f>
        <v>0</v>
      </c>
    </row>
    <row r="41" spans="1:13" x14ac:dyDescent="0.3">
      <c r="A41" s="34" t="s">
        <v>81</v>
      </c>
      <c r="B41" s="5">
        <f>120*$H41</f>
        <v>0</v>
      </c>
      <c r="C41" s="5">
        <f>2*$H41</f>
        <v>0</v>
      </c>
      <c r="D41" s="5">
        <f>9*$H41</f>
        <v>0</v>
      </c>
      <c r="E41" s="5">
        <f>6*$H41</f>
        <v>0</v>
      </c>
      <c r="F41" s="5">
        <f>0*$H41</f>
        <v>0</v>
      </c>
      <c r="G41" s="5">
        <f>0*$H41</f>
        <v>0</v>
      </c>
      <c r="I41" s="22" t="s">
        <v>80</v>
      </c>
      <c r="J41" s="2">
        <v>3</v>
      </c>
      <c r="L41" s="5">
        <f>Index[[#This Row],[Calories]]-(Index[[#This Row],[Fat Removed]]*Index[[#This Row],[Fat Calories]])</f>
        <v>0</v>
      </c>
      <c r="M41" s="5">
        <f>Index[[#This Row],[Fat ]]*9</f>
        <v>0</v>
      </c>
    </row>
    <row r="42" spans="1:13" x14ac:dyDescent="0.3">
      <c r="A42" s="34" t="s">
        <v>82</v>
      </c>
      <c r="B42" s="5">
        <f>100*$H42</f>
        <v>0</v>
      </c>
      <c r="C42" s="5">
        <f>1*$H42</f>
        <v>0</v>
      </c>
      <c r="D42" s="5">
        <f>8*$H42</f>
        <v>0</v>
      </c>
      <c r="E42" s="5">
        <f>6*$H42</f>
        <v>0</v>
      </c>
      <c r="F42" s="5">
        <f t="shared" ref="F42:G60" si="2">0*$H42</f>
        <v>0</v>
      </c>
      <c r="G42" s="5">
        <f>0.5*$H42</f>
        <v>0</v>
      </c>
      <c r="I42" s="22" t="s">
        <v>80</v>
      </c>
      <c r="J42" s="2">
        <v>3</v>
      </c>
      <c r="L42" s="5">
        <f>Index[[#This Row],[Calories]]-(Index[[#This Row],[Fat Removed]]*Index[[#This Row],[Fat Calories]])</f>
        <v>0</v>
      </c>
      <c r="M42" s="5">
        <f>Index[[#This Row],[Fat ]]*9</f>
        <v>0</v>
      </c>
    </row>
    <row r="43" spans="1:13" x14ac:dyDescent="0.3">
      <c r="A43" s="34" t="s">
        <v>83</v>
      </c>
      <c r="B43" s="5">
        <f>90*$H43</f>
        <v>0</v>
      </c>
      <c r="C43" s="5">
        <f>2*$H43</f>
        <v>0</v>
      </c>
      <c r="D43" s="5">
        <f>6*$H43</f>
        <v>0</v>
      </c>
      <c r="E43" s="5">
        <f>7*$H43</f>
        <v>0</v>
      </c>
      <c r="F43" s="5">
        <f t="shared" si="2"/>
        <v>0</v>
      </c>
      <c r="G43" s="5">
        <f>0*$H43</f>
        <v>0</v>
      </c>
      <c r="I43" s="22" t="s">
        <v>80</v>
      </c>
      <c r="J43" s="2">
        <v>3</v>
      </c>
      <c r="L43" s="5">
        <f>Index[[#This Row],[Calories]]-(Index[[#This Row],[Fat Removed]]*Index[[#This Row],[Fat Calories]])</f>
        <v>0</v>
      </c>
      <c r="M43" s="5">
        <f>Index[[#This Row],[Fat ]]*9</f>
        <v>0</v>
      </c>
    </row>
    <row r="44" spans="1:13" x14ac:dyDescent="0.3">
      <c r="A44" s="34" t="s">
        <v>84</v>
      </c>
      <c r="B44" s="5">
        <f>110*$H44</f>
        <v>0</v>
      </c>
      <c r="C44" s="5">
        <f>0.5*$H44</f>
        <v>0</v>
      </c>
      <c r="D44" s="5">
        <f>9*$H44</f>
        <v>0</v>
      </c>
      <c r="E44" s="5">
        <f>6*$H44</f>
        <v>0</v>
      </c>
      <c r="F44" s="5">
        <f t="shared" si="2"/>
        <v>0</v>
      </c>
      <c r="G44" s="5">
        <f>0.5*$H44</f>
        <v>0</v>
      </c>
      <c r="I44" s="22" t="s">
        <v>80</v>
      </c>
      <c r="J44" s="2">
        <v>3</v>
      </c>
      <c r="L44" s="5">
        <f>Index[[#This Row],[Calories]]-(Index[[#This Row],[Fat Removed]]*Index[[#This Row],[Fat Calories]])</f>
        <v>0</v>
      </c>
      <c r="M44" s="5">
        <f>Index[[#This Row],[Fat ]]*9</f>
        <v>0</v>
      </c>
    </row>
    <row r="45" spans="1:13" x14ac:dyDescent="0.3">
      <c r="A45" s="34" t="s">
        <v>85</v>
      </c>
      <c r="B45" s="5">
        <f>80*$H45</f>
        <v>0</v>
      </c>
      <c r="C45" s="5">
        <f>2*$H45</f>
        <v>0</v>
      </c>
      <c r="D45" s="5">
        <f>6*$H45</f>
        <v>0</v>
      </c>
      <c r="E45" s="5">
        <f>7*$H45</f>
        <v>0</v>
      </c>
      <c r="F45" s="5">
        <f t="shared" si="2"/>
        <v>0</v>
      </c>
      <c r="G45" s="5">
        <f>0.5*$H45</f>
        <v>0</v>
      </c>
      <c r="I45" s="22" t="s">
        <v>80</v>
      </c>
      <c r="J45" s="2">
        <v>3</v>
      </c>
      <c r="L45" s="5">
        <f>Index[[#This Row],[Calories]]-(Index[[#This Row],[Fat Removed]]*Index[[#This Row],[Fat Calories]])</f>
        <v>0</v>
      </c>
      <c r="M45" s="5">
        <f>Index[[#This Row],[Fat ]]*9</f>
        <v>0</v>
      </c>
    </row>
    <row r="46" spans="1:13" ht="37.5" x14ac:dyDescent="0.3">
      <c r="A46" s="34" t="s">
        <v>86</v>
      </c>
      <c r="B46" s="5">
        <f>90*$H46</f>
        <v>0</v>
      </c>
      <c r="C46" s="5">
        <f>1*$H46</f>
        <v>0</v>
      </c>
      <c r="D46" s="5">
        <f>7*$H46</f>
        <v>0</v>
      </c>
      <c r="E46" s="5">
        <f>6*$H46</f>
        <v>0</v>
      </c>
      <c r="F46" s="5">
        <f t="shared" si="2"/>
        <v>0</v>
      </c>
      <c r="G46" s="5">
        <f>0*$H46</f>
        <v>0</v>
      </c>
      <c r="I46" s="22" t="s">
        <v>80</v>
      </c>
      <c r="J46" s="2">
        <v>3</v>
      </c>
      <c r="L46" s="5">
        <f>Index[[#This Row],[Calories]]-(Index[[#This Row],[Fat Removed]]*Index[[#This Row],[Fat Calories]])</f>
        <v>0</v>
      </c>
      <c r="M46" s="5">
        <f>Index[[#This Row],[Fat ]]*9</f>
        <v>0</v>
      </c>
    </row>
    <row r="47" spans="1:13" ht="37.5" x14ac:dyDescent="0.3">
      <c r="A47" s="34" t="s">
        <v>87</v>
      </c>
      <c r="B47" s="5">
        <f>80*$H47</f>
        <v>0</v>
      </c>
      <c r="C47" s="5">
        <f>2*$H47</f>
        <v>0</v>
      </c>
      <c r="D47" s="5">
        <f>6*$H47</f>
        <v>0</v>
      </c>
      <c r="E47" s="5">
        <f>7*$H47</f>
        <v>0</v>
      </c>
      <c r="F47" s="5">
        <f t="shared" si="2"/>
        <v>0</v>
      </c>
      <c r="G47" s="5">
        <f>0.5*$H47</f>
        <v>0</v>
      </c>
      <c r="I47" s="22" t="s">
        <v>80</v>
      </c>
      <c r="J47" s="2">
        <v>3</v>
      </c>
      <c r="L47" s="5">
        <f>Index[[#This Row],[Calories]]-(Index[[#This Row],[Fat Removed]]*Index[[#This Row],[Fat Calories]])</f>
        <v>0</v>
      </c>
      <c r="M47" s="5">
        <f>Index[[#This Row],[Fat ]]*9</f>
        <v>0</v>
      </c>
    </row>
    <row r="48" spans="1:13" x14ac:dyDescent="0.3">
      <c r="A48" s="34" t="s">
        <v>88</v>
      </c>
      <c r="B48" s="5">
        <f>20*$H48</f>
        <v>0</v>
      </c>
      <c r="C48" s="5">
        <f>0*$H48</f>
        <v>0</v>
      </c>
      <c r="D48" s="5">
        <f>1.5*$H48</f>
        <v>0</v>
      </c>
      <c r="E48" s="5">
        <f>2*$H48</f>
        <v>0</v>
      </c>
      <c r="F48" s="5">
        <f t="shared" si="2"/>
        <v>0</v>
      </c>
      <c r="G48" s="5">
        <f>0*$H48</f>
        <v>0</v>
      </c>
      <c r="I48" s="22" t="s">
        <v>89</v>
      </c>
      <c r="J48" s="2">
        <v>3</v>
      </c>
      <c r="L48" s="5">
        <f>Index[[#This Row],[Calories]]-(Index[[#This Row],[Fat Removed]]*Index[[#This Row],[Fat Calories]])</f>
        <v>0</v>
      </c>
      <c r="M48" s="5">
        <f>Index[[#This Row],[Fat ]]*9</f>
        <v>0</v>
      </c>
    </row>
    <row r="49" spans="1:13" ht="37.5" x14ac:dyDescent="0.3">
      <c r="A49" s="34" t="s">
        <v>577</v>
      </c>
      <c r="B49" s="5">
        <f>60*$H49</f>
        <v>0</v>
      </c>
      <c r="C49" s="5">
        <f>1*$H49</f>
        <v>0</v>
      </c>
      <c r="D49" s="5">
        <f>4*$H49</f>
        <v>0</v>
      </c>
      <c r="E49" s="5">
        <f t="shared" ref="E49:E54" si="3">5*$H49</f>
        <v>0</v>
      </c>
      <c r="F49" s="5">
        <f t="shared" si="2"/>
        <v>0</v>
      </c>
      <c r="G49" s="5">
        <f t="shared" si="2"/>
        <v>0</v>
      </c>
      <c r="I49" s="22" t="s">
        <v>579</v>
      </c>
      <c r="J49" s="2">
        <v>3</v>
      </c>
      <c r="L49" s="5">
        <f>Index[[#This Row],[Calories]]-(Index[[#This Row],[Fat Removed]]*Index[[#This Row],[Fat Calories]])</f>
        <v>0</v>
      </c>
      <c r="M49" s="5">
        <f>Index[[#This Row],[Fat ]]*9</f>
        <v>0</v>
      </c>
    </row>
    <row r="50" spans="1:13" ht="37.5" x14ac:dyDescent="0.3">
      <c r="A50" s="34" t="s">
        <v>578</v>
      </c>
      <c r="B50" s="5">
        <f>70*$H50</f>
        <v>0</v>
      </c>
      <c r="C50" s="5">
        <f>0*$H50</f>
        <v>0</v>
      </c>
      <c r="D50" s="5">
        <f>6*$H50</f>
        <v>0</v>
      </c>
      <c r="E50" s="5">
        <f t="shared" si="3"/>
        <v>0</v>
      </c>
      <c r="F50" s="5">
        <f t="shared" si="2"/>
        <v>0</v>
      </c>
      <c r="G50" s="5">
        <f t="shared" si="2"/>
        <v>0</v>
      </c>
      <c r="I50" s="22" t="s">
        <v>579</v>
      </c>
      <c r="J50" s="2">
        <v>3</v>
      </c>
      <c r="L50" s="5">
        <f>Index[[#This Row],[Calories]]-(Index[[#This Row],[Fat Removed]]*Index[[#This Row],[Fat Calories]])</f>
        <v>0</v>
      </c>
      <c r="M50" s="5">
        <f>Index[[#This Row],[Fat ]]*9</f>
        <v>0</v>
      </c>
    </row>
    <row r="51" spans="1:13" ht="37.5" x14ac:dyDescent="0.3">
      <c r="A51" s="34" t="s">
        <v>629</v>
      </c>
      <c r="B51" s="5">
        <f>80*$H51</f>
        <v>0</v>
      </c>
      <c r="C51" s="5">
        <f>0*$H51</f>
        <v>0</v>
      </c>
      <c r="D51" s="5">
        <f>7*$H51</f>
        <v>0</v>
      </c>
      <c r="E51" s="5">
        <f t="shared" si="3"/>
        <v>0</v>
      </c>
      <c r="F51" s="5">
        <f t="shared" si="2"/>
        <v>0</v>
      </c>
      <c r="G51" s="5">
        <f t="shared" si="2"/>
        <v>0</v>
      </c>
      <c r="I51" s="22" t="s">
        <v>579</v>
      </c>
      <c r="J51" s="2">
        <v>3</v>
      </c>
      <c r="L51" s="5">
        <f>Index[[#This Row],[Calories]]-(Index[[#This Row],[Fat Removed]]*Index[[#This Row],[Fat Calories]])</f>
        <v>0</v>
      </c>
      <c r="M51" s="5">
        <f>Index[[#This Row],[Fat ]]*9</f>
        <v>0</v>
      </c>
    </row>
    <row r="52" spans="1:13" ht="37.5" x14ac:dyDescent="0.3">
      <c r="A52" s="34" t="s">
        <v>594</v>
      </c>
      <c r="B52" s="5">
        <f>80*$H52</f>
        <v>0</v>
      </c>
      <c r="C52" s="5">
        <f>0.5*$H52</f>
        <v>0</v>
      </c>
      <c r="D52" s="5">
        <f>7*$H52</f>
        <v>0</v>
      </c>
      <c r="E52" s="5">
        <f t="shared" si="3"/>
        <v>0</v>
      </c>
      <c r="F52" s="5">
        <f t="shared" si="2"/>
        <v>0</v>
      </c>
      <c r="G52" s="5">
        <f t="shared" si="2"/>
        <v>0</v>
      </c>
      <c r="I52" s="22" t="s">
        <v>579</v>
      </c>
      <c r="J52" s="2">
        <v>3</v>
      </c>
      <c r="L52" s="5">
        <f>Index[[#This Row],[Calories]]-(Index[[#This Row],[Fat Removed]]*Index[[#This Row],[Fat Calories]])</f>
        <v>0</v>
      </c>
      <c r="M52" s="5">
        <f>Index[[#This Row],[Fat ]]*9</f>
        <v>0</v>
      </c>
    </row>
    <row r="53" spans="1:13" ht="37.5" x14ac:dyDescent="0.3">
      <c r="A53" s="34" t="s">
        <v>596</v>
      </c>
      <c r="B53" s="5">
        <f>80*$H53</f>
        <v>0</v>
      </c>
      <c r="C53" s="5">
        <f>0.5*$H53</f>
        <v>0</v>
      </c>
      <c r="D53" s="5">
        <f>7*$H53</f>
        <v>0</v>
      </c>
      <c r="E53" s="5">
        <f t="shared" si="3"/>
        <v>0</v>
      </c>
      <c r="F53" s="5">
        <f t="shared" si="2"/>
        <v>0</v>
      </c>
      <c r="G53" s="5">
        <f t="shared" si="2"/>
        <v>0</v>
      </c>
      <c r="I53" s="22" t="s">
        <v>579</v>
      </c>
      <c r="J53" s="2">
        <v>3</v>
      </c>
      <c r="L53" s="5">
        <f>Index[[#This Row],[Calories]]-(Index[[#This Row],[Fat Removed]]*Index[[#This Row],[Fat Calories]])</f>
        <v>0</v>
      </c>
      <c r="M53" s="5">
        <f>Index[[#This Row],[Fat ]]*9</f>
        <v>0</v>
      </c>
    </row>
    <row r="54" spans="1:13" ht="37.5" x14ac:dyDescent="0.3">
      <c r="A54" s="34" t="s">
        <v>595</v>
      </c>
      <c r="B54" s="5">
        <f>80*$H54</f>
        <v>0</v>
      </c>
      <c r="C54" s="5">
        <f>0.5*$H54</f>
        <v>0</v>
      </c>
      <c r="D54" s="5">
        <f>7*$H54</f>
        <v>0</v>
      </c>
      <c r="E54" s="5">
        <f t="shared" si="3"/>
        <v>0</v>
      </c>
      <c r="F54" s="5">
        <f t="shared" si="2"/>
        <v>0</v>
      </c>
      <c r="G54" s="5">
        <f>0*$H54</f>
        <v>0</v>
      </c>
      <c r="I54" s="22" t="s">
        <v>579</v>
      </c>
      <c r="J54" s="2">
        <v>3</v>
      </c>
      <c r="L54" s="5">
        <f>Index[[#This Row],[Calories]]-(Index[[#This Row],[Fat Removed]]*Index[[#This Row],[Fat Calories]])</f>
        <v>0</v>
      </c>
      <c r="M54" s="5">
        <f>Index[[#This Row],[Fat ]]*9</f>
        <v>0</v>
      </c>
    </row>
    <row r="55" spans="1:13" ht="37.5" x14ac:dyDescent="0.3">
      <c r="A55" s="34" t="s">
        <v>548</v>
      </c>
      <c r="B55" s="5">
        <f>80*$H55</f>
        <v>0</v>
      </c>
      <c r="C55" s="5">
        <f>2*$H55</f>
        <v>0</v>
      </c>
      <c r="D55" s="5">
        <f>6*$H55</f>
        <v>0</v>
      </c>
      <c r="E55" s="5">
        <f>7*$H55</f>
        <v>0</v>
      </c>
      <c r="F55" s="5">
        <f t="shared" si="2"/>
        <v>0</v>
      </c>
      <c r="G55" s="5">
        <f>0.5*$H55</f>
        <v>0</v>
      </c>
      <c r="I55" s="22" t="s">
        <v>549</v>
      </c>
      <c r="J55" s="2">
        <v>3</v>
      </c>
      <c r="L55" s="5">
        <f>Index[[#This Row],[Calories]]-(Index[[#This Row],[Fat Removed]]*Index[[#This Row],[Fat Calories]])</f>
        <v>0</v>
      </c>
      <c r="M55" s="5">
        <f>Index[[#This Row],[Fat ]]*9</f>
        <v>0</v>
      </c>
    </row>
    <row r="56" spans="1:13" x14ac:dyDescent="0.3">
      <c r="A56" s="34" t="s">
        <v>550</v>
      </c>
      <c r="B56" s="5">
        <f>110*$H56</f>
        <v>0</v>
      </c>
      <c r="C56" s="5">
        <f>0*$H56</f>
        <v>0</v>
      </c>
      <c r="D56" s="5">
        <f>9*$H56</f>
        <v>0</v>
      </c>
      <c r="E56" s="5">
        <f>6*$H56</f>
        <v>0</v>
      </c>
      <c r="F56" s="5">
        <f t="shared" si="2"/>
        <v>0</v>
      </c>
      <c r="G56" s="5">
        <f>0*$H56</f>
        <v>0</v>
      </c>
      <c r="I56" s="22" t="s">
        <v>549</v>
      </c>
      <c r="J56" s="2">
        <v>3</v>
      </c>
      <c r="L56" s="5">
        <f>Index[[#This Row],[Calories]]-(Index[[#This Row],[Fat Removed]]*Index[[#This Row],[Fat Calories]])</f>
        <v>0</v>
      </c>
      <c r="M56" s="5">
        <f>Index[[#This Row],[Fat ]]*9</f>
        <v>0</v>
      </c>
    </row>
    <row r="57" spans="1:13" x14ac:dyDescent="0.3">
      <c r="A57" s="34" t="s">
        <v>551</v>
      </c>
      <c r="B57" s="5">
        <f>110*$H57</f>
        <v>0</v>
      </c>
      <c r="C57" s="5">
        <f>1*$H57</f>
        <v>0</v>
      </c>
      <c r="D57" s="5">
        <f>9*$H57</f>
        <v>0</v>
      </c>
      <c r="E57" s="5">
        <f>6*$H57</f>
        <v>0</v>
      </c>
      <c r="F57" s="5">
        <f t="shared" si="2"/>
        <v>0</v>
      </c>
      <c r="G57" s="5">
        <f>0*$H57</f>
        <v>0</v>
      </c>
      <c r="I57" s="22" t="s">
        <v>549</v>
      </c>
      <c r="J57" s="2">
        <v>3</v>
      </c>
      <c r="L57" s="5">
        <f>Index[[#This Row],[Calories]]-(Index[[#This Row],[Fat Removed]]*Index[[#This Row],[Fat Calories]])</f>
        <v>0</v>
      </c>
      <c r="M57" s="5">
        <f>Index[[#This Row],[Fat ]]*9</f>
        <v>0</v>
      </c>
    </row>
    <row r="58" spans="1:13" ht="37.5" x14ac:dyDescent="0.3">
      <c r="A58" s="34" t="s">
        <v>635</v>
      </c>
      <c r="B58" s="5">
        <f>110*$H58</f>
        <v>0</v>
      </c>
      <c r="C58" s="5">
        <f>1*$H58</f>
        <v>0</v>
      </c>
      <c r="D58" s="5">
        <f>9*$H58</f>
        <v>0</v>
      </c>
      <c r="E58" s="5">
        <f>7*$H58</f>
        <v>0</v>
      </c>
      <c r="F58" s="5">
        <f t="shared" si="2"/>
        <v>0</v>
      </c>
      <c r="G58" s="5">
        <f>0*$H58</f>
        <v>0</v>
      </c>
      <c r="I58" s="22" t="s">
        <v>636</v>
      </c>
      <c r="J58" s="2">
        <v>3</v>
      </c>
      <c r="L58" s="5">
        <f>Index[[#This Row],[Calories]]-(Index[[#This Row],[Fat Removed]]*Index[[#This Row],[Fat Calories]])</f>
        <v>0</v>
      </c>
      <c r="M58" s="5">
        <f>Index[[#This Row],[Fat ]]*9</f>
        <v>0</v>
      </c>
    </row>
    <row r="59" spans="1:13" ht="37.5" x14ac:dyDescent="0.3">
      <c r="A59" s="34" t="s">
        <v>90</v>
      </c>
      <c r="B59" s="5">
        <f>70*$H59</f>
        <v>0</v>
      </c>
      <c r="C59" s="5">
        <f>3*$H59</f>
        <v>0</v>
      </c>
      <c r="D59" s="5">
        <f>4*$H59</f>
        <v>0</v>
      </c>
      <c r="E59" s="5">
        <f>4*$H59</f>
        <v>0</v>
      </c>
      <c r="F59" s="5">
        <f t="shared" si="2"/>
        <v>0</v>
      </c>
      <c r="G59" s="5">
        <f>2*$H59</f>
        <v>0</v>
      </c>
      <c r="I59" s="61" t="s">
        <v>91</v>
      </c>
      <c r="J59" s="2">
        <v>3</v>
      </c>
      <c r="L59" s="5">
        <f>Index[[#This Row],[Calories]]-(Index[[#This Row],[Fat Removed]]*Index[[#This Row],[Fat Calories]])</f>
        <v>0</v>
      </c>
      <c r="M59" s="5">
        <f>Index[[#This Row],[Fat ]]*9</f>
        <v>0</v>
      </c>
    </row>
    <row r="60" spans="1:13" ht="37.5" x14ac:dyDescent="0.3">
      <c r="A60" s="34" t="s">
        <v>645</v>
      </c>
      <c r="B60" s="5">
        <f>100*$H60</f>
        <v>0</v>
      </c>
      <c r="C60" s="5">
        <f>0.5*$H60</f>
        <v>0</v>
      </c>
      <c r="D60" s="5">
        <f>10*$H60</f>
        <v>0</v>
      </c>
      <c r="E60" s="5">
        <f>2*$H60</f>
        <v>0</v>
      </c>
      <c r="F60" s="5">
        <f t="shared" si="2"/>
        <v>0</v>
      </c>
      <c r="G60" s="5">
        <f>0.5*$H60</f>
        <v>0</v>
      </c>
      <c r="J60" s="2">
        <v>3</v>
      </c>
      <c r="L60" s="5">
        <f>Index[[#This Row],[Calories]]-(Index[[#This Row],[Fat Removed]]*Index[[#This Row],[Fat Calories]])</f>
        <v>0</v>
      </c>
      <c r="M60" s="5">
        <f>Index[[#This Row],[Fat ]]*9</f>
        <v>0</v>
      </c>
    </row>
    <row r="61" spans="1:13" x14ac:dyDescent="0.3">
      <c r="A61" s="34" t="s">
        <v>644</v>
      </c>
      <c r="B61" s="5">
        <f>90*$H61</f>
        <v>0</v>
      </c>
      <c r="C61" s="5">
        <f>2*$H61</f>
        <v>0</v>
      </c>
      <c r="D61" s="5">
        <f>9*$H61</f>
        <v>0</v>
      </c>
      <c r="E61" s="5">
        <f>2*$H61</f>
        <v>0</v>
      </c>
      <c r="F61" s="5">
        <f>0*$H61</f>
        <v>0</v>
      </c>
      <c r="G61" s="5">
        <f>1*$H61</f>
        <v>0</v>
      </c>
      <c r="H61" s="5"/>
      <c r="I61" s="22" t="s">
        <v>556</v>
      </c>
      <c r="J61" s="2">
        <v>3</v>
      </c>
      <c r="L61" s="5">
        <f>Index[[#This Row],[Calories]]-(Index[[#This Row],[Fat Removed]]*Index[[#This Row],[Fat Calories]])</f>
        <v>0</v>
      </c>
      <c r="M61" s="5">
        <f>Index[[#This Row],[Fat ]]*9</f>
        <v>0</v>
      </c>
    </row>
    <row r="62" spans="1:13" x14ac:dyDescent="0.3">
      <c r="A62" s="34" t="s">
        <v>573</v>
      </c>
      <c r="B62" s="5">
        <f>50*$H62</f>
        <v>0</v>
      </c>
      <c r="C62" s="5">
        <f>0.5*$H62</f>
        <v>0</v>
      </c>
      <c r="D62" s="5">
        <f>5*$H62</f>
        <v>0</v>
      </c>
      <c r="E62" s="5">
        <f>0*$H62</f>
        <v>0</v>
      </c>
      <c r="F62" s="5">
        <f>0*$H62</f>
        <v>0</v>
      </c>
      <c r="G62" s="5">
        <f>0.5*$H62</f>
        <v>0</v>
      </c>
      <c r="I62" s="22" t="s">
        <v>574</v>
      </c>
      <c r="J62" s="2">
        <v>3</v>
      </c>
      <c r="L62" s="5">
        <f>Index[[#This Row],[Calories]]-(Index[[#This Row],[Fat Removed]]*Index[[#This Row],[Fat Calories]])</f>
        <v>0</v>
      </c>
      <c r="M62" s="5">
        <f>Index[[#This Row],[Fat ]]*9</f>
        <v>0</v>
      </c>
    </row>
    <row r="63" spans="1:13" ht="26.25" x14ac:dyDescent="0.4">
      <c r="B63" s="5"/>
      <c r="C63" s="5"/>
      <c r="D63" s="5"/>
      <c r="E63" s="5"/>
      <c r="F63" s="5"/>
      <c r="G63" s="62" t="s">
        <v>92</v>
      </c>
      <c r="J63" s="2">
        <v>3.01</v>
      </c>
      <c r="L63" s="5"/>
      <c r="M63" s="5"/>
    </row>
    <row r="64" spans="1:13" x14ac:dyDescent="0.3">
      <c r="A64" s="34" t="s">
        <v>93</v>
      </c>
      <c r="B64" s="5">
        <f>5*$H64</f>
        <v>0</v>
      </c>
      <c r="C64" s="5">
        <f>1*$H64</f>
        <v>0</v>
      </c>
      <c r="D64" s="5">
        <f t="shared" ref="D64:F65" si="4">0*$H64</f>
        <v>0</v>
      </c>
      <c r="E64" s="5">
        <f t="shared" si="4"/>
        <v>0</v>
      </c>
      <c r="F64" s="5">
        <f t="shared" si="4"/>
        <v>0</v>
      </c>
      <c r="G64" s="5">
        <f>1*$H64</f>
        <v>0</v>
      </c>
      <c r="J64" s="2">
        <v>4</v>
      </c>
      <c r="L64" s="5">
        <f>Index[[#This Row],[Calories]]-(Index[[#This Row],[Fat Removed]]*Index[[#This Row],[Fat Calories]])</f>
        <v>0</v>
      </c>
      <c r="M64" s="5">
        <f>Index[[#This Row],[Fat ]]*9</f>
        <v>0</v>
      </c>
    </row>
    <row r="65" spans="1:13" x14ac:dyDescent="0.3">
      <c r="A65" s="34" t="s">
        <v>94</v>
      </c>
      <c r="B65" s="5">
        <f>5*$H65</f>
        <v>0</v>
      </c>
      <c r="C65" s="5">
        <f>1*$H65</f>
        <v>0</v>
      </c>
      <c r="D65" s="5">
        <f t="shared" si="4"/>
        <v>0</v>
      </c>
      <c r="E65" s="5">
        <f t="shared" si="4"/>
        <v>0</v>
      </c>
      <c r="F65" s="5">
        <f t="shared" si="4"/>
        <v>0</v>
      </c>
      <c r="G65" s="5">
        <f>0*$H65</f>
        <v>0</v>
      </c>
      <c r="J65" s="2">
        <v>4</v>
      </c>
      <c r="L65" s="5">
        <f>Index[[#This Row],[Calories]]-(Index[[#This Row],[Fat Removed]]*Index[[#This Row],[Fat Calories]])</f>
        <v>0</v>
      </c>
      <c r="M65" s="5">
        <f>Index[[#This Row],[Fat ]]*9</f>
        <v>0</v>
      </c>
    </row>
    <row r="66" spans="1:13" x14ac:dyDescent="0.3">
      <c r="A66" s="34" t="s">
        <v>95</v>
      </c>
      <c r="B66" s="5">
        <f>32*$H66</f>
        <v>0</v>
      </c>
      <c r="C66" s="5">
        <f>7.3*$H66</f>
        <v>0</v>
      </c>
      <c r="D66" s="5">
        <f t="shared" ref="D66:D72" si="5">0.2*$H66</f>
        <v>0</v>
      </c>
      <c r="E66" s="5">
        <f>1.8*$H66</f>
        <v>0</v>
      </c>
      <c r="F66" s="5">
        <f>2.7*$H66</f>
        <v>0</v>
      </c>
      <c r="G66" s="5">
        <f>2.3*$H66</f>
        <v>0</v>
      </c>
      <c r="I66" s="22" t="s">
        <v>96</v>
      </c>
      <c r="J66" s="2">
        <v>4</v>
      </c>
      <c r="L66" s="5">
        <f>Index[[#This Row],[Calories]]-(Index[[#This Row],[Fat Removed]]*Index[[#This Row],[Fat Calories]])</f>
        <v>0</v>
      </c>
      <c r="M66" s="5">
        <f>Index[[#This Row],[Fat ]]*9</f>
        <v>0</v>
      </c>
    </row>
    <row r="67" spans="1:13" x14ac:dyDescent="0.3">
      <c r="A67" s="34" t="s">
        <v>102</v>
      </c>
      <c r="B67" s="5">
        <f>44*$H67</f>
        <v>0</v>
      </c>
      <c r="C67" s="5">
        <f>10*$H67</f>
        <v>0</v>
      </c>
      <c r="D67" s="5">
        <f t="shared" si="5"/>
        <v>0</v>
      </c>
      <c r="E67" s="5">
        <f>1.4*$H67</f>
        <v>0</v>
      </c>
      <c r="F67" s="5">
        <f>1.4*$H67</f>
        <v>0</v>
      </c>
      <c r="G67" s="5">
        <f>4.7*$H67</f>
        <v>0</v>
      </c>
      <c r="I67" s="22" t="s">
        <v>96</v>
      </c>
      <c r="J67" s="2">
        <v>4</v>
      </c>
      <c r="L67" s="5">
        <f>Index[[#This Row],[Calories]]-(Index[[#This Row],[Fat Removed]]*Index[[#This Row],[Fat Calories]])</f>
        <v>0</v>
      </c>
      <c r="M67" s="5">
        <f>Index[[#This Row],[Fat ]]*9</f>
        <v>0</v>
      </c>
    </row>
    <row r="68" spans="1:13" x14ac:dyDescent="0.3">
      <c r="A68" s="34" t="s">
        <v>655</v>
      </c>
      <c r="B68" s="5">
        <f>44*$H68</f>
        <v>0</v>
      </c>
      <c r="C68" s="5">
        <f>10*$H68</f>
        <v>0</v>
      </c>
      <c r="D68" s="5">
        <f>0*$H68</f>
        <v>0</v>
      </c>
      <c r="E68" s="5">
        <f>1*$H68</f>
        <v>0</v>
      </c>
      <c r="F68" s="5">
        <f>1*$H68</f>
        <v>0</v>
      </c>
      <c r="G68" s="5">
        <f>5*$H68</f>
        <v>0</v>
      </c>
      <c r="I68" s="22" t="s">
        <v>96</v>
      </c>
      <c r="J68" s="2">
        <v>4</v>
      </c>
      <c r="L68" s="5">
        <f>Index[[#This Row],[Calories]]-(Index[[#This Row],[Fat Removed]]*Index[[#This Row],[Fat Calories]])</f>
        <v>0</v>
      </c>
      <c r="M68" s="5">
        <f>Index[[#This Row],[Fat ]]*9</f>
        <v>0</v>
      </c>
    </row>
    <row r="69" spans="1:13" x14ac:dyDescent="0.3">
      <c r="A69" s="34" t="s">
        <v>97</v>
      </c>
      <c r="B69" s="5">
        <f>28*$H69</f>
        <v>0</v>
      </c>
      <c r="C69" s="5">
        <f>6.7*$H69</f>
        <v>0</v>
      </c>
      <c r="D69" s="5">
        <f t="shared" si="5"/>
        <v>0</v>
      </c>
      <c r="E69" s="5">
        <f>1.9*$H69</f>
        <v>0</v>
      </c>
      <c r="F69" s="5">
        <f>1.2*$H69</f>
        <v>0</v>
      </c>
      <c r="G69" s="5">
        <f>3.2*$H69</f>
        <v>0</v>
      </c>
      <c r="I69" s="22" t="s">
        <v>96</v>
      </c>
      <c r="J69" s="2">
        <v>4</v>
      </c>
      <c r="L69" s="5">
        <f>Index[[#This Row],[Calories]]-(Index[[#This Row],[Fat Removed]]*Index[[#This Row],[Fat Calories]])</f>
        <v>0</v>
      </c>
      <c r="M69" s="5">
        <f>Index[[#This Row],[Fat ]]*9</f>
        <v>0</v>
      </c>
    </row>
    <row r="70" spans="1:13" x14ac:dyDescent="0.3">
      <c r="A70" s="34" t="s">
        <v>27</v>
      </c>
      <c r="B70" s="5">
        <f>28*$H70</f>
        <v>0</v>
      </c>
      <c r="C70" s="5">
        <f>6.7*$H70</f>
        <v>0</v>
      </c>
      <c r="D70" s="5">
        <f t="shared" si="5"/>
        <v>0</v>
      </c>
      <c r="E70" s="5">
        <f>0.9*$H70</f>
        <v>0</v>
      </c>
      <c r="F70" s="5">
        <f>1.2*$H70</f>
        <v>0</v>
      </c>
      <c r="G70" s="5">
        <f>4.4*$H70</f>
        <v>0</v>
      </c>
      <c r="I70" s="22" t="s">
        <v>96</v>
      </c>
      <c r="J70" s="2">
        <v>4</v>
      </c>
      <c r="L70" s="5">
        <f>Index[[#This Row],[Calories]]-(Index[[#This Row],[Fat Removed]]*Index[[#This Row],[Fat Calories]])</f>
        <v>0</v>
      </c>
      <c r="M70" s="5">
        <f>Index[[#This Row],[Fat ]]*9</f>
        <v>0</v>
      </c>
    </row>
    <row r="71" spans="1:13" x14ac:dyDescent="0.3">
      <c r="A71" s="34" t="s">
        <v>98</v>
      </c>
      <c r="B71" s="5">
        <f>28*$H71</f>
        <v>0</v>
      </c>
      <c r="C71" s="5">
        <f>6.7*$H71</f>
        <v>0</v>
      </c>
      <c r="D71" s="5">
        <f t="shared" si="5"/>
        <v>0</v>
      </c>
      <c r="E71" s="5">
        <f>0.9*$H71</f>
        <v>0</v>
      </c>
      <c r="F71" s="5">
        <f>1.2*$H71</f>
        <v>0</v>
      </c>
      <c r="G71" s="5">
        <f>4.4*$H71</f>
        <v>0</v>
      </c>
      <c r="I71" s="22" t="s">
        <v>96</v>
      </c>
      <c r="J71" s="2">
        <v>4</v>
      </c>
      <c r="L71" s="5">
        <f>Index[[#This Row],[Calories]]-(Index[[#This Row],[Fat Removed]]*Index[[#This Row],[Fat Calories]])</f>
        <v>0</v>
      </c>
      <c r="M71" s="5">
        <f>Index[[#This Row],[Fat ]]*9</f>
        <v>0</v>
      </c>
    </row>
    <row r="72" spans="1:13" x14ac:dyDescent="0.3">
      <c r="A72" s="34" t="s">
        <v>99</v>
      </c>
      <c r="B72" s="5">
        <f>27*$H72</f>
        <v>0</v>
      </c>
      <c r="C72" s="5">
        <f>6.3*$H72</f>
        <v>0</v>
      </c>
      <c r="D72" s="5">
        <f t="shared" si="5"/>
        <v>0</v>
      </c>
      <c r="E72" s="5">
        <f>1*$H72</f>
        <v>0</v>
      </c>
      <c r="F72" s="5">
        <f>0.9*$H72</f>
        <v>0</v>
      </c>
      <c r="G72" s="5">
        <f>0*$H72</f>
        <v>0</v>
      </c>
      <c r="I72" s="22" t="s">
        <v>96</v>
      </c>
      <c r="J72" s="2">
        <v>4</v>
      </c>
      <c r="L72" s="5">
        <f>Index[[#This Row],[Calories]]-(Index[[#This Row],[Fat Removed]]*Index[[#This Row],[Fat Calories]])</f>
        <v>0</v>
      </c>
      <c r="M72" s="5">
        <f>Index[[#This Row],[Fat ]]*9</f>
        <v>0</v>
      </c>
    </row>
    <row r="73" spans="1:13" x14ac:dyDescent="0.3">
      <c r="A73" s="34" t="s">
        <v>100</v>
      </c>
      <c r="B73" s="5">
        <f>27*$H73</f>
        <v>0</v>
      </c>
      <c r="C73" s="5">
        <f>5.4*$H73</f>
        <v>0</v>
      </c>
      <c r="D73" s="5">
        <f>0.5*$H73</f>
        <v>0</v>
      </c>
      <c r="E73" s="5">
        <f>1.7*$H73</f>
        <v>0</v>
      </c>
      <c r="F73" s="5">
        <f>3.4*$H73</f>
        <v>0</v>
      </c>
      <c r="G73" s="5">
        <f>2*$H65</f>
        <v>0</v>
      </c>
      <c r="I73" s="22" t="s">
        <v>96</v>
      </c>
      <c r="J73" s="2">
        <v>4</v>
      </c>
      <c r="L73" s="5">
        <f>Index[[#This Row],[Calories]]-(Index[[#This Row],[Fat Removed]]*Index[[#This Row],[Fat Calories]])</f>
        <v>0</v>
      </c>
      <c r="M73" s="5">
        <f>Index[[#This Row],[Fat ]]*9</f>
        <v>0</v>
      </c>
    </row>
    <row r="74" spans="1:13" x14ac:dyDescent="0.3">
      <c r="A74" s="34" t="s">
        <v>557</v>
      </c>
      <c r="B74" s="5">
        <f>20*$H74</f>
        <v>0</v>
      </c>
      <c r="C74" s="5">
        <f>5*$H74</f>
        <v>0</v>
      </c>
      <c r="D74" s="5">
        <f>0*$H74</f>
        <v>0</v>
      </c>
      <c r="E74" s="5">
        <f>1*$H74</f>
        <v>0</v>
      </c>
      <c r="F74" s="5">
        <f>2*$H74</f>
        <v>0</v>
      </c>
      <c r="G74" s="5">
        <f>2*$H74</f>
        <v>0</v>
      </c>
      <c r="I74" s="22" t="s">
        <v>96</v>
      </c>
      <c r="J74" s="2">
        <v>4</v>
      </c>
      <c r="L74" s="5">
        <f>Index[[#This Row],[Calories]]-(Index[[#This Row],[Fat Removed]]*Index[[#This Row],[Fat Calories]])</f>
        <v>0</v>
      </c>
      <c r="M74" s="5">
        <f>Index[[#This Row],[Fat ]]*9</f>
        <v>0</v>
      </c>
    </row>
    <row r="75" spans="1:13" x14ac:dyDescent="0.3">
      <c r="A75" s="34" t="s">
        <v>101</v>
      </c>
      <c r="B75" s="5">
        <f>29*$H75</f>
        <v>0</v>
      </c>
      <c r="C75" s="5">
        <f>6.5*$H75</f>
        <v>0</v>
      </c>
      <c r="D75" s="5">
        <f>0.4*$H75</f>
        <v>0</v>
      </c>
      <c r="E75" s="5">
        <f>0.9*$H75</f>
        <v>0</v>
      </c>
      <c r="F75" s="5">
        <f>2.8*$H75</f>
        <v>0</v>
      </c>
      <c r="G75" s="5">
        <f>4.1*$H75</f>
        <v>0</v>
      </c>
      <c r="I75" s="22" t="s">
        <v>96</v>
      </c>
      <c r="J75" s="2">
        <v>4</v>
      </c>
      <c r="L75" s="5">
        <f>Index[[#This Row],[Calories]]-(Index[[#This Row],[Fat Removed]]*Index[[#This Row],[Fat Calories]])</f>
        <v>0</v>
      </c>
      <c r="M75" s="5">
        <f>Index[[#This Row],[Fat ]]*9</f>
        <v>0</v>
      </c>
    </row>
    <row r="76" spans="1:13" x14ac:dyDescent="0.3">
      <c r="A76" s="34" t="s">
        <v>591</v>
      </c>
      <c r="B76" s="5">
        <f>40*$H76</f>
        <v>0</v>
      </c>
      <c r="C76" s="5">
        <f>3*$H76</f>
        <v>0</v>
      </c>
      <c r="D76" s="5">
        <f>3*$H76</f>
        <v>0</v>
      </c>
      <c r="E76" s="5">
        <f>1*$H76</f>
        <v>0</v>
      </c>
      <c r="F76" s="5">
        <f>2*$H76</f>
        <v>0</v>
      </c>
      <c r="G76" s="5">
        <f>0*$H76</f>
        <v>0</v>
      </c>
      <c r="I76" s="22" t="s">
        <v>592</v>
      </c>
      <c r="J76" s="2">
        <v>4</v>
      </c>
      <c r="L76" s="5">
        <f>Index[[#This Row],[Calories]]-(Index[[#This Row],[Fat Removed]]*Index[[#This Row],[Fat Calories]])</f>
        <v>0</v>
      </c>
      <c r="M76" s="5">
        <f>Index[[#This Row],[Fat ]]*9</f>
        <v>0</v>
      </c>
    </row>
    <row r="77" spans="1:13" x14ac:dyDescent="0.3">
      <c r="A77" s="34" t="s">
        <v>649</v>
      </c>
      <c r="B77" s="5">
        <f>20*$H77</f>
        <v>0</v>
      </c>
      <c r="C77" s="5">
        <f>5*$H77</f>
        <v>0</v>
      </c>
      <c r="D77" s="5">
        <f>0*$H77</f>
        <v>0</v>
      </c>
      <c r="E77" s="5">
        <f>1*$H77</f>
        <v>0</v>
      </c>
      <c r="F77" s="5">
        <f>2*$H77</f>
        <v>0</v>
      </c>
      <c r="G77" s="5">
        <f>2*$H77</f>
        <v>0</v>
      </c>
      <c r="I77" s="22" t="s">
        <v>96</v>
      </c>
      <c r="J77" s="2">
        <v>4</v>
      </c>
      <c r="L77" s="5">
        <f>Index[[#This Row],[Calories]]-(Index[[#This Row],[Fat Removed]]*Index[[#This Row],[Fat Calories]])</f>
        <v>0</v>
      </c>
      <c r="M77" s="5">
        <f>Index[[#This Row],[Fat ]]*9</f>
        <v>0</v>
      </c>
    </row>
    <row r="78" spans="1:13" x14ac:dyDescent="0.3">
      <c r="A78" s="34" t="s">
        <v>103</v>
      </c>
      <c r="B78" s="5">
        <f>17*$H78</f>
        <v>0</v>
      </c>
      <c r="C78" s="5">
        <f>3.3*$H78</f>
        <v>0</v>
      </c>
      <c r="D78" s="5">
        <f>0.3*$H78</f>
        <v>0</v>
      </c>
      <c r="E78" s="5">
        <f>1.2*$H78</f>
        <v>0</v>
      </c>
      <c r="F78" s="5">
        <f>2.1*$H78</f>
        <v>0</v>
      </c>
      <c r="G78" s="5">
        <f>1.2*$H78</f>
        <v>0</v>
      </c>
      <c r="I78" s="22" t="s">
        <v>96</v>
      </c>
      <c r="J78" s="2">
        <v>4</v>
      </c>
      <c r="L78" s="5">
        <f>Index[[#This Row],[Calories]]-(Index[[#This Row],[Fat Removed]]*Index[[#This Row],[Fat Calories]])</f>
        <v>0</v>
      </c>
      <c r="M78" s="5">
        <f>Index[[#This Row],[Fat ]]*9</f>
        <v>0</v>
      </c>
    </row>
    <row r="79" spans="1:13" x14ac:dyDescent="0.3">
      <c r="A79" s="34" t="s">
        <v>104</v>
      </c>
      <c r="B79" s="5">
        <f>18*$H79</f>
        <v>0</v>
      </c>
      <c r="C79" s="5">
        <f>3.9*$H79</f>
        <v>0</v>
      </c>
      <c r="D79" s="5">
        <f>0.2*$H79</f>
        <v>0</v>
      </c>
      <c r="E79" s="5">
        <f>0.9*$H79</f>
        <v>0</v>
      </c>
      <c r="F79" s="5">
        <f>1.2*$H79</f>
        <v>0</v>
      </c>
      <c r="G79" s="5">
        <f>2.6*$H79</f>
        <v>0</v>
      </c>
      <c r="I79" s="22" t="s">
        <v>96</v>
      </c>
      <c r="J79" s="2">
        <v>4</v>
      </c>
      <c r="L79" s="5">
        <f>Index[[#This Row],[Calories]]-(Index[[#This Row],[Fat Removed]]*Index[[#This Row],[Fat Calories]])</f>
        <v>0</v>
      </c>
      <c r="M79" s="5">
        <f>Index[[#This Row],[Fat ]]*9</f>
        <v>0</v>
      </c>
    </row>
    <row r="80" spans="1:13" ht="37.5" x14ac:dyDescent="0.3">
      <c r="A80" s="34" t="s">
        <v>105</v>
      </c>
      <c r="B80" s="5">
        <f>20*$H80</f>
        <v>0</v>
      </c>
      <c r="C80" s="5">
        <f>4*$H80</f>
        <v>0</v>
      </c>
      <c r="D80" s="5">
        <f>0*$H80</f>
        <v>0</v>
      </c>
      <c r="E80" s="5">
        <f>1*$H80</f>
        <v>0</v>
      </c>
      <c r="F80" s="5">
        <f>1*$H80</f>
        <v>0</v>
      </c>
      <c r="G80" s="5">
        <f>3*$H80</f>
        <v>0</v>
      </c>
      <c r="I80" s="22" t="s">
        <v>106</v>
      </c>
      <c r="J80" s="2">
        <v>4</v>
      </c>
      <c r="L80" s="5">
        <f>Index[[#This Row],[Calories]]-(Index[[#This Row],[Fat Removed]]*Index[[#This Row],[Fat Calories]])</f>
        <v>0</v>
      </c>
      <c r="M80" s="5">
        <f>Index[[#This Row],[Fat ]]*9</f>
        <v>0</v>
      </c>
    </row>
    <row r="81" spans="1:13" ht="37.5" x14ac:dyDescent="0.3">
      <c r="A81" s="34" t="s">
        <v>633</v>
      </c>
      <c r="B81" s="5">
        <f>25*$H81</f>
        <v>0</v>
      </c>
      <c r="C81" s="5">
        <f>5*$H81</f>
        <v>0</v>
      </c>
      <c r="D81" s="5">
        <f t="shared" ref="D81:F81" si="6">0*$H81</f>
        <v>0</v>
      </c>
      <c r="E81" s="5">
        <f>1*$H81</f>
        <v>0</v>
      </c>
      <c r="F81" s="5">
        <f t="shared" si="6"/>
        <v>0</v>
      </c>
      <c r="G81" s="5">
        <f>3*$H81</f>
        <v>0</v>
      </c>
      <c r="I81" s="22" t="s">
        <v>634</v>
      </c>
      <c r="J81" s="2">
        <v>4</v>
      </c>
      <c r="L81" s="5">
        <f>Index[[#This Row],[Calories]]-(Index[[#This Row],[Fat Removed]]*Index[[#This Row],[Fat Calories]])</f>
        <v>0</v>
      </c>
      <c r="M81" s="5">
        <f>Index[[#This Row],[Fat ]]*9</f>
        <v>0</v>
      </c>
    </row>
    <row r="82" spans="1:13" ht="56.25" x14ac:dyDescent="0.3">
      <c r="A82" s="34" t="s">
        <v>569</v>
      </c>
      <c r="B82" s="5">
        <f>25*$H82</f>
        <v>0</v>
      </c>
      <c r="C82" s="5">
        <f>5*$H82</f>
        <v>0</v>
      </c>
      <c r="D82" s="5">
        <f>0*$H82</f>
        <v>0</v>
      </c>
      <c r="E82" s="5">
        <f>0*$H82</f>
        <v>0</v>
      </c>
      <c r="F82" s="5">
        <f>1*$H82</f>
        <v>0</v>
      </c>
      <c r="G82" s="5">
        <f>3*$H82</f>
        <v>0</v>
      </c>
      <c r="I82" s="22" t="s">
        <v>570</v>
      </c>
      <c r="J82" s="2">
        <v>4</v>
      </c>
      <c r="L82" s="5">
        <f>Index[[#This Row],[Calories]]-(Index[[#This Row],[Fat Removed]]*Index[[#This Row],[Fat Calories]])</f>
        <v>0</v>
      </c>
      <c r="M82" s="5">
        <f>Index[[#This Row],[Fat ]]*9</f>
        <v>0</v>
      </c>
    </row>
    <row r="83" spans="1:13" x14ac:dyDescent="0.3">
      <c r="A83" s="34" t="s">
        <v>571</v>
      </c>
      <c r="B83" s="5">
        <f>40*$H83</f>
        <v>0</v>
      </c>
      <c r="C83" s="5">
        <f>8*$H83</f>
        <v>0</v>
      </c>
      <c r="D83" s="5">
        <f>0*$H83</f>
        <v>0</v>
      </c>
      <c r="E83" s="5">
        <f>2*$H83</f>
        <v>0</v>
      </c>
      <c r="F83" s="5">
        <f>1*$H83</f>
        <v>0</v>
      </c>
      <c r="G83" s="5">
        <f>5*$H83</f>
        <v>0</v>
      </c>
      <c r="I83" s="22" t="s">
        <v>572</v>
      </c>
      <c r="J83" s="2">
        <v>4</v>
      </c>
      <c r="L83" s="5">
        <f>Index[[#This Row],[Calories]]-(Index[[#This Row],[Fat Removed]]*Index[[#This Row],[Fat Calories]])</f>
        <v>0</v>
      </c>
      <c r="M83" s="5">
        <f>Index[[#This Row],[Fat ]]*9</f>
        <v>0</v>
      </c>
    </row>
    <row r="84" spans="1:13" x14ac:dyDescent="0.3">
      <c r="A84" s="34" t="s">
        <v>107</v>
      </c>
      <c r="B84" s="5">
        <f>21*$H84</f>
        <v>0</v>
      </c>
      <c r="C84" s="5">
        <f>4.2*$H84</f>
        <v>0</v>
      </c>
      <c r="D84" s="5">
        <f>0.1*$H84</f>
        <v>0</v>
      </c>
      <c r="E84" s="5">
        <f>2*$H84</f>
        <v>0</v>
      </c>
      <c r="F84" s="5">
        <f>0.8*$H84</f>
        <v>0</v>
      </c>
      <c r="G84" s="5">
        <f>2.8*$H84</f>
        <v>0</v>
      </c>
      <c r="I84" s="22" t="s">
        <v>96</v>
      </c>
      <c r="J84" s="2">
        <v>4</v>
      </c>
      <c r="L84" s="5">
        <f>Index[[#This Row],[Calories]]-(Index[[#This Row],[Fat Removed]]*Index[[#This Row],[Fat Calories]])</f>
        <v>0</v>
      </c>
      <c r="M84" s="5">
        <f>Index[[#This Row],[Fat ]]*9</f>
        <v>0</v>
      </c>
    </row>
    <row r="85" spans="1:13" x14ac:dyDescent="0.3">
      <c r="A85" s="34" t="s">
        <v>108</v>
      </c>
      <c r="B85" s="5">
        <f>34*$H85</f>
        <v>0</v>
      </c>
      <c r="C85" s="5">
        <f>6.6*$H85</f>
        <v>0</v>
      </c>
      <c r="D85" s="5">
        <f>0.4*$H85</f>
        <v>0</v>
      </c>
      <c r="E85" s="5">
        <f>2.8*$H85</f>
        <v>0</v>
      </c>
      <c r="F85" s="5">
        <f>2.6*$H85</f>
        <v>0</v>
      </c>
      <c r="G85" s="5">
        <f>1.7*$H85</f>
        <v>0</v>
      </c>
      <c r="I85" s="22" t="s">
        <v>96</v>
      </c>
      <c r="J85" s="2">
        <v>4</v>
      </c>
      <c r="L85" s="5">
        <f>Index[[#This Row],[Calories]]-(Index[[#This Row],[Fat Removed]]*Index[[#This Row],[Fat Calories]])</f>
        <v>0</v>
      </c>
      <c r="M85" s="5">
        <f>Index[[#This Row],[Fat ]]*9</f>
        <v>0</v>
      </c>
    </row>
    <row r="86" spans="1:13" x14ac:dyDescent="0.3">
      <c r="A86" s="34" t="s">
        <v>560</v>
      </c>
      <c r="B86" s="5">
        <f>50*$H86</f>
        <v>0</v>
      </c>
      <c r="C86" s="5">
        <f>10*$H86</f>
        <v>0</v>
      </c>
      <c r="D86" s="5">
        <f t="shared" ref="D86" si="7">0*$H86</f>
        <v>0</v>
      </c>
      <c r="E86" s="5">
        <f>3*$H86</f>
        <v>0</v>
      </c>
      <c r="F86" s="5">
        <f>3*$H86</f>
        <v>0</v>
      </c>
      <c r="G86" s="5">
        <f>4*$H86</f>
        <v>0</v>
      </c>
      <c r="I86" s="22" t="s">
        <v>118</v>
      </c>
      <c r="J86" s="2">
        <v>4</v>
      </c>
      <c r="L86" s="5">
        <f>Index[[#This Row],[Calories]]-(Index[[#This Row],[Fat Removed]]*Index[[#This Row],[Fat Calories]])</f>
        <v>0</v>
      </c>
      <c r="M86" s="5">
        <f>Index[[#This Row],[Fat ]]*9</f>
        <v>0</v>
      </c>
    </row>
    <row r="87" spans="1:13" x14ac:dyDescent="0.3">
      <c r="A87" s="34" t="s">
        <v>109</v>
      </c>
      <c r="B87" s="5">
        <f>35*$H87</f>
        <v>0</v>
      </c>
      <c r="C87" s="5">
        <f>7.9*$H87</f>
        <v>0</v>
      </c>
      <c r="D87" s="5">
        <f>0.3*$H87</f>
        <v>0</v>
      </c>
      <c r="E87" s="5">
        <f>1.9*$H87</f>
        <v>0</v>
      </c>
      <c r="F87" s="5">
        <f>3.2*$H87</f>
        <v>0</v>
      </c>
      <c r="G87" s="5">
        <f>3.6*$H87</f>
        <v>0</v>
      </c>
      <c r="I87" s="22" t="s">
        <v>96</v>
      </c>
      <c r="J87" s="2">
        <v>4</v>
      </c>
      <c r="L87" s="5">
        <f>Index[[#This Row],[Calories]]-(Index[[#This Row],[Fat Removed]]*Index[[#This Row],[Fat Calories]])</f>
        <v>0</v>
      </c>
      <c r="M87" s="5">
        <f>Index[[#This Row],[Fat ]]*9</f>
        <v>0</v>
      </c>
    </row>
    <row r="88" spans="1:13" x14ac:dyDescent="0.3">
      <c r="A88" s="34" t="s">
        <v>110</v>
      </c>
      <c r="B88" s="5">
        <f>18*$H88</f>
        <v>0</v>
      </c>
      <c r="C88" s="5">
        <f>4*$H88</f>
        <v>0</v>
      </c>
      <c r="D88" s="5">
        <f>0.2*$H88</f>
        <v>0</v>
      </c>
      <c r="E88" s="5">
        <f>0.8*$H88</f>
        <v>0</v>
      </c>
      <c r="F88" s="5">
        <f>1.6*$H88</f>
        <v>0</v>
      </c>
      <c r="G88" s="5">
        <f>2.4*$H88</f>
        <v>0</v>
      </c>
      <c r="I88" s="22" t="s">
        <v>96</v>
      </c>
      <c r="J88" s="2">
        <v>4</v>
      </c>
      <c r="L88" s="5">
        <f>Index[[#This Row],[Calories]]-(Index[[#This Row],[Fat Removed]]*Index[[#This Row],[Fat Calories]])</f>
        <v>0</v>
      </c>
      <c r="M88" s="5">
        <f>Index[[#This Row],[Fat ]]*9</f>
        <v>0</v>
      </c>
    </row>
    <row r="89" spans="1:13" x14ac:dyDescent="0.3">
      <c r="A89" s="34" t="s">
        <v>111</v>
      </c>
      <c r="B89" s="5">
        <f>4.5*$H89</f>
        <v>0</v>
      </c>
      <c r="C89" s="5">
        <f>1*$H89</f>
        <v>0</v>
      </c>
      <c r="D89" s="5">
        <f>0*$H89</f>
        <v>0</v>
      </c>
      <c r="E89" s="5">
        <f>0.2*$H89</f>
        <v>0</v>
      </c>
      <c r="F89" s="5">
        <f>0.1*$H89</f>
        <v>0</v>
      </c>
      <c r="G89" s="5">
        <f>0*$H89</f>
        <v>0</v>
      </c>
      <c r="I89" s="22" t="s">
        <v>112</v>
      </c>
      <c r="J89" s="2">
        <v>4</v>
      </c>
      <c r="L89" s="5">
        <f>Index[[#This Row],[Calories]]-(Index[[#This Row],[Fat Removed]]*Index[[#This Row],[Fat Calories]])</f>
        <v>0</v>
      </c>
      <c r="M89" s="5">
        <f>Index[[#This Row],[Fat ]]*9</f>
        <v>0</v>
      </c>
    </row>
    <row r="90" spans="1:13" x14ac:dyDescent="0.3">
      <c r="A90" s="34" t="s">
        <v>113</v>
      </c>
      <c r="B90" s="5">
        <f>23*$H90</f>
        <v>0</v>
      </c>
      <c r="C90" s="5">
        <f>5.5*$H90</f>
        <v>0</v>
      </c>
      <c r="D90" s="5">
        <f>0.1*$H90</f>
        <v>0</v>
      </c>
      <c r="E90" s="5">
        <f>1.3*$H90</f>
        <v>0</v>
      </c>
      <c r="F90" s="5">
        <f>1.9*$H90</f>
        <v>0</v>
      </c>
      <c r="G90" s="5">
        <f>2.8*$H90</f>
        <v>0</v>
      </c>
      <c r="I90" s="22" t="s">
        <v>96</v>
      </c>
      <c r="J90" s="2">
        <v>4</v>
      </c>
      <c r="L90" s="5">
        <f>Index[[#This Row],[Calories]]-(Index[[#This Row],[Fat Removed]]*Index[[#This Row],[Fat Calories]])</f>
        <v>0</v>
      </c>
      <c r="M90" s="5">
        <f>Index[[#This Row],[Fat ]]*9</f>
        <v>0</v>
      </c>
    </row>
    <row r="91" spans="1:13" x14ac:dyDescent="0.3">
      <c r="A91" s="34" t="s">
        <v>114</v>
      </c>
      <c r="B91" s="5">
        <f>29*$H91</f>
        <v>0</v>
      </c>
      <c r="C91" s="5">
        <f>6.9*$H91</f>
        <v>0</v>
      </c>
      <c r="D91" s="5">
        <f>0.1*$H91</f>
        <v>0</v>
      </c>
      <c r="E91" s="5">
        <f>1.5*$H91</f>
        <v>0</v>
      </c>
      <c r="F91" s="5">
        <f>2.6*$H91</f>
        <v>0</v>
      </c>
      <c r="G91" s="5">
        <f>3.3*$H91</f>
        <v>0</v>
      </c>
      <c r="I91" s="22" t="s">
        <v>96</v>
      </c>
      <c r="J91" s="2">
        <v>4</v>
      </c>
      <c r="L91" s="5">
        <f>Index[[#This Row],[Calories]]-(Index[[#This Row],[Fat Removed]]*Index[[#This Row],[Fat Calories]])</f>
        <v>0</v>
      </c>
      <c r="M91" s="5">
        <f>Index[[#This Row],[Fat ]]*9</f>
        <v>0</v>
      </c>
    </row>
    <row r="92" spans="1:13" x14ac:dyDescent="0.3">
      <c r="A92" s="34" t="s">
        <v>115</v>
      </c>
      <c r="B92" s="5">
        <f>25*$H92</f>
        <v>0</v>
      </c>
      <c r="C92" s="5">
        <f>5*$H92</f>
        <v>0</v>
      </c>
      <c r="D92" s="5">
        <f>0*$H92</f>
        <v>0</v>
      </c>
      <c r="E92" s="5">
        <f>0*$H92</f>
        <v>0</v>
      </c>
      <c r="F92" s="5">
        <f>2*$H92</f>
        <v>0</v>
      </c>
      <c r="G92" s="5">
        <f>1*$H92</f>
        <v>0</v>
      </c>
      <c r="I92" s="22" t="s">
        <v>116</v>
      </c>
      <c r="J92" s="2">
        <v>4</v>
      </c>
      <c r="L92" s="5">
        <f>Index[[#This Row],[Calories]]-(Index[[#This Row],[Fat Removed]]*Index[[#This Row],[Fat Calories]])</f>
        <v>0</v>
      </c>
      <c r="M92" s="5">
        <f>Index[[#This Row],[Fat ]]*9</f>
        <v>0</v>
      </c>
    </row>
    <row r="93" spans="1:13" ht="37.5" x14ac:dyDescent="0.3">
      <c r="A93" s="34" t="s">
        <v>117</v>
      </c>
      <c r="B93" s="5">
        <f>50*$H93</f>
        <v>0</v>
      </c>
      <c r="C93" s="5">
        <f>10*$H93</f>
        <v>0</v>
      </c>
      <c r="D93" s="5">
        <f t="shared" ref="D93:G104" si="8">0*$H93</f>
        <v>0</v>
      </c>
      <c r="E93" s="5">
        <f>3*$H93</f>
        <v>0</v>
      </c>
      <c r="F93" s="5">
        <f>3*$H93</f>
        <v>0</v>
      </c>
      <c r="G93" s="5">
        <f>4*$H93</f>
        <v>0</v>
      </c>
      <c r="I93" s="22" t="s">
        <v>118</v>
      </c>
      <c r="J93" s="2">
        <v>4</v>
      </c>
      <c r="L93" s="5">
        <f>Index[[#This Row],[Calories]]-(Index[[#This Row],[Fat Removed]]*Index[[#This Row],[Fat Calories]])</f>
        <v>0</v>
      </c>
      <c r="M93" s="5">
        <f>Index[[#This Row],[Fat ]]*9</f>
        <v>0</v>
      </c>
    </row>
    <row r="94" spans="1:13" ht="37.5" x14ac:dyDescent="0.3">
      <c r="A94" s="34" t="s">
        <v>119</v>
      </c>
      <c r="B94" s="5">
        <f>60*$H94</f>
        <v>0</v>
      </c>
      <c r="C94" s="5">
        <f>11*$H94</f>
        <v>0</v>
      </c>
      <c r="D94" s="5">
        <f t="shared" si="8"/>
        <v>0</v>
      </c>
      <c r="E94" s="5">
        <f>2*$H94</f>
        <v>0</v>
      </c>
      <c r="F94" s="5">
        <f>3*$H94</f>
        <v>0</v>
      </c>
      <c r="G94" s="5">
        <f>4*$H94</f>
        <v>0</v>
      </c>
      <c r="I94" s="22" t="s">
        <v>118</v>
      </c>
      <c r="J94" s="2">
        <v>4</v>
      </c>
      <c r="L94" s="5">
        <f>Index[[#This Row],[Calories]]-(Index[[#This Row],[Fat Removed]]*Index[[#This Row],[Fat Calories]])</f>
        <v>0</v>
      </c>
      <c r="M94" s="5">
        <f>Index[[#This Row],[Fat ]]*9</f>
        <v>0</v>
      </c>
    </row>
    <row r="95" spans="1:13" ht="37.5" x14ac:dyDescent="0.3">
      <c r="A95" s="34" t="s">
        <v>120</v>
      </c>
      <c r="B95" s="5">
        <f>35*$H95</f>
        <v>0</v>
      </c>
      <c r="C95" s="5">
        <f>5*$H95</f>
        <v>0</v>
      </c>
      <c r="D95" s="5">
        <f>0*$H95</f>
        <v>0</v>
      </c>
      <c r="E95" s="5">
        <f>1*$H95</f>
        <v>0</v>
      </c>
      <c r="F95" s="5">
        <f>2*$H95</f>
        <v>0</v>
      </c>
      <c r="G95" s="5">
        <f>3*$H95</f>
        <v>0</v>
      </c>
      <c r="I95" s="22" t="s">
        <v>121</v>
      </c>
      <c r="J95" s="2">
        <v>4</v>
      </c>
      <c r="L95" s="5">
        <f>Index[[#This Row],[Calories]]-(Index[[#This Row],[Fat Removed]]*Index[[#This Row],[Fat Calories]])</f>
        <v>0</v>
      </c>
      <c r="M95" s="5">
        <f>Index[[#This Row],[Fat ]]*9</f>
        <v>0</v>
      </c>
    </row>
    <row r="96" spans="1:13" ht="37.5" x14ac:dyDescent="0.3">
      <c r="A96" s="34" t="s">
        <v>122</v>
      </c>
      <c r="B96" s="5">
        <f>40*$H96</f>
        <v>0</v>
      </c>
      <c r="C96" s="5">
        <f>8*$H96</f>
        <v>0</v>
      </c>
      <c r="D96" s="5">
        <f t="shared" ref="D96" si="9">0*$H96</f>
        <v>0</v>
      </c>
      <c r="E96" s="5">
        <f>1*$H96</f>
        <v>0</v>
      </c>
      <c r="F96" s="5">
        <f>2*$H96</f>
        <v>0</v>
      </c>
      <c r="G96" s="5">
        <f>3*$H96</f>
        <v>0</v>
      </c>
      <c r="I96" s="22" t="s">
        <v>123</v>
      </c>
      <c r="J96" s="2">
        <v>4</v>
      </c>
      <c r="L96" s="5">
        <f>Index[[#This Row],[Calories]]-(Index[[#This Row],[Fat Removed]]*Index[[#This Row],[Fat Calories]])</f>
        <v>0</v>
      </c>
      <c r="M96" s="5">
        <f>Index[[#This Row],[Fat ]]*9</f>
        <v>0</v>
      </c>
    </row>
    <row r="97" spans="1:13" ht="37.5" x14ac:dyDescent="0.3">
      <c r="A97" s="34" t="s">
        <v>124</v>
      </c>
      <c r="B97" s="5">
        <f>0*$H97</f>
        <v>0</v>
      </c>
      <c r="C97" s="5">
        <f>1*$H97</f>
        <v>0</v>
      </c>
      <c r="D97" s="5">
        <f t="shared" si="8"/>
        <v>0</v>
      </c>
      <c r="E97" s="5">
        <f t="shared" ref="E97:G99" si="10">0*$H97</f>
        <v>0</v>
      </c>
      <c r="F97" s="5">
        <f t="shared" si="10"/>
        <v>0</v>
      </c>
      <c r="G97" s="5">
        <f t="shared" si="10"/>
        <v>0</v>
      </c>
      <c r="I97" s="22" t="s">
        <v>125</v>
      </c>
      <c r="J97" s="2">
        <v>4</v>
      </c>
      <c r="L97" s="5">
        <f>Index[[#This Row],[Calories]]-(Index[[#This Row],[Fat Removed]]*Index[[#This Row],[Fat Calories]])</f>
        <v>0</v>
      </c>
      <c r="M97" s="5">
        <f>Index[[#This Row],[Fat ]]*9</f>
        <v>0</v>
      </c>
    </row>
    <row r="98" spans="1:13" ht="37.5" x14ac:dyDescent="0.3">
      <c r="A98" s="34" t="s">
        <v>126</v>
      </c>
      <c r="B98" s="5">
        <f>0*$H98</f>
        <v>0</v>
      </c>
      <c r="C98" s="5">
        <f>1*$H98</f>
        <v>0</v>
      </c>
      <c r="D98" s="5">
        <f t="shared" si="8"/>
        <v>0</v>
      </c>
      <c r="E98" s="5">
        <f t="shared" si="10"/>
        <v>0</v>
      </c>
      <c r="F98" s="5">
        <f t="shared" si="10"/>
        <v>0</v>
      </c>
      <c r="G98" s="5">
        <f t="shared" si="10"/>
        <v>0</v>
      </c>
      <c r="I98" s="22" t="s">
        <v>127</v>
      </c>
      <c r="J98" s="2">
        <v>4</v>
      </c>
      <c r="L98" s="5">
        <f>Index[[#This Row],[Calories]]-(Index[[#This Row],[Fat Removed]]*Index[[#This Row],[Fat Calories]])</f>
        <v>0</v>
      </c>
      <c r="M98" s="5">
        <f>Index[[#This Row],[Fat ]]*9</f>
        <v>0</v>
      </c>
    </row>
    <row r="99" spans="1:13" ht="37.5" x14ac:dyDescent="0.3">
      <c r="A99" s="34" t="s">
        <v>128</v>
      </c>
      <c r="B99" s="5">
        <f>0*$H99</f>
        <v>0</v>
      </c>
      <c r="C99" s="5">
        <f>1*$H99</f>
        <v>0</v>
      </c>
      <c r="D99" s="5">
        <f t="shared" si="8"/>
        <v>0</v>
      </c>
      <c r="E99" s="5">
        <f t="shared" si="10"/>
        <v>0</v>
      </c>
      <c r="F99" s="5">
        <f t="shared" si="10"/>
        <v>0</v>
      </c>
      <c r="G99" s="5">
        <f t="shared" si="10"/>
        <v>0</v>
      </c>
      <c r="I99" s="22" t="s">
        <v>129</v>
      </c>
      <c r="J99" s="2">
        <v>4</v>
      </c>
      <c r="L99" s="5">
        <f>Index[[#This Row],[Calories]]-(Index[[#This Row],[Fat Removed]]*Index[[#This Row],[Fat Calories]])</f>
        <v>0</v>
      </c>
      <c r="M99" s="5">
        <f>Index[[#This Row],[Fat ]]*9</f>
        <v>0</v>
      </c>
    </row>
    <row r="100" spans="1:13" x14ac:dyDescent="0.3">
      <c r="A100" s="34" t="s">
        <v>130</v>
      </c>
      <c r="B100" s="5">
        <f>35*$H100</f>
        <v>0</v>
      </c>
      <c r="C100" s="5">
        <f>8*$H100</f>
        <v>0</v>
      </c>
      <c r="D100" s="5">
        <f t="shared" si="8"/>
        <v>0</v>
      </c>
      <c r="E100" s="5">
        <f t="shared" ref="E100:F103" si="11">0*$H100</f>
        <v>0</v>
      </c>
      <c r="F100" s="5">
        <f t="shared" si="11"/>
        <v>0</v>
      </c>
      <c r="G100" s="5">
        <f>8*$H100</f>
        <v>0</v>
      </c>
      <c r="I100" s="22" t="s">
        <v>131</v>
      </c>
      <c r="J100" s="2">
        <v>4</v>
      </c>
      <c r="L100" s="5">
        <f>Index[[#This Row],[Calories]]-(Index[[#This Row],[Fat Removed]]*Index[[#This Row],[Fat Calories]])</f>
        <v>0</v>
      </c>
      <c r="M100" s="5">
        <f>Index[[#This Row],[Fat ]]*9</f>
        <v>0</v>
      </c>
    </row>
    <row r="101" spans="1:13" ht="37.5" x14ac:dyDescent="0.3">
      <c r="A101" s="34" t="s">
        <v>132</v>
      </c>
      <c r="B101" s="5">
        <f>35*$H101</f>
        <v>0</v>
      </c>
      <c r="C101" s="5">
        <f>8*$H101</f>
        <v>0</v>
      </c>
      <c r="D101" s="5">
        <f t="shared" si="8"/>
        <v>0</v>
      </c>
      <c r="E101" s="5">
        <f t="shared" si="11"/>
        <v>0</v>
      </c>
      <c r="F101" s="5">
        <f t="shared" si="11"/>
        <v>0</v>
      </c>
      <c r="G101" s="5">
        <f>8*$H101</f>
        <v>0</v>
      </c>
      <c r="I101" s="22" t="s">
        <v>125</v>
      </c>
      <c r="J101" s="2">
        <v>4</v>
      </c>
      <c r="L101" s="5">
        <f>Index[[#This Row],[Calories]]-(Index[[#This Row],[Fat Removed]]*Index[[#This Row],[Fat Calories]])</f>
        <v>0</v>
      </c>
      <c r="M101" s="5">
        <f>Index[[#This Row],[Fat ]]*9</f>
        <v>0</v>
      </c>
    </row>
    <row r="102" spans="1:13" ht="37.5" x14ac:dyDescent="0.3">
      <c r="A102" s="34" t="s">
        <v>133</v>
      </c>
      <c r="B102" s="5">
        <f>35*$H102</f>
        <v>0</v>
      </c>
      <c r="C102" s="5">
        <f>8*$H102</f>
        <v>0</v>
      </c>
      <c r="D102" s="5">
        <f t="shared" si="8"/>
        <v>0</v>
      </c>
      <c r="E102" s="5">
        <f t="shared" si="11"/>
        <v>0</v>
      </c>
      <c r="F102" s="5">
        <f t="shared" si="11"/>
        <v>0</v>
      </c>
      <c r="G102" s="5">
        <f>8*$H102</f>
        <v>0</v>
      </c>
      <c r="I102" s="22" t="s">
        <v>134</v>
      </c>
      <c r="J102" s="2">
        <v>4</v>
      </c>
      <c r="L102" s="5">
        <f>Index[[#This Row],[Calories]]-(Index[[#This Row],[Fat Removed]]*Index[[#This Row],[Fat Calories]])</f>
        <v>0</v>
      </c>
      <c r="M102" s="5">
        <f>Index[[#This Row],[Fat ]]*9</f>
        <v>0</v>
      </c>
    </row>
    <row r="103" spans="1:13" x14ac:dyDescent="0.3">
      <c r="A103" s="34" t="s">
        <v>135</v>
      </c>
      <c r="B103" s="5">
        <f>15*$H103</f>
        <v>0</v>
      </c>
      <c r="C103" s="5">
        <f>4*$H103</f>
        <v>0</v>
      </c>
      <c r="D103" s="5">
        <f t="shared" si="8"/>
        <v>0</v>
      </c>
      <c r="E103" s="5">
        <f t="shared" si="11"/>
        <v>0</v>
      </c>
      <c r="F103" s="5">
        <f t="shared" si="11"/>
        <v>0</v>
      </c>
      <c r="G103" s="5">
        <f>3*$H103</f>
        <v>0</v>
      </c>
      <c r="I103" s="22" t="s">
        <v>136</v>
      </c>
      <c r="J103" s="2">
        <v>4</v>
      </c>
      <c r="L103" s="5">
        <f>Index[[#This Row],[Calories]]-(Index[[#This Row],[Fat Removed]]*Index[[#This Row],[Fat Calories]])</f>
        <v>0</v>
      </c>
      <c r="M103" s="5">
        <f>Index[[#This Row],[Fat ]]*9</f>
        <v>0</v>
      </c>
    </row>
    <row r="104" spans="1:13" x14ac:dyDescent="0.3">
      <c r="A104" s="34" t="s">
        <v>137</v>
      </c>
      <c r="B104" s="5">
        <f>5*$H104</f>
        <v>0</v>
      </c>
      <c r="C104" s="5">
        <f>0.5*$H104</f>
        <v>0</v>
      </c>
      <c r="D104" s="5">
        <f t="shared" si="8"/>
        <v>0</v>
      </c>
      <c r="E104" s="5">
        <f t="shared" si="8"/>
        <v>0</v>
      </c>
      <c r="F104" s="5">
        <f t="shared" si="8"/>
        <v>0</v>
      </c>
      <c r="G104" s="5">
        <f t="shared" si="8"/>
        <v>0</v>
      </c>
      <c r="I104" s="22" t="s">
        <v>138</v>
      </c>
      <c r="J104" s="2">
        <v>4</v>
      </c>
      <c r="L104" s="5">
        <f>Index[[#This Row],[Calories]]-(Index[[#This Row],[Fat Removed]]*Index[[#This Row],[Fat Calories]])</f>
        <v>0</v>
      </c>
      <c r="M104" s="5">
        <f>Index[[#This Row],[Fat ]]*9</f>
        <v>0</v>
      </c>
    </row>
    <row r="105" spans="1:13" x14ac:dyDescent="0.3">
      <c r="A105" s="34" t="s">
        <v>139</v>
      </c>
      <c r="B105" s="5">
        <f>89*$H105</f>
        <v>0</v>
      </c>
      <c r="C105" s="5">
        <f>23*$H105</f>
        <v>0</v>
      </c>
      <c r="D105" s="5">
        <f>0.3*$H105</f>
        <v>0</v>
      </c>
      <c r="E105" s="5">
        <f>1.1*$H105</f>
        <v>0</v>
      </c>
      <c r="F105" s="5">
        <f>2.6*$H105</f>
        <v>0</v>
      </c>
      <c r="G105" s="5">
        <f>12*$H105</f>
        <v>0</v>
      </c>
      <c r="I105" s="22" t="s">
        <v>96</v>
      </c>
      <c r="J105" s="2">
        <v>4</v>
      </c>
      <c r="L105" s="5">
        <f>Index[[#This Row],[Calories]]-(Index[[#This Row],[Fat Removed]]*Index[[#This Row],[Fat Calories]])</f>
        <v>0</v>
      </c>
      <c r="M105" s="5">
        <f>Index[[#This Row],[Fat ]]*9</f>
        <v>0</v>
      </c>
    </row>
    <row r="106" spans="1:13" x14ac:dyDescent="0.3">
      <c r="A106" s="34" t="s">
        <v>140</v>
      </c>
      <c r="B106" s="5">
        <f>69*$H106</f>
        <v>0</v>
      </c>
      <c r="C106" s="5">
        <f>18*$H106</f>
        <v>0</v>
      </c>
      <c r="D106" s="5">
        <f>0.2*$H106</f>
        <v>0</v>
      </c>
      <c r="E106" s="5">
        <f>0.7*$H106</f>
        <v>0</v>
      </c>
      <c r="F106" s="5">
        <f>0.9*$H106</f>
        <v>0</v>
      </c>
      <c r="G106" s="5">
        <f>15*$H106</f>
        <v>0</v>
      </c>
      <c r="I106" s="22" t="s">
        <v>96</v>
      </c>
      <c r="J106" s="2">
        <v>4</v>
      </c>
      <c r="L106" s="5">
        <f>Index[[#This Row],[Calories]]-(Index[[#This Row],[Fat Removed]]*Index[[#This Row],[Fat Calories]])</f>
        <v>0</v>
      </c>
      <c r="M106" s="5">
        <f>Index[[#This Row],[Fat ]]*9</f>
        <v>0</v>
      </c>
    </row>
    <row r="107" spans="1:13" x14ac:dyDescent="0.3">
      <c r="A107" s="34" t="s">
        <v>141</v>
      </c>
      <c r="B107" s="5">
        <f>35*$H107</f>
        <v>0</v>
      </c>
      <c r="C107" s="5">
        <f>8.2*$H107</f>
        <v>0</v>
      </c>
      <c r="D107" s="5">
        <f>0.1*$H107</f>
        <v>0</v>
      </c>
      <c r="E107" s="5">
        <f>0.6*$H107</f>
        <v>0</v>
      </c>
      <c r="F107" s="5">
        <f>2.9*$H107</f>
        <v>0</v>
      </c>
      <c r="G107" s="5">
        <f>4.8*$H107</f>
        <v>0</v>
      </c>
      <c r="I107" s="22" t="s">
        <v>96</v>
      </c>
      <c r="J107" s="2">
        <v>4</v>
      </c>
      <c r="L107" s="5">
        <f>Index[[#This Row],[Calories]]-(Index[[#This Row],[Fat Removed]]*Index[[#This Row],[Fat Calories]])</f>
        <v>0</v>
      </c>
      <c r="M107" s="5">
        <f>Index[[#This Row],[Fat ]]*9</f>
        <v>0</v>
      </c>
    </row>
    <row r="108" spans="1:13" x14ac:dyDescent="0.3">
      <c r="A108" s="34" t="s">
        <v>142</v>
      </c>
      <c r="B108" s="5">
        <f>57*$H108</f>
        <v>0</v>
      </c>
      <c r="C108" s="5">
        <f>14*$H108</f>
        <v>0</v>
      </c>
      <c r="D108" s="5">
        <f>0.1*$H108</f>
        <v>0</v>
      </c>
      <c r="E108" s="5">
        <f>0.3*$H108</f>
        <v>0</v>
      </c>
      <c r="F108" s="5">
        <f>2.3*$H108</f>
        <v>0</v>
      </c>
      <c r="G108" s="5">
        <f>10*$H108</f>
        <v>0</v>
      </c>
      <c r="I108" s="22" t="s">
        <v>96</v>
      </c>
      <c r="J108" s="2">
        <v>4</v>
      </c>
      <c r="L108" s="5">
        <f>Index[[#This Row],[Calories]]-(Index[[#This Row],[Fat Removed]]*Index[[#This Row],[Fat Calories]])</f>
        <v>0</v>
      </c>
      <c r="M108" s="5">
        <f>Index[[#This Row],[Fat ]]*9</f>
        <v>0</v>
      </c>
    </row>
    <row r="109" spans="1:13" x14ac:dyDescent="0.3">
      <c r="A109" s="34" t="s">
        <v>143</v>
      </c>
      <c r="B109" s="5">
        <f>58*$H109</f>
        <v>0</v>
      </c>
      <c r="C109" s="5">
        <f>14*$H109</f>
        <v>0</v>
      </c>
      <c r="D109" s="5">
        <f>0.2*$H109</f>
        <v>0</v>
      </c>
      <c r="E109" s="5">
        <f>0.4*$H109</f>
        <v>0</v>
      </c>
      <c r="F109" s="5">
        <f>2.8*$H109</f>
        <v>0</v>
      </c>
      <c r="G109" s="5">
        <f>9.6*$H109</f>
        <v>0</v>
      </c>
      <c r="I109" s="22" t="s">
        <v>96</v>
      </c>
      <c r="J109" s="2">
        <v>4</v>
      </c>
      <c r="L109" s="5">
        <f>Index[[#This Row],[Calories]]-(Index[[#This Row],[Fat Removed]]*Index[[#This Row],[Fat Calories]])</f>
        <v>0</v>
      </c>
      <c r="M109" s="5">
        <f>Index[[#This Row],[Fat ]]*9</f>
        <v>0</v>
      </c>
    </row>
    <row r="110" spans="1:13" x14ac:dyDescent="0.3">
      <c r="A110" s="34" t="s">
        <v>144</v>
      </c>
      <c r="B110" s="5">
        <f>32*$H110</f>
        <v>0</v>
      </c>
      <c r="C110" s="5">
        <f>7.7*$H110</f>
        <v>0</v>
      </c>
      <c r="D110" s="5">
        <f>0.3*$H110</f>
        <v>0</v>
      </c>
      <c r="E110" s="5">
        <f>0.7*$H110</f>
        <v>0</v>
      </c>
      <c r="F110" s="5">
        <f>2*$H110</f>
        <v>0</v>
      </c>
      <c r="G110" s="5">
        <f>4.9*$H110</f>
        <v>0</v>
      </c>
      <c r="I110" s="22" t="s">
        <v>96</v>
      </c>
      <c r="J110" s="2">
        <v>4</v>
      </c>
      <c r="L110" s="5">
        <f>Index[[#This Row],[Calories]]-(Index[[#This Row],[Fat Removed]]*Index[[#This Row],[Fat Calories]])</f>
        <v>0</v>
      </c>
      <c r="M110" s="5">
        <f>Index[[#This Row],[Fat ]]*9</f>
        <v>0</v>
      </c>
    </row>
    <row r="111" spans="1:13" x14ac:dyDescent="0.3">
      <c r="A111" s="34" t="s">
        <v>59</v>
      </c>
      <c r="B111" s="5">
        <f>266*$H111</f>
        <v>0</v>
      </c>
      <c r="C111" s="5">
        <f>59*$H111</f>
        <v>0</v>
      </c>
      <c r="D111" s="5">
        <f>0.5*$H111</f>
        <v>0</v>
      </c>
      <c r="E111" s="5">
        <f>6.9*$H111</f>
        <v>0</v>
      </c>
      <c r="F111" s="5">
        <f>5.4*$H111</f>
        <v>0</v>
      </c>
      <c r="G111" s="5">
        <f>4.3*$H111</f>
        <v>0</v>
      </c>
      <c r="I111" s="22" t="s">
        <v>145</v>
      </c>
      <c r="J111" s="2">
        <v>4</v>
      </c>
      <c r="L111" s="5">
        <f>Index[[#This Row],[Calories]]-(Index[[#This Row],[Fat Removed]]*Index[[#This Row],[Fat Calories]])</f>
        <v>0</v>
      </c>
      <c r="M111" s="5">
        <f>Index[[#This Row],[Fat ]]*9</f>
        <v>0</v>
      </c>
    </row>
    <row r="112" spans="1:13" x14ac:dyDescent="0.3">
      <c r="A112" s="34" t="s">
        <v>146</v>
      </c>
      <c r="B112" s="5">
        <f>119*$H112</f>
        <v>0</v>
      </c>
      <c r="C112" s="5">
        <f>27*$H112</f>
        <v>0</v>
      </c>
      <c r="D112" s="5">
        <f>0.12*$H112</f>
        <v>0</v>
      </c>
      <c r="E112" s="5">
        <f>3.21*$H112</f>
        <v>0</v>
      </c>
      <c r="F112" s="5">
        <f>2*$H112</f>
        <v>0</v>
      </c>
      <c r="G112" s="5">
        <f>1*$H112</f>
        <v>0</v>
      </c>
      <c r="I112" s="22" t="s">
        <v>147</v>
      </c>
      <c r="J112" s="2">
        <v>4</v>
      </c>
      <c r="L112" s="5">
        <f>Index[[#This Row],[Calories]]-(Index[[#This Row],[Fat Removed]]*Index[[#This Row],[Fat Calories]])</f>
        <v>0</v>
      </c>
      <c r="M112" s="5">
        <f>Index[[#This Row],[Fat ]]*9</f>
        <v>0</v>
      </c>
    </row>
    <row r="113" spans="1:13" ht="26.25" x14ac:dyDescent="0.4">
      <c r="B113" s="5"/>
      <c r="C113" s="5"/>
      <c r="D113" s="5"/>
      <c r="E113" s="5"/>
      <c r="F113" s="5"/>
      <c r="G113" s="62" t="s">
        <v>658</v>
      </c>
      <c r="J113" s="2">
        <v>4.01</v>
      </c>
      <c r="L113" s="5"/>
      <c r="M113" s="5"/>
    </row>
    <row r="114" spans="1:13" ht="37.5" x14ac:dyDescent="0.3">
      <c r="A114" s="34" t="s">
        <v>149</v>
      </c>
      <c r="B114" s="5">
        <f>50*$H114</f>
        <v>0</v>
      </c>
      <c r="C114" s="5">
        <f>15*$H114</f>
        <v>0</v>
      </c>
      <c r="D114" s="5">
        <f>1.5*$H114</f>
        <v>0</v>
      </c>
      <c r="E114" s="5">
        <f>5*$H114</f>
        <v>0</v>
      </c>
      <c r="F114" s="5">
        <f>11*$H114</f>
        <v>0</v>
      </c>
      <c r="G114" s="5">
        <f>0*$H114</f>
        <v>0</v>
      </c>
      <c r="I114" s="22" t="s">
        <v>150</v>
      </c>
      <c r="J114" s="2">
        <v>5</v>
      </c>
      <c r="L114" s="5">
        <f>Index[[#This Row],[Calories]]-(Index[[#This Row],[Fat Removed]]*Index[[#This Row],[Fat Calories]])</f>
        <v>0</v>
      </c>
      <c r="M114" s="5">
        <f>Index[[#This Row],[Fat ]]*9</f>
        <v>0</v>
      </c>
    </row>
    <row r="115" spans="1:13" ht="37.5" x14ac:dyDescent="0.3">
      <c r="A115" s="34" t="s">
        <v>563</v>
      </c>
      <c r="B115" s="5">
        <f>150*$H115</f>
        <v>0</v>
      </c>
      <c r="C115" s="5">
        <f>25*$H115</f>
        <v>0</v>
      </c>
      <c r="D115" s="5">
        <f>4*$H115</f>
        <v>0</v>
      </c>
      <c r="E115" s="5">
        <f>3*$H115</f>
        <v>0</v>
      </c>
      <c r="F115" s="5">
        <f>0.5*$H115</f>
        <v>0</v>
      </c>
      <c r="G115" s="5">
        <f>0*$H115</f>
        <v>0</v>
      </c>
      <c r="I115" s="22" t="s">
        <v>152</v>
      </c>
      <c r="J115" s="2">
        <v>5</v>
      </c>
      <c r="L115" s="5">
        <f>Index[[#This Row],[Calories]]-(Index[[#This Row],[Fat Removed]]*Index[[#This Row],[Fat Calories]])</f>
        <v>0</v>
      </c>
      <c r="M115" s="5">
        <f>Index[[#This Row],[Fat ]]*9</f>
        <v>0</v>
      </c>
    </row>
    <row r="116" spans="1:13" ht="37.5" x14ac:dyDescent="0.3">
      <c r="A116" s="34" t="s">
        <v>151</v>
      </c>
      <c r="B116" s="5">
        <f>100*$H116</f>
        <v>0</v>
      </c>
      <c r="C116" s="5">
        <f>20*$H116</f>
        <v>0</v>
      </c>
      <c r="D116" s="5">
        <f>1*$H116</f>
        <v>0</v>
      </c>
      <c r="E116" s="5">
        <f>2*$H116</f>
        <v>0</v>
      </c>
      <c r="F116" s="5">
        <f>2*$H116</f>
        <v>0</v>
      </c>
      <c r="G116" s="5">
        <f>2*$H116</f>
        <v>0</v>
      </c>
      <c r="I116" s="22" t="s">
        <v>152</v>
      </c>
      <c r="J116" s="2">
        <v>5</v>
      </c>
      <c r="L116" s="5">
        <f>Index[[#This Row],[Calories]]-(Index[[#This Row],[Fat Removed]]*Index[[#This Row],[Fat Calories]])</f>
        <v>0</v>
      </c>
      <c r="M116" s="5">
        <f>Index[[#This Row],[Fat ]]*9</f>
        <v>0</v>
      </c>
    </row>
    <row r="117" spans="1:13" ht="37.5" x14ac:dyDescent="0.3">
      <c r="A117" s="34" t="s">
        <v>153</v>
      </c>
      <c r="B117" s="5">
        <f>80*$H117</f>
        <v>0</v>
      </c>
      <c r="C117" s="5">
        <f>19*$H117</f>
        <v>0</v>
      </c>
      <c r="D117" s="5">
        <f>3.5*$H117</f>
        <v>0</v>
      </c>
      <c r="E117" s="5">
        <f>5*$H117</f>
        <v>0</v>
      </c>
      <c r="F117" s="5">
        <f>13*$H117</f>
        <v>0</v>
      </c>
      <c r="G117" s="5">
        <f>0*$H117</f>
        <v>0</v>
      </c>
      <c r="I117" s="22" t="s">
        <v>150</v>
      </c>
      <c r="J117" s="2">
        <v>5</v>
      </c>
      <c r="L117" s="5">
        <f>Index[[#This Row],[Calories]]-(Index[[#This Row],[Fat Removed]]*Index[[#This Row],[Fat Calories]])</f>
        <v>0</v>
      </c>
      <c r="M117" s="5">
        <f>Index[[#This Row],[Fat ]]*9</f>
        <v>0</v>
      </c>
    </row>
    <row r="118" spans="1:13" x14ac:dyDescent="0.3">
      <c r="A118" s="34" t="s">
        <v>154</v>
      </c>
      <c r="B118" s="5">
        <f>210*$H118</f>
        <v>0</v>
      </c>
      <c r="C118" s="5">
        <f>35*$H118</f>
        <v>0</v>
      </c>
      <c r="D118" s="5">
        <f>4.5*$H118</f>
        <v>0</v>
      </c>
      <c r="E118" s="5">
        <f>6*$H118</f>
        <v>0</v>
      </c>
      <c r="F118" s="5">
        <f>1*$H118</f>
        <v>0</v>
      </c>
      <c r="G118" s="5">
        <f>2*$H118</f>
        <v>0</v>
      </c>
      <c r="I118" s="22" t="s">
        <v>150</v>
      </c>
      <c r="J118" s="2">
        <v>5</v>
      </c>
      <c r="L118" s="5">
        <f>Index[[#This Row],[Calories]]-(Index[[#This Row],[Fat Removed]]*Index[[#This Row],[Fat Calories]])</f>
        <v>0</v>
      </c>
      <c r="M118" s="5">
        <f>Index[[#This Row],[Fat ]]*9</f>
        <v>0</v>
      </c>
    </row>
    <row r="119" spans="1:13" ht="37.5" x14ac:dyDescent="0.3">
      <c r="A119" s="34" t="s">
        <v>155</v>
      </c>
      <c r="B119" s="5">
        <f>60*$H119</f>
        <v>0</v>
      </c>
      <c r="C119" s="5">
        <f>18*$H119</f>
        <v>0</v>
      </c>
      <c r="D119" s="5">
        <f>3.5*$H119</f>
        <v>0</v>
      </c>
      <c r="E119" s="5">
        <f>6*$H119</f>
        <v>0</v>
      </c>
      <c r="F119" s="5">
        <f>15*$H119</f>
        <v>0</v>
      </c>
      <c r="G119" s="5">
        <f>0*$H119</f>
        <v>0</v>
      </c>
      <c r="I119" s="22" t="s">
        <v>150</v>
      </c>
      <c r="J119" s="2">
        <v>5</v>
      </c>
      <c r="L119" s="5">
        <f>Index[[#This Row],[Calories]]-(Index[[#This Row],[Fat Removed]]*Index[[#This Row],[Fat Calories]])</f>
        <v>0</v>
      </c>
      <c r="M119" s="5">
        <f>Index[[#This Row],[Fat ]]*9</f>
        <v>0</v>
      </c>
    </row>
    <row r="120" spans="1:13" ht="37.5" x14ac:dyDescent="0.3">
      <c r="A120" s="34" t="s">
        <v>156</v>
      </c>
      <c r="B120" s="5">
        <f>100*$H120</f>
        <v>0</v>
      </c>
      <c r="C120" s="5">
        <f>21*$H120</f>
        <v>0</v>
      </c>
      <c r="D120" s="5">
        <f>1*$H120</f>
        <v>0</v>
      </c>
      <c r="E120" s="5">
        <f>2*$H120</f>
        <v>0</v>
      </c>
      <c r="F120" s="5">
        <f>2*$H120</f>
        <v>0</v>
      </c>
      <c r="G120" s="5">
        <f>2*$H120</f>
        <v>0</v>
      </c>
      <c r="I120" s="22" t="s">
        <v>157</v>
      </c>
      <c r="J120" s="2">
        <v>5</v>
      </c>
      <c r="L120" s="5">
        <f>Index[[#This Row],[Calories]]-(Index[[#This Row],[Fat Removed]]*Index[[#This Row],[Fat Calories]])</f>
        <v>0</v>
      </c>
      <c r="M120" s="5">
        <f>Index[[#This Row],[Fat ]]*9</f>
        <v>0</v>
      </c>
    </row>
    <row r="121" spans="1:13" x14ac:dyDescent="0.3">
      <c r="A121" s="34" t="s">
        <v>158</v>
      </c>
      <c r="B121" s="5">
        <f>70*$H121</f>
        <v>0</v>
      </c>
      <c r="C121" s="5">
        <f>17*$H121</f>
        <v>0</v>
      </c>
      <c r="D121" s="5">
        <f>0.5*$H121</f>
        <v>0</v>
      </c>
      <c r="E121" s="5">
        <f>4*$H121</f>
        <v>0</v>
      </c>
      <c r="F121" s="5">
        <f>4*$H121</f>
        <v>0</v>
      </c>
      <c r="G121" s="5">
        <f>2*$H121</f>
        <v>0</v>
      </c>
      <c r="I121" s="22" t="s">
        <v>159</v>
      </c>
      <c r="J121" s="2">
        <v>5</v>
      </c>
      <c r="L121" s="5">
        <f>Index[[#This Row],[Calories]]-(Index[[#This Row],[Fat Removed]]*Index[[#This Row],[Fat Calories]])</f>
        <v>0</v>
      </c>
      <c r="M121" s="5">
        <f>Index[[#This Row],[Fat ]]*9</f>
        <v>0</v>
      </c>
    </row>
    <row r="122" spans="1:13" ht="37.5" x14ac:dyDescent="0.3">
      <c r="A122" s="34" t="s">
        <v>160</v>
      </c>
      <c r="B122" s="5">
        <f>140*$H122</f>
        <v>0</v>
      </c>
      <c r="C122" s="5">
        <f>19*$H122</f>
        <v>0</v>
      </c>
      <c r="D122" s="5">
        <f>7*$H122</f>
        <v>0</v>
      </c>
      <c r="E122" s="5">
        <f>2*$H122</f>
        <v>0</v>
      </c>
      <c r="F122" s="5">
        <f>0*$H122</f>
        <v>0</v>
      </c>
      <c r="G122" s="5">
        <f>12*$H122</f>
        <v>0</v>
      </c>
      <c r="I122" s="22" t="s">
        <v>161</v>
      </c>
      <c r="J122" s="2">
        <v>5</v>
      </c>
      <c r="L122" s="5">
        <f>Index[[#This Row],[Calories]]-(Index[[#This Row],[Fat Removed]]*Index[[#This Row],[Fat Calories]])</f>
        <v>0</v>
      </c>
      <c r="M122" s="5">
        <f>Index[[#This Row],[Fat ]]*9</f>
        <v>0</v>
      </c>
    </row>
    <row r="123" spans="1:13" ht="37.5" x14ac:dyDescent="0.3">
      <c r="A123" s="34" t="s">
        <v>162</v>
      </c>
      <c r="B123" s="5">
        <f>100*$H123</f>
        <v>0</v>
      </c>
      <c r="C123" s="5">
        <f>22*$H123</f>
        <v>0</v>
      </c>
      <c r="D123" s="5">
        <f>0*$H123</f>
        <v>0</v>
      </c>
      <c r="E123" s="5">
        <f>2*$H123</f>
        <v>0</v>
      </c>
      <c r="F123" s="5">
        <f>0*$H123</f>
        <v>0</v>
      </c>
      <c r="G123" s="5">
        <f>0*$H123</f>
        <v>0</v>
      </c>
      <c r="H123" s="5"/>
      <c r="I123" s="22" t="s">
        <v>163</v>
      </c>
      <c r="J123" s="2">
        <v>5</v>
      </c>
      <c r="L123" s="5">
        <f>Index[[#This Row],[Calories]]-(Index[[#This Row],[Fat Removed]]*Index[[#This Row],[Fat Calories]])</f>
        <v>0</v>
      </c>
      <c r="M123" s="5">
        <f>Index[[#This Row],[Fat ]]*9</f>
        <v>0</v>
      </c>
    </row>
    <row r="124" spans="1:13" x14ac:dyDescent="0.3">
      <c r="A124" s="34" t="s">
        <v>164</v>
      </c>
      <c r="B124" s="5">
        <f>100*$H124</f>
        <v>0</v>
      </c>
      <c r="C124" s="5">
        <f>22*$H124</f>
        <v>0</v>
      </c>
      <c r="D124" s="5">
        <f>0*$H124</f>
        <v>0</v>
      </c>
      <c r="E124" s="5">
        <f>4*$H124</f>
        <v>0</v>
      </c>
      <c r="F124" s="5">
        <f>0*$H124</f>
        <v>0</v>
      </c>
      <c r="G124" s="5">
        <f>0*$H124</f>
        <v>0</v>
      </c>
      <c r="I124" s="22" t="s">
        <v>163</v>
      </c>
      <c r="J124" s="2">
        <v>5</v>
      </c>
      <c r="L124" s="5">
        <f>Index[[#This Row],[Calories]]-(Index[[#This Row],[Fat Removed]]*Index[[#This Row],[Fat Calories]])</f>
        <v>0</v>
      </c>
      <c r="M124" s="5">
        <f>Index[[#This Row],[Fat ]]*9</f>
        <v>0</v>
      </c>
    </row>
    <row r="125" spans="1:13" x14ac:dyDescent="0.3">
      <c r="A125" s="34" t="s">
        <v>165</v>
      </c>
      <c r="B125" s="5">
        <f>110*$H125</f>
        <v>0</v>
      </c>
      <c r="C125" s="5">
        <f>23*$H125</f>
        <v>0</v>
      </c>
      <c r="D125" s="5">
        <f>0*$H125</f>
        <v>0</v>
      </c>
      <c r="E125" s="5">
        <f>3*$H125</f>
        <v>0</v>
      </c>
      <c r="F125" s="5">
        <f>0.5*$H125</f>
        <v>0</v>
      </c>
      <c r="G125" s="5">
        <f>0*$H125</f>
        <v>0</v>
      </c>
      <c r="I125" s="22" t="s">
        <v>163</v>
      </c>
      <c r="J125" s="2">
        <v>5</v>
      </c>
      <c r="L125" s="5">
        <f>Index[[#This Row],[Calories]]-(Index[[#This Row],[Fat Removed]]*Index[[#This Row],[Fat Calories]])</f>
        <v>0</v>
      </c>
      <c r="M125" s="5">
        <f>Index[[#This Row],[Fat ]]*9</f>
        <v>0</v>
      </c>
    </row>
    <row r="126" spans="1:13" ht="37.5" x14ac:dyDescent="0.3">
      <c r="A126" s="34" t="s">
        <v>637</v>
      </c>
      <c r="B126" s="5">
        <f>160*$H126</f>
        <v>0</v>
      </c>
      <c r="C126" s="5">
        <f>24*$H126</f>
        <v>0</v>
      </c>
      <c r="D126" s="5">
        <f>4.5*$H126</f>
        <v>0</v>
      </c>
      <c r="E126" s="5">
        <f>5*$H126</f>
        <v>0</v>
      </c>
      <c r="F126" s="5">
        <f>2*$H126</f>
        <v>0</v>
      </c>
      <c r="G126" s="5">
        <f>3*$H126</f>
        <v>0</v>
      </c>
      <c r="I126" s="22" t="s">
        <v>638</v>
      </c>
      <c r="J126" s="2">
        <v>5</v>
      </c>
      <c r="L126" s="5">
        <f>Index[[#This Row],[Calories]]-(Index[[#This Row],[Fat Removed]]*Index[[#This Row],[Fat Calories]])</f>
        <v>0</v>
      </c>
      <c r="M126" s="5">
        <f>Index[[#This Row],[Fat ]]*9</f>
        <v>0</v>
      </c>
    </row>
    <row r="127" spans="1:13" x14ac:dyDescent="0.3">
      <c r="A127" s="34" t="s">
        <v>650</v>
      </c>
      <c r="B127" s="5">
        <f>180*$H127</f>
        <v>0</v>
      </c>
      <c r="C127" s="5">
        <f>40*$H127</f>
        <v>0</v>
      </c>
      <c r="D127" s="5">
        <f>1.5*$H127</f>
        <v>0</v>
      </c>
      <c r="E127" s="5">
        <f>7*$H127</f>
        <v>0</v>
      </c>
      <c r="F127" s="5">
        <f>6*$H127</f>
        <v>0</v>
      </c>
      <c r="G127" s="5">
        <f>2*$H127</f>
        <v>0</v>
      </c>
      <c r="I127" s="22" t="s">
        <v>653</v>
      </c>
      <c r="J127" s="2">
        <v>5</v>
      </c>
      <c r="L127" s="5">
        <f>Index[[#This Row],[Calories]]-(Index[[#This Row],[Fat Removed]]*Index[[#This Row],[Fat Calories]])</f>
        <v>0</v>
      </c>
      <c r="M127" s="5">
        <f>Index[[#This Row],[Fat ]]*9</f>
        <v>0</v>
      </c>
    </row>
    <row r="128" spans="1:13" x14ac:dyDescent="0.3">
      <c r="A128" s="34" t="s">
        <v>651</v>
      </c>
      <c r="B128" s="5">
        <f>200*$H128</f>
        <v>0</v>
      </c>
      <c r="C128" s="5">
        <f>41*$H128</f>
        <v>0</v>
      </c>
      <c r="D128" s="5">
        <f>0.5*$H128</f>
        <v>0</v>
      </c>
      <c r="E128" s="5">
        <f>7*$H128</f>
        <v>0</v>
      </c>
      <c r="F128" s="5">
        <f>2*$H128</f>
        <v>0</v>
      </c>
      <c r="G128" s="5">
        <f>2*$H128</f>
        <v>0</v>
      </c>
      <c r="I128" s="22" t="s">
        <v>653</v>
      </c>
      <c r="J128" s="2">
        <v>5</v>
      </c>
      <c r="L128" s="5">
        <f>Index[[#This Row],[Calories]]-(Index[[#This Row],[Fat Removed]]*Index[[#This Row],[Fat Calories]])</f>
        <v>0</v>
      </c>
      <c r="M128" s="5">
        <f>Index[[#This Row],[Fat ]]*9</f>
        <v>0</v>
      </c>
    </row>
    <row r="129" spans="1:13" x14ac:dyDescent="0.3">
      <c r="A129" s="34" t="s">
        <v>652</v>
      </c>
      <c r="B129" s="5">
        <f>200*$H129</f>
        <v>0</v>
      </c>
      <c r="C129" s="5">
        <f>42*$H129</f>
        <v>0</v>
      </c>
      <c r="D129" s="5">
        <f>0.5*$H129</f>
        <v>0</v>
      </c>
      <c r="E129" s="5">
        <f>7*$H129</f>
        <v>0</v>
      </c>
      <c r="F129" s="5">
        <f>2*$H129</f>
        <v>0</v>
      </c>
      <c r="G129" s="5">
        <f>2*$H129</f>
        <v>0</v>
      </c>
      <c r="I129" s="22" t="s">
        <v>653</v>
      </c>
      <c r="J129" s="2">
        <v>5</v>
      </c>
      <c r="L129" s="5">
        <f>Index[[#This Row],[Calories]]-(Index[[#This Row],[Fat Removed]]*Index[[#This Row],[Fat Calories]])</f>
        <v>0</v>
      </c>
      <c r="M129" s="5">
        <f>Index[[#This Row],[Fat ]]*9</f>
        <v>0</v>
      </c>
    </row>
    <row r="130" spans="1:13" ht="26.25" x14ac:dyDescent="0.4">
      <c r="B130" s="5"/>
      <c r="C130" s="5"/>
      <c r="D130" s="5"/>
      <c r="E130" s="5"/>
      <c r="F130" s="5"/>
      <c r="G130" s="62" t="s">
        <v>166</v>
      </c>
      <c r="J130" s="2">
        <v>5.01</v>
      </c>
      <c r="L130" s="5"/>
      <c r="M130" s="5"/>
    </row>
    <row r="131" spans="1:13" x14ac:dyDescent="0.3">
      <c r="A131" s="34" t="s">
        <v>167</v>
      </c>
      <c r="B131" s="5">
        <f>200*H131</f>
        <v>0</v>
      </c>
      <c r="C131" s="5">
        <f>0*H131</f>
        <v>0</v>
      </c>
      <c r="D131" s="5">
        <f>10*H131</f>
        <v>0</v>
      </c>
      <c r="E131" s="5">
        <f>23*H131</f>
        <v>0</v>
      </c>
      <c r="F131" s="5">
        <f>0*H131</f>
        <v>0</v>
      </c>
      <c r="G131" s="5">
        <f>0*H131</f>
        <v>0</v>
      </c>
      <c r="J131" s="2">
        <v>6</v>
      </c>
      <c r="L131" s="5">
        <f>Index[[#This Row],[Calories]]-(Index[[#This Row],[Fat Removed]]*Index[[#This Row],[Fat Calories]])</f>
        <v>0</v>
      </c>
      <c r="M131" s="5">
        <f>Index[[#This Row],[Fat ]]*9</f>
        <v>0</v>
      </c>
    </row>
    <row r="132" spans="1:13" ht="37.5" x14ac:dyDescent="0.3">
      <c r="A132" s="34" t="s">
        <v>168</v>
      </c>
      <c r="B132" s="5">
        <f>290*H132</f>
        <v>0</v>
      </c>
      <c r="C132" s="5">
        <f>0*H132</f>
        <v>0</v>
      </c>
      <c r="D132" s="5">
        <f>23*H132</f>
        <v>0</v>
      </c>
      <c r="E132" s="5">
        <f>19*H132</f>
        <v>0</v>
      </c>
      <c r="F132" s="5">
        <f>0*H132</f>
        <v>0</v>
      </c>
      <c r="G132" s="5">
        <f>0*H132</f>
        <v>0</v>
      </c>
      <c r="J132" s="2">
        <v>6</v>
      </c>
      <c r="L132" s="5">
        <f>Index[[#This Row],[Calories]]-(Index[[#This Row],[Fat Removed]]*Index[[#This Row],[Fat Calories]])</f>
        <v>0</v>
      </c>
      <c r="M132" s="5">
        <f>Index[[#This Row],[Fat ]]*9</f>
        <v>0</v>
      </c>
    </row>
    <row r="133" spans="1:13" ht="37.5" x14ac:dyDescent="0.3">
      <c r="A133" s="34" t="s">
        <v>169</v>
      </c>
      <c r="B133" s="5">
        <f>370*$H133</f>
        <v>0</v>
      </c>
      <c r="C133" s="5">
        <f>3*$H133</f>
        <v>0</v>
      </c>
      <c r="D133" s="5">
        <f>29*$H133</f>
        <v>0</v>
      </c>
      <c r="E133" s="5">
        <f>24*$H133</f>
        <v>0</v>
      </c>
      <c r="F133" s="5">
        <f>1*$H133</f>
        <v>0</v>
      </c>
      <c r="G133" s="5">
        <f>1*$H133</f>
        <v>0</v>
      </c>
      <c r="J133" s="2">
        <v>6</v>
      </c>
      <c r="L133" s="5">
        <f>Index[[#This Row],[Calories]]-(Index[[#This Row],[Fat Removed]]*Index[[#This Row],[Fat Calories]])</f>
        <v>0</v>
      </c>
      <c r="M133" s="5">
        <f>Index[[#This Row],[Fat ]]*9</f>
        <v>0</v>
      </c>
    </row>
    <row r="134" spans="1:13" x14ac:dyDescent="0.3">
      <c r="A134" s="34" t="s">
        <v>170</v>
      </c>
      <c r="B134" s="5">
        <f>250*$H134</f>
        <v>0</v>
      </c>
      <c r="C134" s="5">
        <f>0*$H134</f>
        <v>0</v>
      </c>
      <c r="D134" s="5">
        <f>20*$H134</f>
        <v>0</v>
      </c>
      <c r="E134" s="5">
        <f>17*$H134</f>
        <v>0</v>
      </c>
      <c r="F134" s="5">
        <f>0*$H134</f>
        <v>0</v>
      </c>
      <c r="G134" s="5">
        <f>0*$H134</f>
        <v>0</v>
      </c>
      <c r="J134" s="2">
        <v>6</v>
      </c>
      <c r="L134" s="5">
        <f>Index[[#This Row],[Calories]]-(Index[[#This Row],[Fat Removed]]*Index[[#This Row],[Fat Calories]])</f>
        <v>0</v>
      </c>
      <c r="M134" s="5">
        <f>Index[[#This Row],[Fat ]]*9</f>
        <v>0</v>
      </c>
    </row>
    <row r="135" spans="1:13" ht="37.5" x14ac:dyDescent="0.3">
      <c r="A135" s="34" t="s">
        <v>171</v>
      </c>
      <c r="B135" s="5">
        <f>410*$H135</f>
        <v>0</v>
      </c>
      <c r="C135" s="5">
        <f>3*$H135</f>
        <v>0</v>
      </c>
      <c r="D135" s="5">
        <f>30*$H135</f>
        <v>0</v>
      </c>
      <c r="E135" s="5">
        <f>33*$H135</f>
        <v>0</v>
      </c>
      <c r="F135" s="5">
        <f t="shared" ref="F135:G158" si="12">0*$H135</f>
        <v>0</v>
      </c>
      <c r="G135" s="5">
        <f>1*$H135</f>
        <v>0</v>
      </c>
      <c r="J135" s="2">
        <v>6</v>
      </c>
      <c r="L135" s="5">
        <f>Index[[#This Row],[Calories]]-(Index[[#This Row],[Fat Removed]]*Index[[#This Row],[Fat Calories]])</f>
        <v>0</v>
      </c>
      <c r="M135" s="5">
        <f>Index[[#This Row],[Fat ]]*9</f>
        <v>0</v>
      </c>
    </row>
    <row r="136" spans="1:13" x14ac:dyDescent="0.3">
      <c r="A136" s="34" t="s">
        <v>172</v>
      </c>
      <c r="B136" s="5">
        <f>100*$H136</f>
        <v>0</v>
      </c>
      <c r="C136" s="5">
        <f>0*$H136</f>
        <v>0</v>
      </c>
      <c r="D136" s="5">
        <f>6*$H136</f>
        <v>0</v>
      </c>
      <c r="E136" s="5">
        <f>11*$H136</f>
        <v>0</v>
      </c>
      <c r="F136" s="5">
        <f t="shared" si="12"/>
        <v>0</v>
      </c>
      <c r="G136" s="5">
        <f>0*$H136</f>
        <v>0</v>
      </c>
      <c r="I136" s="22" t="s">
        <v>173</v>
      </c>
      <c r="J136" s="2">
        <v>6</v>
      </c>
      <c r="L136" s="5">
        <f>Index[[#This Row],[Calories]]-(Index[[#This Row],[Fat Removed]]*Index[[#This Row],[Fat Calories]])</f>
        <v>0</v>
      </c>
      <c r="M136" s="5">
        <f>Index[[#This Row],[Fat ]]*9</f>
        <v>0</v>
      </c>
    </row>
    <row r="137" spans="1:13" x14ac:dyDescent="0.3">
      <c r="A137" s="34" t="s">
        <v>174</v>
      </c>
      <c r="B137" s="5">
        <f>100*$H137</f>
        <v>0</v>
      </c>
      <c r="C137" s="5">
        <f>0*$H137</f>
        <v>0</v>
      </c>
      <c r="D137" s="5">
        <f>6*$H137</f>
        <v>0</v>
      </c>
      <c r="E137" s="5">
        <f>12*$H137</f>
        <v>0</v>
      </c>
      <c r="F137" s="5">
        <f t="shared" si="12"/>
        <v>0</v>
      </c>
      <c r="G137" s="5">
        <f>0*$H137</f>
        <v>0</v>
      </c>
      <c r="I137" s="22" t="s">
        <v>173</v>
      </c>
      <c r="J137" s="2">
        <v>6</v>
      </c>
      <c r="L137" s="5">
        <f>Index[[#This Row],[Calories]]-(Index[[#This Row],[Fat Removed]]*Index[[#This Row],[Fat Calories]])</f>
        <v>0</v>
      </c>
      <c r="M137" s="5">
        <f>Index[[#This Row],[Fat ]]*9</f>
        <v>0</v>
      </c>
    </row>
    <row r="138" spans="1:13" x14ac:dyDescent="0.3">
      <c r="A138" s="34" t="s">
        <v>175</v>
      </c>
      <c r="B138" s="5">
        <f>170*$H138</f>
        <v>0</v>
      </c>
      <c r="C138" s="5">
        <f>1*$H138</f>
        <v>0</v>
      </c>
      <c r="D138" s="5">
        <f>15*$H138</f>
        <v>0</v>
      </c>
      <c r="E138" s="5">
        <f>8*$H138</f>
        <v>0</v>
      </c>
      <c r="F138" s="5">
        <f t="shared" si="12"/>
        <v>0</v>
      </c>
      <c r="G138" s="5">
        <f>0*$H138</f>
        <v>0</v>
      </c>
      <c r="I138" s="22" t="s">
        <v>173</v>
      </c>
      <c r="J138" s="2">
        <v>6</v>
      </c>
      <c r="L138" s="5">
        <f>Index[[#This Row],[Calories]]-(Index[[#This Row],[Fat Removed]]*Index[[#This Row],[Fat Calories]])</f>
        <v>0</v>
      </c>
      <c r="M138" s="5">
        <f>Index[[#This Row],[Fat ]]*9</f>
        <v>0</v>
      </c>
    </row>
    <row r="139" spans="1:13" x14ac:dyDescent="0.3">
      <c r="A139" s="34" t="s">
        <v>176</v>
      </c>
      <c r="B139" s="5">
        <f>180*$H139</f>
        <v>0</v>
      </c>
      <c r="C139" s="5">
        <f>1*$H139</f>
        <v>0</v>
      </c>
      <c r="D139" s="5">
        <f>16*$H139</f>
        <v>0</v>
      </c>
      <c r="E139" s="5">
        <f>8*$H139</f>
        <v>0</v>
      </c>
      <c r="F139" s="5">
        <f t="shared" si="12"/>
        <v>0</v>
      </c>
      <c r="G139" s="5">
        <f>1*$H139</f>
        <v>0</v>
      </c>
      <c r="I139" s="22" t="s">
        <v>173</v>
      </c>
      <c r="J139" s="2">
        <v>6</v>
      </c>
      <c r="L139" s="5">
        <f>Index[[#This Row],[Calories]]-(Index[[#This Row],[Fat Removed]]*Index[[#This Row],[Fat Calories]])</f>
        <v>0</v>
      </c>
      <c r="M139" s="5">
        <f>Index[[#This Row],[Fat ]]*9</f>
        <v>0</v>
      </c>
    </row>
    <row r="140" spans="1:13" ht="15.75" customHeight="1" x14ac:dyDescent="0.3">
      <c r="A140" s="34" t="s">
        <v>177</v>
      </c>
      <c r="B140" s="5">
        <f>180*$H140</f>
        <v>0</v>
      </c>
      <c r="C140" s="5">
        <f>1*$H140</f>
        <v>0</v>
      </c>
      <c r="D140" s="5">
        <f>16*$H140</f>
        <v>0</v>
      </c>
      <c r="E140" s="5">
        <f>8*$H140</f>
        <v>0</v>
      </c>
      <c r="F140" s="5">
        <f t="shared" si="12"/>
        <v>0</v>
      </c>
      <c r="G140" s="5">
        <f>1*$H140</f>
        <v>0</v>
      </c>
      <c r="I140" s="22" t="s">
        <v>173</v>
      </c>
      <c r="J140" s="2">
        <v>6</v>
      </c>
      <c r="L140" s="5">
        <f>Index[[#This Row],[Calories]]-(Index[[#This Row],[Fat Removed]]*Index[[#This Row],[Fat Calories]])</f>
        <v>0</v>
      </c>
      <c r="M140" s="5">
        <f>Index[[#This Row],[Fat ]]*9</f>
        <v>0</v>
      </c>
    </row>
    <row r="141" spans="1:13" ht="37.5" x14ac:dyDescent="0.3">
      <c r="A141" s="34" t="s">
        <v>580</v>
      </c>
      <c r="B141" s="5">
        <f>100*$H141</f>
        <v>0</v>
      </c>
      <c r="C141" s="5">
        <f>3*$H141</f>
        <v>0</v>
      </c>
      <c r="D141" s="5">
        <f>6*$H141</f>
        <v>0</v>
      </c>
      <c r="E141" s="5">
        <f>8*$H141</f>
        <v>0</v>
      </c>
      <c r="F141" s="5">
        <f>0*$H141</f>
        <v>0</v>
      </c>
      <c r="G141" s="5">
        <f>1*$H141</f>
        <v>0</v>
      </c>
      <c r="I141" s="22" t="s">
        <v>581</v>
      </c>
      <c r="J141" s="2">
        <v>6</v>
      </c>
      <c r="L141" s="5">
        <f>Index[[#This Row],[Calories]]-(Index[[#This Row],[Fat Removed]]*Index[[#This Row],[Fat Calories]])</f>
        <v>0</v>
      </c>
      <c r="M141" s="5">
        <f>Index[[#This Row],[Fat ]]*9</f>
        <v>0</v>
      </c>
    </row>
    <row r="142" spans="1:13" ht="37.5" x14ac:dyDescent="0.3">
      <c r="A142" s="34" t="s">
        <v>178</v>
      </c>
      <c r="B142" s="5">
        <f>130*$H142</f>
        <v>0</v>
      </c>
      <c r="C142" s="5">
        <f>0*$H142</f>
        <v>0</v>
      </c>
      <c r="D142" s="5">
        <f>12*$H142</f>
        <v>0</v>
      </c>
      <c r="E142" s="5">
        <f>6*$H142</f>
        <v>0</v>
      </c>
      <c r="F142" s="5">
        <f t="shared" si="12"/>
        <v>0</v>
      </c>
      <c r="G142" s="5">
        <f>0*$H142</f>
        <v>0</v>
      </c>
      <c r="I142" s="22" t="s">
        <v>179</v>
      </c>
      <c r="J142" s="2">
        <v>6</v>
      </c>
      <c r="L142" s="5">
        <f>Index[[#This Row],[Calories]]-(Index[[#This Row],[Fat Removed]]*Index[[#This Row],[Fat Calories]])</f>
        <v>0</v>
      </c>
      <c r="M142" s="5">
        <f>Index[[#This Row],[Fat ]]*9</f>
        <v>0</v>
      </c>
    </row>
    <row r="143" spans="1:13" ht="37.5" x14ac:dyDescent="0.3">
      <c r="A143" s="34" t="s">
        <v>180</v>
      </c>
      <c r="B143" s="5">
        <f>70*$H143</f>
        <v>0</v>
      </c>
      <c r="C143" s="5">
        <f>0.5*$H143</f>
        <v>0</v>
      </c>
      <c r="D143" s="5">
        <f>4*$H143</f>
        <v>0</v>
      </c>
      <c r="E143" s="5">
        <f>10*$H143</f>
        <v>0</v>
      </c>
      <c r="F143" s="5">
        <f t="shared" si="12"/>
        <v>0</v>
      </c>
      <c r="G143" s="5">
        <f>0.5*$H143</f>
        <v>0</v>
      </c>
      <c r="I143" s="22" t="s">
        <v>181</v>
      </c>
      <c r="J143" s="2">
        <v>6</v>
      </c>
      <c r="L143" s="5">
        <f>Index[[#This Row],[Calories]]-(Index[[#This Row],[Fat Removed]]*Index[[#This Row],[Fat Calories]])</f>
        <v>0</v>
      </c>
      <c r="M143" s="5">
        <f>Index[[#This Row],[Fat ]]*9</f>
        <v>0</v>
      </c>
    </row>
    <row r="144" spans="1:13" ht="37.5" x14ac:dyDescent="0.3">
      <c r="A144" s="34" t="s">
        <v>182</v>
      </c>
      <c r="B144" s="5">
        <f>130*$H144</f>
        <v>0</v>
      </c>
      <c r="C144" s="5">
        <f>0*$H144</f>
        <v>0</v>
      </c>
      <c r="D144" s="5">
        <f>12*$H144</f>
        <v>0</v>
      </c>
      <c r="E144" s="5">
        <f>5*$H144</f>
        <v>0</v>
      </c>
      <c r="F144" s="5">
        <f t="shared" si="12"/>
        <v>0</v>
      </c>
      <c r="G144" s="5">
        <f>0*$H144</f>
        <v>0</v>
      </c>
      <c r="I144" s="22" t="s">
        <v>181</v>
      </c>
      <c r="J144" s="2">
        <v>6</v>
      </c>
      <c r="L144" s="5">
        <f>Index[[#This Row],[Calories]]-(Index[[#This Row],[Fat Removed]]*Index[[#This Row],[Fat Calories]])</f>
        <v>0</v>
      </c>
      <c r="M144" s="5">
        <f>Index[[#This Row],[Fat ]]*9</f>
        <v>0</v>
      </c>
    </row>
    <row r="145" spans="1:13" ht="37.5" x14ac:dyDescent="0.3">
      <c r="A145" s="34" t="s">
        <v>183</v>
      </c>
      <c r="B145" s="5">
        <f>110*$H145</f>
        <v>0</v>
      </c>
      <c r="C145" s="5">
        <f>0.5*$H145</f>
        <v>0</v>
      </c>
      <c r="D145" s="5">
        <f>10*$H145</f>
        <v>0</v>
      </c>
      <c r="E145" s="5">
        <f>6*$H145</f>
        <v>0</v>
      </c>
      <c r="F145" s="5">
        <f t="shared" si="12"/>
        <v>0</v>
      </c>
      <c r="G145" s="5">
        <f>0*$H145</f>
        <v>0</v>
      </c>
      <c r="I145" s="22" t="s">
        <v>181</v>
      </c>
      <c r="J145" s="2">
        <v>6</v>
      </c>
      <c r="L145" s="5">
        <f>Index[[#This Row],[Calories]]-(Index[[#This Row],[Fat Removed]]*Index[[#This Row],[Fat Calories]])</f>
        <v>0</v>
      </c>
      <c r="M145" s="5">
        <f>Index[[#This Row],[Fat ]]*9</f>
        <v>0</v>
      </c>
    </row>
    <row r="146" spans="1:13" ht="37.5" x14ac:dyDescent="0.3">
      <c r="A146" s="34" t="s">
        <v>643</v>
      </c>
      <c r="B146" s="5">
        <f>120*$H146</f>
        <v>0</v>
      </c>
      <c r="C146" s="5">
        <f>1*$H146</f>
        <v>0</v>
      </c>
      <c r="D146" s="5">
        <f>10*$H146</f>
        <v>0</v>
      </c>
      <c r="E146" s="5">
        <f>6*$H146</f>
        <v>0</v>
      </c>
      <c r="F146" s="5">
        <f>0*$H146</f>
        <v>0</v>
      </c>
      <c r="G146" s="5">
        <f>0.5*$H146</f>
        <v>0</v>
      </c>
      <c r="I146" s="22" t="s">
        <v>181</v>
      </c>
      <c r="J146" s="2">
        <v>6</v>
      </c>
      <c r="L146" s="5">
        <f>Index[[#This Row],[Calories]]-(Index[[#This Row],[Fat Removed]]*Index[[#This Row],[Fat Calories]])</f>
        <v>0</v>
      </c>
      <c r="M146" s="5">
        <f>Index[[#This Row],[Fat ]]*9</f>
        <v>0</v>
      </c>
    </row>
    <row r="147" spans="1:13" ht="37.5" x14ac:dyDescent="0.3">
      <c r="A147" s="34" t="s">
        <v>184</v>
      </c>
      <c r="B147" s="5">
        <f>210*$H147</f>
        <v>0</v>
      </c>
      <c r="C147" s="5">
        <f>2*$H147</f>
        <v>0</v>
      </c>
      <c r="D147" s="5">
        <f>18*$H147</f>
        <v>0</v>
      </c>
      <c r="E147" s="5">
        <f>10*$H147</f>
        <v>0</v>
      </c>
      <c r="F147" s="5">
        <f t="shared" si="12"/>
        <v>0</v>
      </c>
      <c r="G147" s="5">
        <f>2*$H147</f>
        <v>0</v>
      </c>
      <c r="I147" s="22" t="s">
        <v>185</v>
      </c>
      <c r="J147" s="2">
        <v>6</v>
      </c>
      <c r="L147" s="5">
        <f>Index[[#This Row],[Calories]]-(Index[[#This Row],[Fat Removed]]*Index[[#This Row],[Fat Calories]])</f>
        <v>0</v>
      </c>
      <c r="M147" s="5">
        <f>Index[[#This Row],[Fat ]]*9</f>
        <v>0</v>
      </c>
    </row>
    <row r="148" spans="1:13" ht="37.5" x14ac:dyDescent="0.3">
      <c r="A148" s="34" t="s">
        <v>186</v>
      </c>
      <c r="B148" s="5">
        <f>80*$H148</f>
        <v>0</v>
      </c>
      <c r="C148" s="5">
        <f>0*$H148</f>
        <v>0</v>
      </c>
      <c r="D148" s="5">
        <f>5*$H148</f>
        <v>0</v>
      </c>
      <c r="E148" s="5">
        <f>8*$H148</f>
        <v>0</v>
      </c>
      <c r="F148" s="5">
        <f t="shared" si="12"/>
        <v>0</v>
      </c>
      <c r="G148" s="5">
        <f t="shared" si="12"/>
        <v>0</v>
      </c>
      <c r="I148" s="22" t="s">
        <v>187</v>
      </c>
      <c r="J148" s="2">
        <v>6</v>
      </c>
      <c r="L148" s="5">
        <f>Index[[#This Row],[Calories]]-(Index[[#This Row],[Fat Removed]]*Index[[#This Row],[Fat Calories]])</f>
        <v>0</v>
      </c>
      <c r="M148" s="5">
        <f>Index[[#This Row],[Fat ]]*9</f>
        <v>0</v>
      </c>
    </row>
    <row r="149" spans="1:13" x14ac:dyDescent="0.3">
      <c r="A149" s="34" t="s">
        <v>188</v>
      </c>
      <c r="B149" s="5">
        <f>140*$H149</f>
        <v>0</v>
      </c>
      <c r="C149" s="5">
        <f>1*$H149</f>
        <v>0</v>
      </c>
      <c r="D149" s="5">
        <f>13*$H149</f>
        <v>0</v>
      </c>
      <c r="E149" s="5">
        <f>6*$H149</f>
        <v>0</v>
      </c>
      <c r="F149" s="5">
        <f t="shared" si="12"/>
        <v>0</v>
      </c>
      <c r="G149" s="5">
        <f>0.5*$H149</f>
        <v>0</v>
      </c>
      <c r="I149" s="22" t="s">
        <v>189</v>
      </c>
      <c r="J149" s="2">
        <v>6</v>
      </c>
      <c r="L149" s="5">
        <f>Index[[#This Row],[Calories]]-(Index[[#This Row],[Fat Removed]]*Index[[#This Row],[Fat Calories]])</f>
        <v>0</v>
      </c>
      <c r="M149" s="5">
        <f>Index[[#This Row],[Fat ]]*9</f>
        <v>0</v>
      </c>
    </row>
    <row r="150" spans="1:13" x14ac:dyDescent="0.3">
      <c r="A150" s="34" t="s">
        <v>190</v>
      </c>
      <c r="B150" s="5">
        <f>140*$H150</f>
        <v>0</v>
      </c>
      <c r="C150" s="5">
        <f>0.5*$H150</f>
        <v>0</v>
      </c>
      <c r="D150" s="5">
        <f>13*$H150</f>
        <v>0</v>
      </c>
      <c r="E150" s="5">
        <f>5*$H150</f>
        <v>0</v>
      </c>
      <c r="F150" s="5">
        <f t="shared" si="12"/>
        <v>0</v>
      </c>
      <c r="G150" s="5">
        <f>0*$H150</f>
        <v>0</v>
      </c>
      <c r="I150" s="22" t="s">
        <v>191</v>
      </c>
      <c r="J150" s="2">
        <v>6</v>
      </c>
      <c r="L150" s="5">
        <f>Index[[#This Row],[Calories]]-(Index[[#This Row],[Fat Removed]]*Index[[#This Row],[Fat Calories]])</f>
        <v>0</v>
      </c>
      <c r="M150" s="5">
        <f>Index[[#This Row],[Fat ]]*9</f>
        <v>0</v>
      </c>
    </row>
    <row r="151" spans="1:13" x14ac:dyDescent="0.3">
      <c r="A151" s="34" t="s">
        <v>192</v>
      </c>
      <c r="B151" s="5">
        <f>70*$H151</f>
        <v>0</v>
      </c>
      <c r="C151" s="5">
        <f>1*$H151</f>
        <v>0</v>
      </c>
      <c r="D151" s="5">
        <f>4*$H151</f>
        <v>0</v>
      </c>
      <c r="E151" s="5">
        <f>9*$H151</f>
        <v>0</v>
      </c>
      <c r="F151" s="5">
        <f t="shared" si="12"/>
        <v>0</v>
      </c>
      <c r="G151" s="5">
        <f>0*$H151</f>
        <v>0</v>
      </c>
      <c r="J151" s="2">
        <v>6</v>
      </c>
      <c r="L151" s="5">
        <f>Index[[#This Row],[Calories]]-(Index[[#This Row],[Fat Removed]]*Index[[#This Row],[Fat Calories]])</f>
        <v>0</v>
      </c>
      <c r="M151" s="5">
        <f>Index[[#This Row],[Fat ]]*9</f>
        <v>0</v>
      </c>
    </row>
    <row r="152" spans="1:13" ht="37.5" x14ac:dyDescent="0.3">
      <c r="A152" s="34" t="s">
        <v>582</v>
      </c>
      <c r="B152" s="5">
        <f>70*$H152</f>
        <v>0</v>
      </c>
      <c r="C152" s="5">
        <f>1*$H152</f>
        <v>0</v>
      </c>
      <c r="D152" s="5">
        <f>3.5*$H152</f>
        <v>0</v>
      </c>
      <c r="E152" s="5">
        <f>10*$H152</f>
        <v>0</v>
      </c>
      <c r="F152" s="5">
        <f t="shared" si="12"/>
        <v>0</v>
      </c>
      <c r="G152" s="5">
        <f>0.5*$H152</f>
        <v>0</v>
      </c>
      <c r="I152" s="22" t="s">
        <v>583</v>
      </c>
      <c r="J152" s="2">
        <v>6</v>
      </c>
      <c r="L152" s="5">
        <f>Index[[#This Row],[Calories]]-(Index[[#This Row],[Fat Removed]]*Index[[#This Row],[Fat Calories]])</f>
        <v>0</v>
      </c>
      <c r="M152" s="5">
        <f>Index[[#This Row],[Fat ]]*9</f>
        <v>0</v>
      </c>
    </row>
    <row r="153" spans="1:13" x14ac:dyDescent="0.3">
      <c r="A153" s="34" t="s">
        <v>193</v>
      </c>
      <c r="B153" s="5">
        <f>80*$H153</f>
        <v>0</v>
      </c>
      <c r="C153" s="5">
        <f>3*$H153</f>
        <v>0</v>
      </c>
      <c r="D153" s="5">
        <f>1*$H153</f>
        <v>0</v>
      </c>
      <c r="E153" s="5">
        <f>14*$H153</f>
        <v>0</v>
      </c>
      <c r="F153" s="5">
        <f t="shared" si="12"/>
        <v>0</v>
      </c>
      <c r="G153" s="5">
        <f>3*$H153</f>
        <v>0</v>
      </c>
      <c r="J153" s="2">
        <v>6</v>
      </c>
      <c r="L153" s="5">
        <f>Index[[#This Row],[Calories]]-(Index[[#This Row],[Fat Removed]]*Index[[#This Row],[Fat Calories]])</f>
        <v>0</v>
      </c>
      <c r="M153" s="5">
        <f>Index[[#This Row],[Fat ]]*9</f>
        <v>0</v>
      </c>
    </row>
    <row r="154" spans="1:13" x14ac:dyDescent="0.3">
      <c r="A154" s="34" t="s">
        <v>194</v>
      </c>
      <c r="B154" s="5">
        <f>200*$H154</f>
        <v>0</v>
      </c>
      <c r="C154" s="5">
        <f>2*$H154</f>
        <v>0</v>
      </c>
      <c r="D154" s="5">
        <f>18*$H154</f>
        <v>0</v>
      </c>
      <c r="E154" s="5">
        <f>7*$H154</f>
        <v>0</v>
      </c>
      <c r="F154" s="5">
        <f t="shared" si="12"/>
        <v>0</v>
      </c>
      <c r="G154" s="5">
        <f t="shared" ref="G154:G159" si="13">0*$H154</f>
        <v>0</v>
      </c>
      <c r="J154" s="2">
        <v>6</v>
      </c>
      <c r="L154" s="5">
        <f>Index[[#This Row],[Calories]]-(Index[[#This Row],[Fat Removed]]*Index[[#This Row],[Fat Calories]])</f>
        <v>0</v>
      </c>
      <c r="M154" s="5">
        <f>Index[[#This Row],[Fat ]]*9</f>
        <v>0</v>
      </c>
    </row>
    <row r="155" spans="1:13" x14ac:dyDescent="0.3">
      <c r="A155" s="34" t="s">
        <v>195</v>
      </c>
      <c r="B155" s="5">
        <f>25*$H155</f>
        <v>0</v>
      </c>
      <c r="C155" s="5">
        <f>0*$H155</f>
        <v>0</v>
      </c>
      <c r="D155" s="5">
        <f>1.5*$H155</f>
        <v>0</v>
      </c>
      <c r="E155" s="5">
        <f>3*$H155</f>
        <v>0</v>
      </c>
      <c r="F155" s="5">
        <f t="shared" si="12"/>
        <v>0</v>
      </c>
      <c r="G155" s="5">
        <f t="shared" si="13"/>
        <v>0</v>
      </c>
      <c r="J155" s="2">
        <v>6</v>
      </c>
      <c r="L155" s="5">
        <f>Index[[#This Row],[Calories]]-(Index[[#This Row],[Fat Removed]]*Index[[#This Row],[Fat Calories]])</f>
        <v>0</v>
      </c>
      <c r="M155" s="5">
        <f>Index[[#This Row],[Fat ]]*9</f>
        <v>0</v>
      </c>
    </row>
    <row r="156" spans="1:13" x14ac:dyDescent="0.3">
      <c r="A156" s="34" t="s">
        <v>196</v>
      </c>
      <c r="B156" s="5">
        <f>25*$H156</f>
        <v>0</v>
      </c>
      <c r="C156" s="5">
        <f>0*$H156</f>
        <v>0</v>
      </c>
      <c r="D156" s="5">
        <f>3*$H156</f>
        <v>0</v>
      </c>
      <c r="E156" s="5">
        <f>6*$H156</f>
        <v>0</v>
      </c>
      <c r="F156" s="5">
        <f t="shared" si="12"/>
        <v>0</v>
      </c>
      <c r="G156" s="5">
        <f t="shared" si="13"/>
        <v>0</v>
      </c>
      <c r="J156" s="2">
        <v>6</v>
      </c>
      <c r="L156" s="5">
        <f>Index[[#This Row],[Calories]]-(Index[[#This Row],[Fat Removed]]*Index[[#This Row],[Fat Calories]])</f>
        <v>0</v>
      </c>
      <c r="M156" s="5">
        <f>Index[[#This Row],[Fat ]]*9</f>
        <v>0</v>
      </c>
    </row>
    <row r="157" spans="1:13" x14ac:dyDescent="0.3">
      <c r="A157" s="34" t="s">
        <v>197</v>
      </c>
      <c r="B157" s="5">
        <f>350*$H157</f>
        <v>0</v>
      </c>
      <c r="C157" s="5">
        <f>0*$H157</f>
        <v>0</v>
      </c>
      <c r="D157" s="5">
        <f>31*$H157</f>
        <v>0</v>
      </c>
      <c r="E157" s="5">
        <f>17*$H157</f>
        <v>0</v>
      </c>
      <c r="F157" s="5">
        <f t="shared" si="12"/>
        <v>0</v>
      </c>
      <c r="G157" s="5">
        <f t="shared" si="13"/>
        <v>0</v>
      </c>
      <c r="J157" s="2">
        <v>6</v>
      </c>
      <c r="L157" s="5">
        <f>Index[[#This Row],[Calories]]-(Index[[#This Row],[Fat Removed]]*Index[[#This Row],[Fat Calories]])</f>
        <v>0</v>
      </c>
      <c r="M157" s="5">
        <f>Index[[#This Row],[Fat ]]*9</f>
        <v>0</v>
      </c>
    </row>
    <row r="158" spans="1:13" x14ac:dyDescent="0.3">
      <c r="A158" s="34" t="s">
        <v>198</v>
      </c>
      <c r="B158" s="5">
        <f>290*$H158</f>
        <v>0</v>
      </c>
      <c r="C158" s="5">
        <f>0*$H158</f>
        <v>0</v>
      </c>
      <c r="D158" s="5">
        <f>23*$H158</f>
        <v>0</v>
      </c>
      <c r="E158" s="5">
        <f>19*$H158</f>
        <v>0</v>
      </c>
      <c r="F158" s="5">
        <f t="shared" si="12"/>
        <v>0</v>
      </c>
      <c r="G158" s="5">
        <f t="shared" si="13"/>
        <v>0</v>
      </c>
      <c r="J158" s="2">
        <v>6</v>
      </c>
      <c r="L158" s="5">
        <f>Index[[#This Row],[Calories]]-(Index[[#This Row],[Fat Removed]]*Index[[#This Row],[Fat Calories]])</f>
        <v>0</v>
      </c>
      <c r="M158" s="5">
        <f>Index[[#This Row],[Fat ]]*9</f>
        <v>0</v>
      </c>
    </row>
    <row r="159" spans="1:13" x14ac:dyDescent="0.3">
      <c r="A159" s="34" t="s">
        <v>654</v>
      </c>
      <c r="B159" s="5">
        <f>290*$H159</f>
        <v>0</v>
      </c>
      <c r="C159" s="5">
        <f>0*$H159</f>
        <v>0</v>
      </c>
      <c r="D159" s="5">
        <f>23*$H159</f>
        <v>0</v>
      </c>
      <c r="E159" s="5">
        <f>15*$H159</f>
        <v>0</v>
      </c>
      <c r="F159" s="5">
        <f>0*$H159</f>
        <v>0</v>
      </c>
      <c r="G159" s="5">
        <f t="shared" si="13"/>
        <v>0</v>
      </c>
      <c r="I159" s="22" t="s">
        <v>657</v>
      </c>
      <c r="J159" s="2">
        <v>6</v>
      </c>
      <c r="L159" s="5">
        <f>Index[[#This Row],[Calories]]-(Index[[#This Row],[Fat Removed]]*Index[[#This Row],[Fat Calories]])</f>
        <v>0</v>
      </c>
      <c r="M159" s="5">
        <f>Index[[#This Row],[Fat ]]*9</f>
        <v>0</v>
      </c>
    </row>
    <row r="160" spans="1:13" x14ac:dyDescent="0.3">
      <c r="A160" s="34" t="s">
        <v>199</v>
      </c>
      <c r="B160" s="5">
        <f>105*H160</f>
        <v>0</v>
      </c>
      <c r="C160" s="5">
        <f t="shared" ref="C160:C165" si="14">0*H160</f>
        <v>0</v>
      </c>
      <c r="D160" s="5">
        <f>2.9*H160</f>
        <v>0</v>
      </c>
      <c r="E160" s="5">
        <f>20*H160</f>
        <v>0</v>
      </c>
      <c r="F160" s="5">
        <f t="shared" ref="F160:F165" si="15">0*H160</f>
        <v>0</v>
      </c>
      <c r="G160" s="5">
        <f t="shared" ref="G160:G165" si="16">0*H160</f>
        <v>0</v>
      </c>
      <c r="I160" s="22" t="s">
        <v>200</v>
      </c>
      <c r="J160" s="2">
        <v>6</v>
      </c>
      <c r="L160" s="5">
        <f>Index[[#This Row],[Calories]]-(Index[[#This Row],[Fat Removed]]*Index[[#This Row],[Fat Calories]])</f>
        <v>0</v>
      </c>
      <c r="M160" s="5">
        <f>Index[[#This Row],[Fat ]]*9</f>
        <v>0</v>
      </c>
    </row>
    <row r="161" spans="1:13" x14ac:dyDescent="0.3">
      <c r="A161" s="34" t="s">
        <v>201</v>
      </c>
      <c r="B161" s="5">
        <f>155*H161</f>
        <v>0</v>
      </c>
      <c r="C161" s="5">
        <f t="shared" si="14"/>
        <v>0</v>
      </c>
      <c r="D161" s="5">
        <f>6*H161</f>
        <v>0</v>
      </c>
      <c r="E161" s="5">
        <f>23*H161</f>
        <v>0</v>
      </c>
      <c r="F161" s="5">
        <f t="shared" si="15"/>
        <v>0</v>
      </c>
      <c r="G161" s="5">
        <f t="shared" si="16"/>
        <v>0</v>
      </c>
      <c r="I161" s="22" t="s">
        <v>202</v>
      </c>
      <c r="J161" s="2">
        <v>6</v>
      </c>
      <c r="L161" s="5">
        <f>Index[[#This Row],[Calories]]-(Index[[#This Row],[Fat Removed]]*Index[[#This Row],[Fat Calories]])</f>
        <v>0</v>
      </c>
      <c r="M161" s="5">
        <f>Index[[#This Row],[Fat ]]*9</f>
        <v>0</v>
      </c>
    </row>
    <row r="162" spans="1:13" x14ac:dyDescent="0.3">
      <c r="A162" s="34" t="s">
        <v>203</v>
      </c>
      <c r="B162" s="5">
        <f>190*H162</f>
        <v>0</v>
      </c>
      <c r="C162" s="5">
        <f t="shared" si="14"/>
        <v>0</v>
      </c>
      <c r="D162" s="5">
        <f>9*H162</f>
        <v>0</v>
      </c>
      <c r="E162" s="5">
        <f>25*H162</f>
        <v>0</v>
      </c>
      <c r="F162" s="5">
        <f t="shared" si="15"/>
        <v>0</v>
      </c>
      <c r="G162" s="5">
        <f t="shared" si="16"/>
        <v>0</v>
      </c>
      <c r="I162" s="22" t="s">
        <v>204</v>
      </c>
      <c r="J162" s="2">
        <v>6</v>
      </c>
      <c r="L162" s="5">
        <f>Index[[#This Row],[Calories]]-(Index[[#This Row],[Fat Removed]]*Index[[#This Row],[Fat Calories]])</f>
        <v>0</v>
      </c>
      <c r="M162" s="5">
        <f>Index[[#This Row],[Fat ]]*9</f>
        <v>0</v>
      </c>
    </row>
    <row r="163" spans="1:13" x14ac:dyDescent="0.3">
      <c r="A163" s="34" t="s">
        <v>205</v>
      </c>
      <c r="B163" s="5">
        <f>161*H163</f>
        <v>0</v>
      </c>
      <c r="C163" s="5">
        <f t="shared" si="14"/>
        <v>0</v>
      </c>
      <c r="D163" s="5">
        <f>10*H163</f>
        <v>0</v>
      </c>
      <c r="E163" s="5">
        <f>17*H163</f>
        <v>0</v>
      </c>
      <c r="F163" s="5">
        <f t="shared" si="15"/>
        <v>0</v>
      </c>
      <c r="G163" s="5">
        <f t="shared" si="16"/>
        <v>0</v>
      </c>
      <c r="I163" s="22" t="s">
        <v>200</v>
      </c>
      <c r="J163" s="2">
        <v>6</v>
      </c>
      <c r="L163" s="5">
        <f>Index[[#This Row],[Calories]]-(Index[[#This Row],[Fat Removed]]*Index[[#This Row],[Fat Calories]])</f>
        <v>0</v>
      </c>
      <c r="M163" s="5">
        <f>Index[[#This Row],[Fat ]]*9</f>
        <v>0</v>
      </c>
    </row>
    <row r="164" spans="1:13" x14ac:dyDescent="0.3">
      <c r="A164" s="34" t="s">
        <v>206</v>
      </c>
      <c r="B164" s="5">
        <f>73*H164</f>
        <v>0</v>
      </c>
      <c r="C164" s="5">
        <f t="shared" si="14"/>
        <v>0</v>
      </c>
      <c r="D164" s="5">
        <f>4.7*H164</f>
        <v>0</v>
      </c>
      <c r="E164" s="5">
        <f>7.2*H164</f>
        <v>0</v>
      </c>
      <c r="F164" s="5">
        <f t="shared" si="15"/>
        <v>0</v>
      </c>
      <c r="G164" s="5">
        <f t="shared" si="16"/>
        <v>0</v>
      </c>
      <c r="I164" s="22" t="s">
        <v>207</v>
      </c>
      <c r="J164" s="2">
        <v>6</v>
      </c>
      <c r="L164" s="5">
        <f>Index[[#This Row],[Calories]]-(Index[[#This Row],[Fat Removed]]*Index[[#This Row],[Fat Calories]])</f>
        <v>0</v>
      </c>
      <c r="M164" s="5">
        <f>Index[[#This Row],[Fat ]]*9</f>
        <v>0</v>
      </c>
    </row>
    <row r="165" spans="1:13" x14ac:dyDescent="0.3">
      <c r="A165" s="34" t="s">
        <v>208</v>
      </c>
      <c r="B165" s="5">
        <f>130*H165</f>
        <v>0</v>
      </c>
      <c r="C165" s="5">
        <f t="shared" si="14"/>
        <v>0</v>
      </c>
      <c r="D165" s="5">
        <f>4.5*H165</f>
        <v>0</v>
      </c>
      <c r="E165" s="5">
        <f>23*H165</f>
        <v>0</v>
      </c>
      <c r="F165" s="5">
        <f t="shared" si="15"/>
        <v>0</v>
      </c>
      <c r="G165" s="5">
        <f t="shared" si="16"/>
        <v>0</v>
      </c>
      <c r="I165" s="22" t="s">
        <v>204</v>
      </c>
      <c r="J165" s="2">
        <v>6</v>
      </c>
      <c r="L165" s="5">
        <f>Index[[#This Row],[Calories]]-(Index[[#This Row],[Fat Removed]]*Index[[#This Row],[Fat Calories]])</f>
        <v>0</v>
      </c>
      <c r="M165" s="5">
        <f>Index[[#This Row],[Fat ]]*9</f>
        <v>0</v>
      </c>
    </row>
    <row r="166" spans="1:13" x14ac:dyDescent="0.3">
      <c r="A166" s="34" t="s">
        <v>558</v>
      </c>
      <c r="B166" s="5">
        <f>220*H166</f>
        <v>0</v>
      </c>
      <c r="C166" s="5">
        <f>0*H166</f>
        <v>0</v>
      </c>
      <c r="D166" s="5">
        <f>14*H166</f>
        <v>0</v>
      </c>
      <c r="E166" s="5">
        <f>22*H166</f>
        <v>0</v>
      </c>
      <c r="F166" s="5">
        <f>0*H166</f>
        <v>0</v>
      </c>
      <c r="G166" s="5">
        <f>0*H166</f>
        <v>0</v>
      </c>
      <c r="I166" s="22" t="s">
        <v>559</v>
      </c>
      <c r="J166" s="2">
        <v>6</v>
      </c>
      <c r="L166" s="5">
        <f>Index[[#This Row],[Calories]]-(Index[[#This Row],[Fat Removed]]*Index[[#This Row],[Fat Calories]])</f>
        <v>0</v>
      </c>
      <c r="M166" s="5">
        <f>Index[[#This Row],[Fat ]]*9</f>
        <v>0</v>
      </c>
    </row>
    <row r="167" spans="1:13" x14ac:dyDescent="0.3">
      <c r="A167" s="34" t="s">
        <v>209</v>
      </c>
      <c r="B167" s="5">
        <f>140*H167</f>
        <v>0</v>
      </c>
      <c r="C167" s="5">
        <f>0*H167</f>
        <v>0</v>
      </c>
      <c r="D167" s="5">
        <f>7*H167</f>
        <v>0</v>
      </c>
      <c r="E167" s="5">
        <f>17.5*H167</f>
        <v>0</v>
      </c>
      <c r="F167" s="5">
        <f>0*H167</f>
        <v>0</v>
      </c>
      <c r="G167" s="5">
        <f>0*H167</f>
        <v>0</v>
      </c>
      <c r="I167" s="22" t="s">
        <v>210</v>
      </c>
      <c r="J167" s="2">
        <v>6</v>
      </c>
      <c r="L167" s="5">
        <f>Index[[#This Row],[Calories]]-(Index[[#This Row],[Fat Removed]]*Index[[#This Row],[Fat Calories]])</f>
        <v>0</v>
      </c>
      <c r="M167" s="5">
        <f>Index[[#This Row],[Fat ]]*9</f>
        <v>0</v>
      </c>
    </row>
    <row r="168" spans="1:13" x14ac:dyDescent="0.3">
      <c r="A168" s="34" t="s">
        <v>211</v>
      </c>
      <c r="B168" s="5">
        <f>61.7*H168</f>
        <v>0</v>
      </c>
      <c r="C168" s="5">
        <f>0*H168</f>
        <v>0</v>
      </c>
      <c r="D168" s="5">
        <f>3.3*H168</f>
        <v>0</v>
      </c>
      <c r="E168" s="5">
        <f>7.3*H168</f>
        <v>0</v>
      </c>
      <c r="F168" s="5">
        <f>0*H168</f>
        <v>0</v>
      </c>
      <c r="G168" s="5">
        <f>0*H168</f>
        <v>0</v>
      </c>
      <c r="I168" s="22" t="s">
        <v>212</v>
      </c>
      <c r="J168" s="2">
        <v>6</v>
      </c>
      <c r="L168" s="5">
        <f>Index[[#This Row],[Calories]]-(Index[[#This Row],[Fat Removed]]*Index[[#This Row],[Fat Calories]])</f>
        <v>0</v>
      </c>
      <c r="M168" s="5">
        <f>Index[[#This Row],[Fat ]]*9</f>
        <v>0</v>
      </c>
    </row>
    <row r="169" spans="1:13" x14ac:dyDescent="0.3">
      <c r="A169" s="34" t="s">
        <v>172</v>
      </c>
      <c r="B169" s="5">
        <f>100*$H169</f>
        <v>0</v>
      </c>
      <c r="C169" s="5">
        <f>0*$H169</f>
        <v>0</v>
      </c>
      <c r="D169" s="5">
        <f>6*$H169</f>
        <v>0</v>
      </c>
      <c r="E169" s="5">
        <f>11*$H169</f>
        <v>0</v>
      </c>
      <c r="F169" s="5">
        <f>0*$H169</f>
        <v>0</v>
      </c>
      <c r="G169" s="5">
        <f>0*$H169</f>
        <v>0</v>
      </c>
      <c r="I169" s="22" t="s">
        <v>173</v>
      </c>
      <c r="J169" s="2">
        <v>6</v>
      </c>
      <c r="L169" s="5">
        <f>Index[[#This Row],[Calories]]-(Index[[#This Row],[Fat Removed]]*Index[[#This Row],[Fat Calories]])</f>
        <v>0</v>
      </c>
      <c r="M169" s="5">
        <f>Index[[#This Row],[Fat ]]*9</f>
        <v>0</v>
      </c>
    </row>
    <row r="170" spans="1:13" x14ac:dyDescent="0.3">
      <c r="A170" s="34" t="s">
        <v>213</v>
      </c>
      <c r="B170" s="5">
        <f>150*$H170</f>
        <v>0</v>
      </c>
      <c r="C170" s="5">
        <f>2*$H170</f>
        <v>0</v>
      </c>
      <c r="D170" s="5">
        <f>6*$H170</f>
        <v>0</v>
      </c>
      <c r="E170" s="5">
        <f>23*$H170</f>
        <v>0</v>
      </c>
      <c r="F170" s="5">
        <f>0*$H170</f>
        <v>0</v>
      </c>
      <c r="G170" s="5">
        <f>1*$H170</f>
        <v>0</v>
      </c>
      <c r="I170" s="22" t="s">
        <v>214</v>
      </c>
      <c r="J170" s="2">
        <v>6</v>
      </c>
      <c r="L170" s="5">
        <f>Index[[#This Row],[Calories]]-(Index[[#This Row],[Fat Removed]]*Index[[#This Row],[Fat Calories]])</f>
        <v>0</v>
      </c>
      <c r="M170" s="5">
        <f>Index[[#This Row],[Fat ]]*9</f>
        <v>0</v>
      </c>
    </row>
    <row r="171" spans="1:13" x14ac:dyDescent="0.3">
      <c r="A171" s="34" t="s">
        <v>174</v>
      </c>
      <c r="B171" s="5">
        <f>100*$H171</f>
        <v>0</v>
      </c>
      <c r="C171" s="5">
        <f>0*$H171</f>
        <v>0</v>
      </c>
      <c r="D171" s="5">
        <f>6*$H171</f>
        <v>0</v>
      </c>
      <c r="E171" s="5">
        <f>12*$H171</f>
        <v>0</v>
      </c>
      <c r="F171" s="5">
        <f>0*$H171</f>
        <v>0</v>
      </c>
      <c r="G171" s="5">
        <f>0*$H171</f>
        <v>0</v>
      </c>
      <c r="I171" s="22" t="s">
        <v>173</v>
      </c>
      <c r="J171" s="2">
        <v>6</v>
      </c>
      <c r="L171" s="5">
        <f>Index[[#This Row],[Calories]]-(Index[[#This Row],[Fat Removed]]*Index[[#This Row],[Fat Calories]])</f>
        <v>0</v>
      </c>
      <c r="M171" s="5">
        <f>Index[[#This Row],[Fat ]]*9</f>
        <v>0</v>
      </c>
    </row>
    <row r="172" spans="1:13" ht="37.5" x14ac:dyDescent="0.3">
      <c r="A172" s="34" t="s">
        <v>215</v>
      </c>
      <c r="B172" s="5">
        <f>230*$H172</f>
        <v>0</v>
      </c>
      <c r="C172" s="5">
        <f>3*$H172</f>
        <v>0</v>
      </c>
      <c r="D172" s="5">
        <f>19*$H172</f>
        <v>0</v>
      </c>
      <c r="E172" s="5">
        <f>9*$H172</f>
        <v>0</v>
      </c>
      <c r="F172" s="5">
        <f>0*$H172</f>
        <v>0</v>
      </c>
      <c r="G172" s="5">
        <f>1*$H172</f>
        <v>0</v>
      </c>
      <c r="I172" s="22" t="s">
        <v>216</v>
      </c>
      <c r="J172" s="2">
        <v>6</v>
      </c>
      <c r="L172" s="5">
        <f>Index[[#This Row],[Calories]]-(Index[[#This Row],[Fat Removed]]*Index[[#This Row],[Fat Calories]])</f>
        <v>0</v>
      </c>
      <c r="M172" s="5">
        <f>Index[[#This Row],[Fat ]]*9</f>
        <v>0</v>
      </c>
    </row>
    <row r="173" spans="1:13" x14ac:dyDescent="0.3">
      <c r="A173" s="34" t="s">
        <v>217</v>
      </c>
      <c r="B173" s="5">
        <f>240*$H173</f>
        <v>0</v>
      </c>
      <c r="C173" s="5">
        <f>5*$H173</f>
        <v>0</v>
      </c>
      <c r="D173" s="5">
        <f>18*$H173</f>
        <v>0</v>
      </c>
      <c r="E173" s="5">
        <f>14*$H173</f>
        <v>0</v>
      </c>
      <c r="F173" s="5">
        <f>1*$H173</f>
        <v>0</v>
      </c>
      <c r="G173" s="5">
        <f>2*$H173</f>
        <v>0</v>
      </c>
      <c r="I173" s="22" t="s">
        <v>216</v>
      </c>
      <c r="J173" s="2">
        <v>6</v>
      </c>
      <c r="L173" s="5">
        <f>Index[[#This Row],[Calories]]-(Index[[#This Row],[Fat Removed]]*Index[[#This Row],[Fat Calories]])</f>
        <v>0</v>
      </c>
      <c r="M173" s="5">
        <f>Index[[#This Row],[Fat ]]*9</f>
        <v>0</v>
      </c>
    </row>
    <row r="174" spans="1:13" x14ac:dyDescent="0.3">
      <c r="A174" s="34" t="s">
        <v>218</v>
      </c>
      <c r="B174" s="5">
        <f>240*$H174</f>
        <v>0</v>
      </c>
      <c r="C174" s="5">
        <f>5*$H174</f>
        <v>0</v>
      </c>
      <c r="D174" s="5">
        <f>19*$H174</f>
        <v>0</v>
      </c>
      <c r="E174" s="5">
        <f>14*$H174</f>
        <v>0</v>
      </c>
      <c r="F174" s="5">
        <f>0*$H174</f>
        <v>0</v>
      </c>
      <c r="G174" s="5">
        <f>2*$H174</f>
        <v>0</v>
      </c>
      <c r="J174" s="2">
        <v>6</v>
      </c>
      <c r="L174" s="5">
        <f>Index[[#This Row],[Calories]]-(Index[[#This Row],[Fat Removed]]*Index[[#This Row],[Fat Calories]])</f>
        <v>0</v>
      </c>
      <c r="M174" s="5">
        <f>Index[[#This Row],[Fat ]]*9</f>
        <v>0</v>
      </c>
    </row>
    <row r="175" spans="1:13" x14ac:dyDescent="0.3">
      <c r="A175" s="34" t="s">
        <v>219</v>
      </c>
      <c r="B175" s="5">
        <f>130*$H175</f>
        <v>0</v>
      </c>
      <c r="C175" s="5">
        <f>0.5*$H175</f>
        <v>0</v>
      </c>
      <c r="D175" s="5">
        <f>12*$H175</f>
        <v>0</v>
      </c>
      <c r="E175" s="5">
        <f>4*$H175</f>
        <v>0</v>
      </c>
      <c r="F175" s="5">
        <f>0*$H175</f>
        <v>0</v>
      </c>
      <c r="G175" s="5">
        <f>0.5*$H175</f>
        <v>0</v>
      </c>
      <c r="I175" s="22" t="s">
        <v>216</v>
      </c>
      <c r="J175" s="2">
        <v>6</v>
      </c>
      <c r="L175" s="5">
        <f>Index[[#This Row],[Calories]]-(Index[[#This Row],[Fat Removed]]*Index[[#This Row],[Fat Calories]])</f>
        <v>0</v>
      </c>
      <c r="M175" s="5">
        <f>Index[[#This Row],[Fat ]]*9</f>
        <v>0</v>
      </c>
    </row>
    <row r="176" spans="1:13" x14ac:dyDescent="0.3">
      <c r="A176" s="34" t="s">
        <v>220</v>
      </c>
      <c r="B176" s="5">
        <f>110*$H176</f>
        <v>0</v>
      </c>
      <c r="C176" s="5">
        <f>1*$H176</f>
        <v>0</v>
      </c>
      <c r="D176" s="5">
        <f>10*$H176</f>
        <v>0</v>
      </c>
      <c r="E176" s="5">
        <f>5*$H176</f>
        <v>0</v>
      </c>
      <c r="F176" s="5">
        <f>0*$H176</f>
        <v>0</v>
      </c>
      <c r="G176" s="5">
        <f>1*$H176</f>
        <v>0</v>
      </c>
      <c r="I176" s="22" t="s">
        <v>216</v>
      </c>
      <c r="J176" s="2">
        <v>6</v>
      </c>
      <c r="L176" s="5">
        <f>Index[[#This Row],[Calories]]-(Index[[#This Row],[Fat Removed]]*Index[[#This Row],[Fat Calories]])</f>
        <v>0</v>
      </c>
      <c r="M176" s="5">
        <f>Index[[#This Row],[Fat ]]*9</f>
        <v>0</v>
      </c>
    </row>
    <row r="177" spans="1:13" x14ac:dyDescent="0.3">
      <c r="A177" s="34" t="s">
        <v>221</v>
      </c>
      <c r="B177" s="5">
        <f>120*$H177</f>
        <v>0</v>
      </c>
      <c r="C177" s="5">
        <f>1*$H177</f>
        <v>0</v>
      </c>
      <c r="D177" s="5">
        <f>10*$H177</f>
        <v>0</v>
      </c>
      <c r="E177" s="5">
        <f>6*$H177</f>
        <v>0</v>
      </c>
      <c r="F177" s="5">
        <f>0*$H177</f>
        <v>0</v>
      </c>
      <c r="G177" s="5">
        <f>1*$H177</f>
        <v>0</v>
      </c>
      <c r="I177" s="22" t="s">
        <v>216</v>
      </c>
      <c r="J177" s="2">
        <v>6</v>
      </c>
      <c r="L177" s="5">
        <f>Index[[#This Row],[Calories]]-(Index[[#This Row],[Fat Removed]]*Index[[#This Row],[Fat Calories]])</f>
        <v>0</v>
      </c>
      <c r="M177" s="5">
        <f>Index[[#This Row],[Fat ]]*9</f>
        <v>0</v>
      </c>
    </row>
    <row r="178" spans="1:13" x14ac:dyDescent="0.3">
      <c r="A178" s="34" t="s">
        <v>222</v>
      </c>
      <c r="B178" s="5">
        <f>70*$H189</f>
        <v>0</v>
      </c>
      <c r="C178" s="5">
        <f>1*$H189</f>
        <v>0</v>
      </c>
      <c r="D178" s="5">
        <f>2.5*$H189</f>
        <v>0</v>
      </c>
      <c r="E178" s="5">
        <f>11*$H189</f>
        <v>0</v>
      </c>
      <c r="F178" s="5">
        <f>0*$H189</f>
        <v>0</v>
      </c>
      <c r="G178" s="5">
        <f>1*$H189</f>
        <v>0</v>
      </c>
      <c r="J178" s="2">
        <v>6</v>
      </c>
      <c r="L178" s="5">
        <f>Index[[#This Row],[Calories]]-(Index[[#This Row],[Fat Removed]]*Index[[#This Row],[Fat Calories]])</f>
        <v>0</v>
      </c>
      <c r="M178" s="5">
        <f>Index[[#This Row],[Fat ]]*9</f>
        <v>0</v>
      </c>
    </row>
    <row r="179" spans="1:13" ht="37.5" x14ac:dyDescent="0.3">
      <c r="A179" s="34" t="s">
        <v>223</v>
      </c>
      <c r="B179" s="5">
        <f>160*$H179</f>
        <v>0</v>
      </c>
      <c r="C179" s="5">
        <f>2*$H179</f>
        <v>0</v>
      </c>
      <c r="D179" s="5">
        <f>13*$H179</f>
        <v>0</v>
      </c>
      <c r="E179" s="5">
        <f>7*$H179</f>
        <v>0</v>
      </c>
      <c r="F179" s="5">
        <f t="shared" ref="F179:F187" si="17">0*$H179</f>
        <v>0</v>
      </c>
      <c r="G179" s="5">
        <f>0.5*$H179</f>
        <v>0</v>
      </c>
      <c r="I179" s="22" t="s">
        <v>224</v>
      </c>
      <c r="J179" s="2">
        <v>6</v>
      </c>
      <c r="L179" s="5">
        <f>Index[[#This Row],[Calories]]-(Index[[#This Row],[Fat Removed]]*Index[[#This Row],[Fat Calories]])</f>
        <v>0</v>
      </c>
      <c r="M179" s="5">
        <f>Index[[#This Row],[Fat ]]*9</f>
        <v>0</v>
      </c>
    </row>
    <row r="180" spans="1:13" ht="37.5" x14ac:dyDescent="0.3">
      <c r="A180" s="34" t="s">
        <v>225</v>
      </c>
      <c r="B180" s="5">
        <f>130*$H180</f>
        <v>0</v>
      </c>
      <c r="C180" s="5">
        <f>1*$H180</f>
        <v>0</v>
      </c>
      <c r="D180" s="5">
        <f>11*$H180</f>
        <v>0</v>
      </c>
      <c r="E180" s="5">
        <f>6*$H180</f>
        <v>0</v>
      </c>
      <c r="F180" s="5">
        <f t="shared" si="17"/>
        <v>0</v>
      </c>
      <c r="G180" s="5">
        <f>0.5*$H180</f>
        <v>0</v>
      </c>
      <c r="J180" s="2">
        <v>6</v>
      </c>
      <c r="L180" s="5">
        <f>Index[[#This Row],[Calories]]-(Index[[#This Row],[Fat Removed]]*Index[[#This Row],[Fat Calories]])</f>
        <v>0</v>
      </c>
      <c r="M180" s="5">
        <f>Index[[#This Row],[Fat ]]*9</f>
        <v>0</v>
      </c>
    </row>
    <row r="181" spans="1:13" ht="37.5" x14ac:dyDescent="0.3">
      <c r="A181" s="34" t="s">
        <v>226</v>
      </c>
      <c r="B181" s="5">
        <f>80*$H181</f>
        <v>0</v>
      </c>
      <c r="C181" s="5">
        <f>2*$H181</f>
        <v>0</v>
      </c>
      <c r="D181" s="5">
        <f>5*$H181</f>
        <v>0</v>
      </c>
      <c r="E181" s="5">
        <f>7*$H181</f>
        <v>0</v>
      </c>
      <c r="F181" s="5">
        <f t="shared" si="17"/>
        <v>0</v>
      </c>
      <c r="G181" s="5">
        <f>0.5*$H181</f>
        <v>0</v>
      </c>
      <c r="J181" s="2">
        <v>6</v>
      </c>
      <c r="L181" s="5">
        <f>Index[[#This Row],[Calories]]-(Index[[#This Row],[Fat Removed]]*Index[[#This Row],[Fat Calories]])</f>
        <v>0</v>
      </c>
      <c r="M181" s="5">
        <f>Index[[#This Row],[Fat ]]*9</f>
        <v>0</v>
      </c>
    </row>
    <row r="182" spans="1:13" x14ac:dyDescent="0.3">
      <c r="A182" s="34" t="s">
        <v>227</v>
      </c>
      <c r="B182" s="5">
        <f>35*$H182</f>
        <v>0</v>
      </c>
      <c r="C182" s="5">
        <f>1*$H182</f>
        <v>0</v>
      </c>
      <c r="D182" s="5">
        <f>0.5*$H182</f>
        <v>0</v>
      </c>
      <c r="E182" s="5">
        <f>6.3*$H182</f>
        <v>0</v>
      </c>
      <c r="F182" s="5">
        <f t="shared" si="17"/>
        <v>0</v>
      </c>
      <c r="G182" s="5">
        <f t="shared" ref="G182:G187" si="18">0*$H182</f>
        <v>0</v>
      </c>
      <c r="I182" s="22" t="s">
        <v>200</v>
      </c>
      <c r="J182" s="2">
        <v>6</v>
      </c>
      <c r="L182" s="5">
        <f>Index[[#This Row],[Calories]]-(Index[[#This Row],[Fat Removed]]*Index[[#This Row],[Fat Calories]])</f>
        <v>0</v>
      </c>
      <c r="M182" s="5">
        <f>Index[[#This Row],[Fat ]]*9</f>
        <v>0</v>
      </c>
    </row>
    <row r="183" spans="1:13" x14ac:dyDescent="0.3">
      <c r="A183" s="34" t="s">
        <v>228</v>
      </c>
      <c r="B183" s="5">
        <f>150*$H183</f>
        <v>0</v>
      </c>
      <c r="C183" s="5">
        <f>0*$H183</f>
        <v>0</v>
      </c>
      <c r="D183" s="5">
        <f>9*$H183</f>
        <v>0</v>
      </c>
      <c r="E183" s="5">
        <f>16*$H183</f>
        <v>0</v>
      </c>
      <c r="F183" s="5">
        <f>0*$H183</f>
        <v>0</v>
      </c>
      <c r="G183" s="5">
        <f t="shared" si="18"/>
        <v>0</v>
      </c>
      <c r="I183" s="22" t="s">
        <v>204</v>
      </c>
      <c r="J183" s="2">
        <v>6</v>
      </c>
      <c r="L183" s="5">
        <f>Index[[#This Row],[Calories]]-(Index[[#This Row],[Fat Removed]]*Index[[#This Row],[Fat Calories]])</f>
        <v>0</v>
      </c>
      <c r="M183" s="5">
        <f>Index[[#This Row],[Fat ]]*9</f>
        <v>0</v>
      </c>
    </row>
    <row r="184" spans="1:13" x14ac:dyDescent="0.3">
      <c r="A184" s="34" t="s">
        <v>229</v>
      </c>
      <c r="B184" s="5">
        <f>110*$H184</f>
        <v>0</v>
      </c>
      <c r="C184" s="5">
        <f>0*$H184</f>
        <v>0</v>
      </c>
      <c r="D184" s="5">
        <f>3*$H184</f>
        <v>0</v>
      </c>
      <c r="E184" s="5">
        <f>22*$H184</f>
        <v>0</v>
      </c>
      <c r="F184" s="5">
        <f t="shared" si="17"/>
        <v>0</v>
      </c>
      <c r="G184" s="5">
        <f t="shared" si="18"/>
        <v>0</v>
      </c>
      <c r="J184" s="2">
        <v>6</v>
      </c>
      <c r="L184" s="5">
        <f>Index[[#This Row],[Calories]]-(Index[[#This Row],[Fat Removed]]*Index[[#This Row],[Fat Calories]])</f>
        <v>0</v>
      </c>
      <c r="M184" s="5">
        <f>Index[[#This Row],[Fat ]]*9</f>
        <v>0</v>
      </c>
    </row>
    <row r="185" spans="1:13" x14ac:dyDescent="0.3">
      <c r="A185" s="34" t="s">
        <v>230</v>
      </c>
      <c r="B185" s="5">
        <f>140*$H185</f>
        <v>0</v>
      </c>
      <c r="C185" s="5">
        <f>0*$H185</f>
        <v>0</v>
      </c>
      <c r="D185" s="5">
        <f>9*$H185</f>
        <v>0</v>
      </c>
      <c r="E185" s="5">
        <f>18*$H185</f>
        <v>0</v>
      </c>
      <c r="F185" s="5">
        <f>0*$H185</f>
        <v>0</v>
      </c>
      <c r="G185" s="5">
        <f t="shared" si="18"/>
        <v>0</v>
      </c>
      <c r="H185" s="5"/>
      <c r="I185" s="22" t="s">
        <v>204</v>
      </c>
      <c r="J185" s="2">
        <v>6</v>
      </c>
      <c r="L185" s="5">
        <f>Index[[#This Row],[Calories]]-(Index[[#This Row],[Fat Removed]]*Index[[#This Row],[Fat Calories]])</f>
        <v>0</v>
      </c>
      <c r="M185" s="5">
        <f>Index[[#This Row],[Fat ]]*9</f>
        <v>0</v>
      </c>
    </row>
    <row r="186" spans="1:13" x14ac:dyDescent="0.3">
      <c r="A186" s="34" t="s">
        <v>231</v>
      </c>
      <c r="B186" s="5">
        <f>200*$H186</f>
        <v>0</v>
      </c>
      <c r="C186" s="5">
        <f>0*$H186</f>
        <v>0</v>
      </c>
      <c r="D186" s="5">
        <f>14*$H186</f>
        <v>0</v>
      </c>
      <c r="E186" s="5">
        <f>16*$H186</f>
        <v>0</v>
      </c>
      <c r="F186" s="5">
        <f>0*$H186</f>
        <v>0</v>
      </c>
      <c r="G186" s="5">
        <f t="shared" si="18"/>
        <v>0</v>
      </c>
      <c r="H186" s="5"/>
      <c r="I186" s="22" t="s">
        <v>204</v>
      </c>
      <c r="J186" s="2">
        <v>6</v>
      </c>
      <c r="L186" s="5">
        <f>Index[[#This Row],[Calories]]-(Index[[#This Row],[Fat Removed]]*Index[[#This Row],[Fat Calories]])</f>
        <v>0</v>
      </c>
      <c r="M186" s="5">
        <f>Index[[#This Row],[Fat ]]*9</f>
        <v>0</v>
      </c>
    </row>
    <row r="187" spans="1:13" x14ac:dyDescent="0.3">
      <c r="A187" s="34" t="s">
        <v>232</v>
      </c>
      <c r="B187" s="5">
        <f>70*$H187</f>
        <v>0</v>
      </c>
      <c r="C187" s="5">
        <f>0*$H187</f>
        <v>0</v>
      </c>
      <c r="D187" s="5">
        <f>5*$H187</f>
        <v>0</v>
      </c>
      <c r="E187" s="5">
        <f>6*$H187</f>
        <v>0</v>
      </c>
      <c r="F187" s="5">
        <f t="shared" si="17"/>
        <v>0</v>
      </c>
      <c r="G187" s="5">
        <f t="shared" si="18"/>
        <v>0</v>
      </c>
      <c r="I187" s="22" t="s">
        <v>233</v>
      </c>
      <c r="J187" s="2">
        <v>6</v>
      </c>
      <c r="L187" s="5">
        <f>Index[[#This Row],[Calories]]-(Index[[#This Row],[Fat Removed]]*Index[[#This Row],[Fat Calories]])</f>
        <v>0</v>
      </c>
      <c r="M187" s="5">
        <f>Index[[#This Row],[Fat ]]*9</f>
        <v>0</v>
      </c>
    </row>
    <row r="188" spans="1:13" ht="26.25" x14ac:dyDescent="0.4">
      <c r="B188" s="5"/>
      <c r="C188" s="5"/>
      <c r="D188" s="5"/>
      <c r="E188" s="5"/>
      <c r="F188" s="5"/>
      <c r="G188" s="62" t="s">
        <v>234</v>
      </c>
      <c r="J188" s="2">
        <v>6.01</v>
      </c>
      <c r="L188" s="5"/>
      <c r="M188" s="5"/>
    </row>
    <row r="189" spans="1:13" x14ac:dyDescent="0.3">
      <c r="A189" s="34" t="s">
        <v>235</v>
      </c>
      <c r="B189" s="5">
        <f>160*$H189</f>
        <v>0</v>
      </c>
      <c r="C189" s="5">
        <f>36*$H189</f>
        <v>0</v>
      </c>
      <c r="D189" s="5">
        <f>0*$H189</f>
        <v>0</v>
      </c>
      <c r="E189" s="5">
        <f>3*$H189</f>
        <v>0</v>
      </c>
      <c r="F189" s="5">
        <f>1*$H189</f>
        <v>0</v>
      </c>
      <c r="G189" s="5">
        <f>1*$H189</f>
        <v>0</v>
      </c>
      <c r="I189" s="22" t="s">
        <v>236</v>
      </c>
      <c r="J189" s="2">
        <v>7</v>
      </c>
      <c r="L189" s="5">
        <f>Index[[#This Row],[Calories]]-(Index[[#This Row],[Fat Removed]]*Index[[#This Row],[Fat Calories]])</f>
        <v>0</v>
      </c>
      <c r="M189" s="5">
        <f>Index[[#This Row],[Fat ]]*9</f>
        <v>0</v>
      </c>
    </row>
    <row r="190" spans="1:13" x14ac:dyDescent="0.3">
      <c r="A190" s="34" t="s">
        <v>237</v>
      </c>
      <c r="B190" s="5">
        <f>160*$H190</f>
        <v>0</v>
      </c>
      <c r="C190" s="5">
        <f>35*$H190</f>
        <v>0</v>
      </c>
      <c r="D190" s="5">
        <f>0*$H190</f>
        <v>0</v>
      </c>
      <c r="E190" s="5">
        <f>3*$H190</f>
        <v>0</v>
      </c>
      <c r="F190" s="5">
        <f>0*$H190</f>
        <v>0</v>
      </c>
      <c r="G190" s="5">
        <f>0*$H190</f>
        <v>0</v>
      </c>
      <c r="I190" s="22" t="s">
        <v>236</v>
      </c>
      <c r="J190" s="2">
        <v>7</v>
      </c>
      <c r="L190" s="5">
        <f>Index[[#This Row],[Calories]]-(Index[[#This Row],[Fat Removed]]*Index[[#This Row],[Fat Calories]])</f>
        <v>0</v>
      </c>
      <c r="M190" s="5">
        <f>Index[[#This Row],[Fat ]]*9</f>
        <v>0</v>
      </c>
    </row>
    <row r="191" spans="1:13" x14ac:dyDescent="0.3">
      <c r="A191" s="34" t="s">
        <v>238</v>
      </c>
      <c r="B191" s="5">
        <f>160*$H191</f>
        <v>0</v>
      </c>
      <c r="C191" s="5">
        <f>36*$H191</f>
        <v>0</v>
      </c>
      <c r="D191" s="5">
        <f>0*$H191</f>
        <v>0</v>
      </c>
      <c r="E191" s="5">
        <f>3*$H191</f>
        <v>0</v>
      </c>
      <c r="F191" s="5">
        <f>0*$H191</f>
        <v>0</v>
      </c>
      <c r="G191" s="5">
        <f>0*$H191</f>
        <v>0</v>
      </c>
      <c r="I191" s="22" t="s">
        <v>236</v>
      </c>
      <c r="J191" s="2">
        <v>7</v>
      </c>
      <c r="L191" s="5">
        <f>Index[[#This Row],[Calories]]-(Index[[#This Row],[Fat Removed]]*Index[[#This Row],[Fat Calories]])</f>
        <v>0</v>
      </c>
      <c r="M191" s="5">
        <f>Index[[#This Row],[Fat ]]*9</f>
        <v>0</v>
      </c>
    </row>
    <row r="192" spans="1:13" x14ac:dyDescent="0.3">
      <c r="A192" s="34" t="s">
        <v>239</v>
      </c>
      <c r="B192" s="5">
        <f>160*$H192</f>
        <v>0</v>
      </c>
      <c r="C192" s="5">
        <f>34*$H192</f>
        <v>0</v>
      </c>
      <c r="D192" s="5">
        <f>1*$H192</f>
        <v>0</v>
      </c>
      <c r="E192" s="5">
        <f>3*$H192</f>
        <v>0</v>
      </c>
      <c r="F192" s="5">
        <f>1*$H192</f>
        <v>0</v>
      </c>
      <c r="G192" s="5">
        <f>0*$H192</f>
        <v>0</v>
      </c>
      <c r="I192" s="22" t="s">
        <v>236</v>
      </c>
      <c r="J192" s="2">
        <v>7</v>
      </c>
      <c r="L192" s="5">
        <f>Index[[#This Row],[Calories]]-(Index[[#This Row],[Fat Removed]]*Index[[#This Row],[Fat Calories]])</f>
        <v>0</v>
      </c>
      <c r="M192" s="5">
        <f>Index[[#This Row],[Fat ]]*9</f>
        <v>0</v>
      </c>
    </row>
    <row r="193" spans="1:13" x14ac:dyDescent="0.3">
      <c r="A193" s="34" t="s">
        <v>240</v>
      </c>
      <c r="B193" s="5">
        <f>160*$H193</f>
        <v>0</v>
      </c>
      <c r="C193" s="5">
        <f>36*$H193</f>
        <v>0</v>
      </c>
      <c r="D193" s="5">
        <f>0*$H193</f>
        <v>0</v>
      </c>
      <c r="E193" s="5">
        <f>3*$H193</f>
        <v>0</v>
      </c>
      <c r="F193" s="5">
        <f>1*$H193</f>
        <v>0</v>
      </c>
      <c r="G193" s="5">
        <f>0*$H193</f>
        <v>0</v>
      </c>
      <c r="I193" s="22" t="s">
        <v>236</v>
      </c>
      <c r="J193" s="2">
        <v>7</v>
      </c>
      <c r="L193" s="5">
        <f>Index[[#This Row],[Calories]]-(Index[[#This Row],[Fat Removed]]*Index[[#This Row],[Fat Calories]])</f>
        <v>0</v>
      </c>
      <c r="M193" s="5">
        <f>Index[[#This Row],[Fat ]]*9</f>
        <v>0</v>
      </c>
    </row>
    <row r="194" spans="1:13" ht="37.5" x14ac:dyDescent="0.3">
      <c r="A194" s="34" t="s">
        <v>241</v>
      </c>
      <c r="B194" s="5">
        <f>45*$H194</f>
        <v>0</v>
      </c>
      <c r="C194" s="5">
        <f>9*$H194</f>
        <v>0</v>
      </c>
      <c r="D194" s="5">
        <f>0.5*$H194</f>
        <v>0</v>
      </c>
      <c r="E194" s="5">
        <f>0.5*$H194</f>
        <v>0</v>
      </c>
      <c r="F194" s="5">
        <f>0*$H194</f>
        <v>0</v>
      </c>
      <c r="G194" s="5">
        <f>0*$H194</f>
        <v>0</v>
      </c>
      <c r="I194" s="22" t="s">
        <v>242</v>
      </c>
      <c r="J194" s="2">
        <v>7</v>
      </c>
      <c r="L194" s="5">
        <f>Index[[#This Row],[Calories]]-(Index[[#This Row],[Fat Removed]]*Index[[#This Row],[Fat Calories]])</f>
        <v>0</v>
      </c>
      <c r="M194" s="5">
        <f>Index[[#This Row],[Fat ]]*9</f>
        <v>0</v>
      </c>
    </row>
    <row r="195" spans="1:13" x14ac:dyDescent="0.3">
      <c r="A195" s="34" t="s">
        <v>243</v>
      </c>
      <c r="B195" s="5">
        <f>50*$H195</f>
        <v>0</v>
      </c>
      <c r="C195" s="5">
        <f>11*$H195</f>
        <v>0</v>
      </c>
      <c r="D195" s="5">
        <f>0*$H195</f>
        <v>0</v>
      </c>
      <c r="E195" s="5">
        <f>0.5*$H195</f>
        <v>0</v>
      </c>
      <c r="F195" s="5">
        <f>0*$H195</f>
        <v>0</v>
      </c>
      <c r="G195" s="5">
        <f>3*$H195</f>
        <v>0</v>
      </c>
      <c r="I195" s="22" t="s">
        <v>244</v>
      </c>
      <c r="J195" s="2">
        <v>7</v>
      </c>
      <c r="L195" s="5">
        <f>Index[[#This Row],[Calories]]-(Index[[#This Row],[Fat Removed]]*Index[[#This Row],[Fat Calories]])</f>
        <v>0</v>
      </c>
      <c r="M195" s="5">
        <f>Index[[#This Row],[Fat ]]*9</f>
        <v>0</v>
      </c>
    </row>
    <row r="196" spans="1:13" x14ac:dyDescent="0.3">
      <c r="A196" s="34" t="s">
        <v>245</v>
      </c>
      <c r="B196" s="5">
        <f>260*$H196</f>
        <v>0</v>
      </c>
      <c r="C196" s="5">
        <f>47*$H196</f>
        <v>0</v>
      </c>
      <c r="D196" s="5">
        <f>2*$H196</f>
        <v>0</v>
      </c>
      <c r="E196" s="5">
        <f>14*$H196</f>
        <v>0</v>
      </c>
      <c r="F196" s="5">
        <f>6*$H196</f>
        <v>0</v>
      </c>
      <c r="G196" s="5">
        <f>2*$H196</f>
        <v>0</v>
      </c>
      <c r="I196" s="22" t="s">
        <v>246</v>
      </c>
      <c r="J196" s="2">
        <v>7</v>
      </c>
      <c r="L196" s="5">
        <f>Index[[#This Row],[Calories]]-(Index[[#This Row],[Fat Removed]]*Index[[#This Row],[Fat Calories]])</f>
        <v>0</v>
      </c>
      <c r="M196" s="5">
        <f>Index[[#This Row],[Fat ]]*9</f>
        <v>0</v>
      </c>
    </row>
    <row r="197" spans="1:13" ht="37.5" x14ac:dyDescent="0.3">
      <c r="A197" s="34" t="s">
        <v>247</v>
      </c>
      <c r="B197" s="5">
        <f>130*$H197</f>
        <v>0</v>
      </c>
      <c r="C197" s="5">
        <f>18*$H197</f>
        <v>0</v>
      </c>
      <c r="D197" s="5">
        <f>5*$H197</f>
        <v>0</v>
      </c>
      <c r="E197" s="5">
        <f>3*$H197</f>
        <v>0</v>
      </c>
      <c r="F197" s="5">
        <f>1*$H197</f>
        <v>0</v>
      </c>
      <c r="G197" s="5">
        <f>0*$H197</f>
        <v>0</v>
      </c>
      <c r="I197" s="22" t="s">
        <v>248</v>
      </c>
      <c r="J197" s="2">
        <v>7</v>
      </c>
      <c r="L197" s="5">
        <f>Index[[#This Row],[Calories]]-(Index[[#This Row],[Fat Removed]]*Index[[#This Row],[Fat Calories]])</f>
        <v>0</v>
      </c>
      <c r="M197" s="5">
        <f>Index[[#This Row],[Fat ]]*9</f>
        <v>0</v>
      </c>
    </row>
    <row r="198" spans="1:13" x14ac:dyDescent="0.3">
      <c r="A198" s="34" t="s">
        <v>249</v>
      </c>
      <c r="B198" s="5">
        <f>180*$H198</f>
        <v>0</v>
      </c>
      <c r="C198" s="5">
        <f>40*$H198</f>
        <v>0</v>
      </c>
      <c r="D198" s="5">
        <f>0.5*$H198</f>
        <v>0</v>
      </c>
      <c r="E198" s="5">
        <f>4*$H198</f>
        <v>0</v>
      </c>
      <c r="F198" s="5">
        <f>0.5*$H198</f>
        <v>0</v>
      </c>
      <c r="G198" s="5">
        <f>0*$H198</f>
        <v>0</v>
      </c>
      <c r="I198" s="22" t="s">
        <v>250</v>
      </c>
      <c r="J198" s="2">
        <v>7</v>
      </c>
      <c r="L198" s="5">
        <f>Index[[#This Row],[Calories]]-(Index[[#This Row],[Fat Removed]]*Index[[#This Row],[Fat Calories]])</f>
        <v>0</v>
      </c>
      <c r="M198" s="5">
        <f>Index[[#This Row],[Fat ]]*9</f>
        <v>0</v>
      </c>
    </row>
    <row r="199" spans="1:13" x14ac:dyDescent="0.3">
      <c r="A199" s="34" t="s">
        <v>251</v>
      </c>
      <c r="B199" s="5">
        <f>190*$H199</f>
        <v>0</v>
      </c>
      <c r="C199" s="5">
        <f>42*$H199</f>
        <v>0</v>
      </c>
      <c r="D199" s="5">
        <f>0*$H199</f>
        <v>0</v>
      </c>
      <c r="E199" s="5">
        <f>5*$H199</f>
        <v>0</v>
      </c>
      <c r="F199" s="5">
        <f>0*$H199</f>
        <v>0</v>
      </c>
      <c r="G199" s="5">
        <f>0*$H199</f>
        <v>0</v>
      </c>
      <c r="I199" s="22" t="s">
        <v>252</v>
      </c>
      <c r="J199" s="2">
        <v>7</v>
      </c>
      <c r="L199" s="5">
        <f>Index[[#This Row],[Calories]]-(Index[[#This Row],[Fat Removed]]*Index[[#This Row],[Fat Calories]])</f>
        <v>0</v>
      </c>
      <c r="M199" s="5">
        <f>Index[[#This Row],[Fat ]]*9</f>
        <v>0</v>
      </c>
    </row>
    <row r="200" spans="1:13" ht="37.5" x14ac:dyDescent="0.3">
      <c r="A200" s="34" t="s">
        <v>253</v>
      </c>
      <c r="B200" s="5">
        <f>160*$H200</f>
        <v>0</v>
      </c>
      <c r="C200" s="5">
        <f>4*$H200</f>
        <v>0</v>
      </c>
      <c r="D200" s="5">
        <f>14*$H200</f>
        <v>0</v>
      </c>
      <c r="E200" s="5">
        <f>7*$H200</f>
        <v>0</v>
      </c>
      <c r="F200" s="5">
        <f>2*$H200</f>
        <v>0</v>
      </c>
      <c r="G200" s="5">
        <f>1*$H200</f>
        <v>0</v>
      </c>
      <c r="J200" s="2">
        <v>7</v>
      </c>
      <c r="L200" s="5">
        <f>Index[[#This Row],[Calories]]-(Index[[#This Row],[Fat Removed]]*Index[[#This Row],[Fat Calories]])</f>
        <v>0</v>
      </c>
      <c r="M200" s="5">
        <f>Index[[#This Row],[Fat ]]*9</f>
        <v>0</v>
      </c>
    </row>
    <row r="201" spans="1:13" x14ac:dyDescent="0.3">
      <c r="A201" s="34" t="s">
        <v>254</v>
      </c>
      <c r="B201" s="5">
        <f>160*$H201</f>
        <v>0</v>
      </c>
      <c r="C201" s="5">
        <f>6*$H201</f>
        <v>0</v>
      </c>
      <c r="D201" s="5">
        <f>14*$H201</f>
        <v>0</v>
      </c>
      <c r="E201" s="5">
        <f>7*$H201</f>
        <v>0</v>
      </c>
      <c r="F201" s="5">
        <f>2*$H201</f>
        <v>0</v>
      </c>
      <c r="G201" s="5">
        <f>2*$H201</f>
        <v>0</v>
      </c>
      <c r="J201" s="2">
        <v>7</v>
      </c>
      <c r="L201" s="5">
        <f>Index[[#This Row],[Calories]]-(Index[[#This Row],[Fat Removed]]*Index[[#This Row],[Fat Calories]])</f>
        <v>0</v>
      </c>
      <c r="M201" s="5">
        <f>Index[[#This Row],[Fat ]]*9</f>
        <v>0</v>
      </c>
    </row>
    <row r="202" spans="1:13" x14ac:dyDescent="0.3">
      <c r="A202" s="34" t="s">
        <v>255</v>
      </c>
      <c r="B202" s="5">
        <f>170*$H202</f>
        <v>0</v>
      </c>
      <c r="C202" s="5">
        <f>8*$H202</f>
        <v>0</v>
      </c>
      <c r="D202" s="5">
        <f>13*$H202</f>
        <v>0</v>
      </c>
      <c r="E202" s="5">
        <f>5*$H202</f>
        <v>0</v>
      </c>
      <c r="F202" s="5">
        <f>1*$H202</f>
        <v>0</v>
      </c>
      <c r="G202" s="5">
        <f>1*$H202</f>
        <v>0</v>
      </c>
      <c r="J202" s="2">
        <v>7</v>
      </c>
      <c r="L202" s="5">
        <f>Index[[#This Row],[Calories]]-(Index[[#This Row],[Fat Removed]]*Index[[#This Row],[Fat Calories]])</f>
        <v>0</v>
      </c>
      <c r="M202" s="5">
        <f>Index[[#This Row],[Fat ]]*9</f>
        <v>0</v>
      </c>
    </row>
    <row r="203" spans="1:13" ht="37.5" x14ac:dyDescent="0.3">
      <c r="A203" s="34" t="s">
        <v>256</v>
      </c>
      <c r="B203" s="5">
        <f>160*$H203</f>
        <v>0</v>
      </c>
      <c r="C203" s="5">
        <f>8*$H203</f>
        <v>0</v>
      </c>
      <c r="D203" s="5">
        <f>13*$H203</f>
        <v>0</v>
      </c>
      <c r="E203" s="5">
        <f>5*$H203</f>
        <v>0</v>
      </c>
      <c r="F203" s="5">
        <f>1*$H203</f>
        <v>0</v>
      </c>
      <c r="G203" s="5">
        <f>2*$H203</f>
        <v>0</v>
      </c>
      <c r="I203" s="22" t="s">
        <v>257</v>
      </c>
      <c r="J203" s="2">
        <v>7</v>
      </c>
      <c r="L203" s="5">
        <f>Index[[#This Row],[Calories]]-(Index[[#This Row],[Fat Removed]]*Index[[#This Row],[Fat Calories]])</f>
        <v>0</v>
      </c>
      <c r="M203" s="5">
        <f>Index[[#This Row],[Fat ]]*9</f>
        <v>0</v>
      </c>
    </row>
    <row r="204" spans="1:13" x14ac:dyDescent="0.3">
      <c r="A204" s="34" t="s">
        <v>258</v>
      </c>
      <c r="B204" s="5">
        <f>120*$H204</f>
        <v>0</v>
      </c>
      <c r="C204" s="5">
        <f>22*$H204</f>
        <v>0</v>
      </c>
      <c r="D204" s="5">
        <f t="shared" ref="D204:D206" si="19">0*$H204</f>
        <v>0</v>
      </c>
      <c r="E204" s="5">
        <f>8*$H204</f>
        <v>0</v>
      </c>
      <c r="F204" s="5">
        <f>5*$H204</f>
        <v>0</v>
      </c>
      <c r="G204" s="5">
        <f>1*$H204</f>
        <v>0</v>
      </c>
      <c r="I204" s="22" t="s">
        <v>259</v>
      </c>
      <c r="J204" s="2">
        <v>7</v>
      </c>
      <c r="L204" s="5">
        <f>Index[[#This Row],[Calories]]-(Index[[#This Row],[Fat Removed]]*Index[[#This Row],[Fat Calories]])</f>
        <v>0</v>
      </c>
      <c r="M204" s="5">
        <f>Index[[#This Row],[Fat ]]*9</f>
        <v>0</v>
      </c>
    </row>
    <row r="205" spans="1:13" x14ac:dyDescent="0.3">
      <c r="A205" s="34" t="s">
        <v>260</v>
      </c>
      <c r="B205" s="5">
        <f>120*$H205</f>
        <v>0</v>
      </c>
      <c r="C205" s="5">
        <f>22*$H205</f>
        <v>0</v>
      </c>
      <c r="D205" s="5">
        <f t="shared" si="19"/>
        <v>0</v>
      </c>
      <c r="E205" s="5">
        <f>7*$H205</f>
        <v>0</v>
      </c>
      <c r="F205" s="5">
        <f>5*$H205</f>
        <v>0</v>
      </c>
      <c r="G205" s="5">
        <f>1*$H205</f>
        <v>0</v>
      </c>
      <c r="I205" s="22" t="s">
        <v>259</v>
      </c>
      <c r="J205" s="2">
        <v>7</v>
      </c>
      <c r="L205" s="5">
        <f>Index[[#This Row],[Calories]]-(Index[[#This Row],[Fat Removed]]*Index[[#This Row],[Fat Calories]])</f>
        <v>0</v>
      </c>
      <c r="M205" s="5">
        <f>Index[[#This Row],[Fat ]]*9</f>
        <v>0</v>
      </c>
    </row>
    <row r="206" spans="1:13" x14ac:dyDescent="0.3">
      <c r="A206" s="34" t="s">
        <v>261</v>
      </c>
      <c r="B206" s="5">
        <f>120*$H206</f>
        <v>0</v>
      </c>
      <c r="C206" s="5">
        <f>21*$H206</f>
        <v>0</v>
      </c>
      <c r="D206" s="5">
        <f t="shared" si="19"/>
        <v>0</v>
      </c>
      <c r="E206" s="5">
        <f>8*$H206</f>
        <v>0</v>
      </c>
      <c r="F206" s="5">
        <f>9*$H206</f>
        <v>0</v>
      </c>
      <c r="G206" s="5">
        <f>1*$H206</f>
        <v>0</v>
      </c>
      <c r="I206" s="22" t="s">
        <v>259</v>
      </c>
      <c r="J206" s="2">
        <v>7</v>
      </c>
      <c r="L206" s="5">
        <f>Index[[#This Row],[Calories]]-(Index[[#This Row],[Fat Removed]]*Index[[#This Row],[Fat Calories]])</f>
        <v>0</v>
      </c>
      <c r="M206" s="5">
        <f>Index[[#This Row],[Fat ]]*9</f>
        <v>0</v>
      </c>
    </row>
    <row r="207" spans="1:13" x14ac:dyDescent="0.3">
      <c r="A207" s="34" t="s">
        <v>262</v>
      </c>
      <c r="B207" s="5">
        <f>10*$H207</f>
        <v>0</v>
      </c>
      <c r="C207" s="5">
        <f>1*$H207</f>
        <v>0</v>
      </c>
      <c r="D207" s="5">
        <f>0*$H207</f>
        <v>0</v>
      </c>
      <c r="E207" s="5">
        <f>1*$H207</f>
        <v>0</v>
      </c>
      <c r="F207" s="5">
        <f>0*$H207</f>
        <v>0</v>
      </c>
      <c r="G207" s="5">
        <f>0*$H207</f>
        <v>0</v>
      </c>
      <c r="I207" s="22" t="s">
        <v>263</v>
      </c>
      <c r="J207" s="2">
        <v>7</v>
      </c>
      <c r="L207" s="5">
        <f>Index[[#This Row],[Calories]]-(Index[[#This Row],[Fat Removed]]*Index[[#This Row],[Fat Calories]])</f>
        <v>0</v>
      </c>
      <c r="M207" s="5">
        <f>Index[[#This Row],[Fat ]]*9</f>
        <v>0</v>
      </c>
    </row>
    <row r="208" spans="1:13" x14ac:dyDescent="0.3">
      <c r="A208" s="34" t="s">
        <v>264</v>
      </c>
      <c r="B208" s="5">
        <f>330*$H208</f>
        <v>0</v>
      </c>
      <c r="C208" s="5">
        <f>23*$H208</f>
        <v>0</v>
      </c>
      <c r="D208" s="5">
        <f>18*$H208</f>
        <v>0</v>
      </c>
      <c r="E208" s="5">
        <f>19*$H208</f>
        <v>0</v>
      </c>
      <c r="F208" s="5">
        <f>3*$H208</f>
        <v>0</v>
      </c>
      <c r="G208" s="5">
        <f>5*$H208</f>
        <v>0</v>
      </c>
      <c r="I208" s="22" t="s">
        <v>265</v>
      </c>
      <c r="J208" s="2">
        <v>7</v>
      </c>
      <c r="L208" s="5">
        <f>Index[[#This Row],[Calories]]-(Index[[#This Row],[Fat Removed]]*Index[[#This Row],[Fat Calories]])</f>
        <v>0</v>
      </c>
      <c r="M208" s="5">
        <f>Index[[#This Row],[Fat ]]*9</f>
        <v>0</v>
      </c>
    </row>
    <row r="209" spans="1:13" ht="37.5" x14ac:dyDescent="0.3">
      <c r="A209" s="34" t="s">
        <v>266</v>
      </c>
      <c r="B209" s="5">
        <f>270*$H209</f>
        <v>0</v>
      </c>
      <c r="C209" s="5">
        <f>30*$H209</f>
        <v>0</v>
      </c>
      <c r="D209" s="5">
        <f>10*$H209</f>
        <v>0</v>
      </c>
      <c r="E209" s="5">
        <f>16*$H209</f>
        <v>0</v>
      </c>
      <c r="F209" s="5">
        <f>7*$H209</f>
        <v>0</v>
      </c>
      <c r="G209" s="5">
        <f>5*$H209</f>
        <v>0</v>
      </c>
      <c r="I209" s="22" t="s">
        <v>267</v>
      </c>
      <c r="J209" s="2">
        <v>7</v>
      </c>
      <c r="L209" s="5">
        <f>Index[[#This Row],[Calories]]-(Index[[#This Row],[Fat Removed]]*Index[[#This Row],[Fat Calories]])</f>
        <v>0</v>
      </c>
      <c r="M209" s="5">
        <f>Index[[#This Row],[Fat ]]*9</f>
        <v>0</v>
      </c>
    </row>
    <row r="210" spans="1:13" x14ac:dyDescent="0.3">
      <c r="A210" s="34" t="s">
        <v>268</v>
      </c>
      <c r="B210" s="5">
        <f>120*$H210</f>
        <v>0</v>
      </c>
      <c r="C210" s="5">
        <f>21*$H210</f>
        <v>0</v>
      </c>
      <c r="D210" s="5">
        <f>1.5*$H210</f>
        <v>0</v>
      </c>
      <c r="E210" s="5">
        <f>7*$H210</f>
        <v>0</v>
      </c>
      <c r="F210" s="5">
        <f>5*$H210</f>
        <v>0</v>
      </c>
      <c r="G210" s="5">
        <f>1*$H210</f>
        <v>0</v>
      </c>
      <c r="I210" s="22" t="s">
        <v>269</v>
      </c>
      <c r="J210" s="2">
        <v>7</v>
      </c>
      <c r="L210" s="5">
        <f>Index[[#This Row],[Calories]]-(Index[[#This Row],[Fat Removed]]*Index[[#This Row],[Fat Calories]])</f>
        <v>0</v>
      </c>
      <c r="M210" s="5">
        <f>Index[[#This Row],[Fat ]]*9</f>
        <v>0</v>
      </c>
    </row>
    <row r="211" spans="1:13" x14ac:dyDescent="0.3">
      <c r="A211" s="34" t="s">
        <v>270</v>
      </c>
      <c r="B211" s="5">
        <f>120*$H211</f>
        <v>0</v>
      </c>
      <c r="C211" s="5">
        <f>23*$H211</f>
        <v>0</v>
      </c>
      <c r="D211" s="5">
        <f>0.5*$H211</f>
        <v>0</v>
      </c>
      <c r="E211" s="5">
        <f>6*$H211</f>
        <v>0</v>
      </c>
      <c r="F211" s="5">
        <f>10*$H211</f>
        <v>0</v>
      </c>
      <c r="G211" s="5">
        <f>2*$H211</f>
        <v>0</v>
      </c>
      <c r="I211" s="22" t="s">
        <v>269</v>
      </c>
      <c r="J211" s="2">
        <v>7</v>
      </c>
      <c r="L211" s="5">
        <f>Index[[#This Row],[Calories]]-(Index[[#This Row],[Fat Removed]]*Index[[#This Row],[Fat Calories]])</f>
        <v>0</v>
      </c>
      <c r="M211" s="5">
        <f>Index[[#This Row],[Fat ]]*9</f>
        <v>0</v>
      </c>
    </row>
    <row r="212" spans="1:13" ht="37.5" x14ac:dyDescent="0.3">
      <c r="A212" s="34" t="s">
        <v>271</v>
      </c>
      <c r="B212" s="5">
        <f>120*$H212</f>
        <v>0</v>
      </c>
      <c r="C212" s="5">
        <f>22*$H212</f>
        <v>0</v>
      </c>
      <c r="D212" s="5">
        <f>0*$H212</f>
        <v>0</v>
      </c>
      <c r="E212" s="5">
        <f>6*$H212</f>
        <v>0</v>
      </c>
      <c r="F212" s="5">
        <f>8*$H212</f>
        <v>0</v>
      </c>
      <c r="G212" s="5">
        <f>2*$H212</f>
        <v>0</v>
      </c>
      <c r="I212" s="61" t="s">
        <v>272</v>
      </c>
      <c r="J212" s="2">
        <v>7</v>
      </c>
      <c r="L212" s="5">
        <f>Index[[#This Row],[Calories]]-(Index[[#This Row],[Fat Removed]]*Index[[#This Row],[Fat Calories]])</f>
        <v>0</v>
      </c>
      <c r="M212" s="5">
        <f>Index[[#This Row],[Fat ]]*9</f>
        <v>0</v>
      </c>
    </row>
    <row r="213" spans="1:13" ht="37.5" x14ac:dyDescent="0.3">
      <c r="A213" s="34" t="s">
        <v>273</v>
      </c>
      <c r="B213" s="5">
        <f>100*$H213</f>
        <v>0</v>
      </c>
      <c r="C213" s="5">
        <f>15*$H213</f>
        <v>0</v>
      </c>
      <c r="D213" s="5">
        <f>2.5*$H213</f>
        <v>0</v>
      </c>
      <c r="E213" s="5">
        <f t="shared" ref="E213:F215" si="20">5*$H213</f>
        <v>0</v>
      </c>
      <c r="F213" s="5">
        <f t="shared" si="20"/>
        <v>0</v>
      </c>
      <c r="G213" s="5">
        <f>0.5*$H213</f>
        <v>0</v>
      </c>
      <c r="I213" s="22" t="s">
        <v>274</v>
      </c>
      <c r="J213" s="2">
        <v>7</v>
      </c>
      <c r="L213" s="5">
        <f>Index[[#This Row],[Calories]]-(Index[[#This Row],[Fat Removed]]*Index[[#This Row],[Fat Calories]])</f>
        <v>0</v>
      </c>
      <c r="M213" s="5">
        <f>Index[[#This Row],[Fat ]]*9</f>
        <v>0</v>
      </c>
    </row>
    <row r="214" spans="1:13" ht="37.5" x14ac:dyDescent="0.3">
      <c r="A214" s="34" t="s">
        <v>275</v>
      </c>
      <c r="B214" s="5">
        <f>80*$H214</f>
        <v>0</v>
      </c>
      <c r="C214" s="5">
        <f>16*$H214</f>
        <v>0</v>
      </c>
      <c r="D214" s="5">
        <f>0*$H214</f>
        <v>0</v>
      </c>
      <c r="E214" s="5">
        <f t="shared" si="20"/>
        <v>0</v>
      </c>
      <c r="F214" s="5">
        <f t="shared" si="20"/>
        <v>0</v>
      </c>
      <c r="G214" s="5">
        <f>0.5*$H214</f>
        <v>0</v>
      </c>
      <c r="I214" s="22" t="s">
        <v>274</v>
      </c>
      <c r="J214" s="2">
        <v>7</v>
      </c>
      <c r="L214" s="5">
        <f>Index[[#This Row],[Calories]]-(Index[[#This Row],[Fat Removed]]*Index[[#This Row],[Fat Calories]])</f>
        <v>0</v>
      </c>
      <c r="M214" s="5">
        <f>Index[[#This Row],[Fat ]]*9</f>
        <v>0</v>
      </c>
    </row>
    <row r="215" spans="1:13" ht="56.25" x14ac:dyDescent="0.3">
      <c r="A215" s="34" t="s">
        <v>276</v>
      </c>
      <c r="B215" s="5">
        <f>90*$H215</f>
        <v>0</v>
      </c>
      <c r="C215" s="5">
        <f>16*$H215</f>
        <v>0</v>
      </c>
      <c r="D215" s="5">
        <f>0*$H215</f>
        <v>0</v>
      </c>
      <c r="E215" s="5">
        <f t="shared" si="20"/>
        <v>0</v>
      </c>
      <c r="F215" s="5">
        <f t="shared" si="20"/>
        <v>0</v>
      </c>
      <c r="G215" s="5">
        <f>0.5*$H215</f>
        <v>0</v>
      </c>
      <c r="I215" s="22" t="s">
        <v>274</v>
      </c>
      <c r="J215" s="2">
        <v>7</v>
      </c>
      <c r="L215" s="5">
        <f>Index[[#This Row],[Calories]]-(Index[[#This Row],[Fat Removed]]*Index[[#This Row],[Fat Calories]])</f>
        <v>0</v>
      </c>
      <c r="M215" s="5">
        <f>Index[[#This Row],[Fat ]]*9</f>
        <v>0</v>
      </c>
    </row>
    <row r="216" spans="1:13" ht="37.5" x14ac:dyDescent="0.3">
      <c r="A216" s="34" t="s">
        <v>277</v>
      </c>
      <c r="B216" s="5">
        <f>70*$H216</f>
        <v>0</v>
      </c>
      <c r="C216" s="5">
        <f>13*$H216</f>
        <v>0</v>
      </c>
      <c r="D216" s="5">
        <f>0.5*$H216</f>
        <v>0</v>
      </c>
      <c r="E216" s="5">
        <f>4*$H216</f>
        <v>0</v>
      </c>
      <c r="F216" s="5">
        <f>6*$H216</f>
        <v>0</v>
      </c>
      <c r="G216" s="5">
        <f>0.5*$H216</f>
        <v>0</v>
      </c>
      <c r="I216" s="22" t="s">
        <v>278</v>
      </c>
      <c r="J216" s="2">
        <v>7</v>
      </c>
      <c r="L216" s="5">
        <f>Index[[#This Row],[Calories]]-(Index[[#This Row],[Fat Removed]]*Index[[#This Row],[Fat Calories]])</f>
        <v>0</v>
      </c>
      <c r="M216" s="5">
        <f>Index[[#This Row],[Fat ]]*9</f>
        <v>0</v>
      </c>
    </row>
    <row r="217" spans="1:13" ht="26.25" x14ac:dyDescent="0.4">
      <c r="B217" s="5"/>
      <c r="C217" s="5"/>
      <c r="D217" s="5"/>
      <c r="E217" s="5"/>
      <c r="F217" s="5"/>
      <c r="G217" s="62" t="s">
        <v>279</v>
      </c>
      <c r="J217" s="2">
        <v>7.01</v>
      </c>
      <c r="L217" s="5"/>
      <c r="M217" s="5"/>
    </row>
    <row r="218" spans="1:13" x14ac:dyDescent="0.3">
      <c r="A218" s="34" t="s">
        <v>280</v>
      </c>
      <c r="B218" s="5">
        <f>15*$H218</f>
        <v>0</v>
      </c>
      <c r="C218" s="5"/>
      <c r="D218" s="5">
        <f>3*$H218</f>
        <v>0</v>
      </c>
      <c r="E218" s="5">
        <f t="shared" ref="E218:F224" si="21">0*$H218</f>
        <v>0</v>
      </c>
      <c r="F218" s="5">
        <f t="shared" si="21"/>
        <v>0</v>
      </c>
      <c r="G218" s="5">
        <f>0.5*$H218</f>
        <v>0</v>
      </c>
      <c r="I218" s="22" t="s">
        <v>281</v>
      </c>
      <c r="J218" s="2">
        <v>8</v>
      </c>
      <c r="L218" s="5">
        <f>Index[[#This Row],[Calories]]-(Index[[#This Row],[Fat Removed]]*Index[[#This Row],[Fat Calories]])</f>
        <v>0</v>
      </c>
      <c r="M218" s="5">
        <f>Index[[#This Row],[Fat ]]*9</f>
        <v>0</v>
      </c>
    </row>
    <row r="219" spans="1:13" x14ac:dyDescent="0.3">
      <c r="A219" s="34" t="s">
        <v>282</v>
      </c>
      <c r="B219" s="5">
        <f>15*$H219</f>
        <v>0</v>
      </c>
      <c r="C219" s="5">
        <f>2*$H219</f>
        <v>0</v>
      </c>
      <c r="D219" s="5">
        <f>0*$H219</f>
        <v>0</v>
      </c>
      <c r="E219" s="5">
        <f t="shared" si="21"/>
        <v>0</v>
      </c>
      <c r="F219" s="5">
        <f t="shared" si="21"/>
        <v>0</v>
      </c>
      <c r="G219" s="5">
        <f>0*$H219</f>
        <v>0</v>
      </c>
      <c r="J219" s="2">
        <v>8</v>
      </c>
      <c r="L219" s="5">
        <f>Index[[#This Row],[Calories]]-(Index[[#This Row],[Fat Removed]]*Index[[#This Row],[Fat Calories]])</f>
        <v>0</v>
      </c>
      <c r="M219" s="5">
        <f>Index[[#This Row],[Fat ]]*9</f>
        <v>0</v>
      </c>
    </row>
    <row r="220" spans="1:13" x14ac:dyDescent="0.3">
      <c r="A220" s="34" t="s">
        <v>283</v>
      </c>
      <c r="B220" s="5">
        <f>10*$H220</f>
        <v>0</v>
      </c>
      <c r="C220" s="5">
        <f>2*$H220</f>
        <v>0</v>
      </c>
      <c r="D220" s="5">
        <f>0*$H220</f>
        <v>0</v>
      </c>
      <c r="E220" s="5">
        <f t="shared" si="21"/>
        <v>0</v>
      </c>
      <c r="F220" s="5">
        <f t="shared" si="21"/>
        <v>0</v>
      </c>
      <c r="G220" s="5">
        <f>0*$H220</f>
        <v>0</v>
      </c>
      <c r="J220" s="2">
        <v>8</v>
      </c>
      <c r="L220" s="5">
        <f>Index[[#This Row],[Calories]]-(Index[[#This Row],[Fat Removed]]*Index[[#This Row],[Fat Calories]])</f>
        <v>0</v>
      </c>
      <c r="M220" s="5">
        <f>Index[[#This Row],[Fat ]]*9</f>
        <v>0</v>
      </c>
    </row>
    <row r="221" spans="1:13" x14ac:dyDescent="0.3">
      <c r="A221" s="34" t="s">
        <v>284</v>
      </c>
      <c r="B221" s="5">
        <f>15*$H221</f>
        <v>0</v>
      </c>
      <c r="C221" s="5">
        <f>3*$H221</f>
        <v>0</v>
      </c>
      <c r="D221" s="5">
        <f t="shared" ref="D221:G221" si="22">0*$H221</f>
        <v>0</v>
      </c>
      <c r="E221" s="5">
        <f t="shared" si="22"/>
        <v>0</v>
      </c>
      <c r="F221" s="5">
        <f t="shared" si="22"/>
        <v>0</v>
      </c>
      <c r="G221" s="5">
        <f t="shared" si="22"/>
        <v>0</v>
      </c>
      <c r="I221" s="22" t="s">
        <v>281</v>
      </c>
      <c r="J221" s="2">
        <v>8</v>
      </c>
      <c r="L221" s="5">
        <f>Index[[#This Row],[Calories]]-(Index[[#This Row],[Fat Removed]]*Index[[#This Row],[Fat Calories]])</f>
        <v>0</v>
      </c>
      <c r="M221" s="5">
        <f>Index[[#This Row],[Fat ]]*9</f>
        <v>0</v>
      </c>
    </row>
    <row r="222" spans="1:13" x14ac:dyDescent="0.3">
      <c r="A222" s="34" t="s">
        <v>285</v>
      </c>
      <c r="B222" s="5">
        <f>15*$H222</f>
        <v>0</v>
      </c>
      <c r="C222" s="5">
        <f>3*$H222</f>
        <v>0</v>
      </c>
      <c r="D222" s="5">
        <f t="shared" ref="D222:F222" si="23">0*$H222</f>
        <v>0</v>
      </c>
      <c r="E222" s="5">
        <f t="shared" si="23"/>
        <v>0</v>
      </c>
      <c r="F222" s="5">
        <f t="shared" si="23"/>
        <v>0</v>
      </c>
      <c r="G222" s="5">
        <f>0*$H222</f>
        <v>0</v>
      </c>
      <c r="I222" s="22" t="s">
        <v>286</v>
      </c>
      <c r="J222" s="2">
        <v>8</v>
      </c>
      <c r="L222" s="5">
        <f>Index[[#This Row],[Calories]]-(Index[[#This Row],[Fat Removed]]*Index[[#This Row],[Fat Calories]])</f>
        <v>0</v>
      </c>
      <c r="M222" s="5">
        <f>Index[[#This Row],[Fat ]]*9</f>
        <v>0</v>
      </c>
    </row>
    <row r="223" spans="1:13" ht="37.5" x14ac:dyDescent="0.3">
      <c r="A223" s="34" t="s">
        <v>287</v>
      </c>
      <c r="B223" s="5">
        <f>15*$H223</f>
        <v>0</v>
      </c>
      <c r="C223" s="5">
        <f>3*$H223</f>
        <v>0</v>
      </c>
      <c r="D223" s="5">
        <f>0*$H223</f>
        <v>0</v>
      </c>
      <c r="E223" s="5">
        <f t="shared" si="21"/>
        <v>0</v>
      </c>
      <c r="F223" s="5">
        <f t="shared" si="21"/>
        <v>0</v>
      </c>
      <c r="G223" s="5">
        <f>0*$H223</f>
        <v>0</v>
      </c>
      <c r="I223" s="22" t="s">
        <v>288</v>
      </c>
      <c r="J223" s="2">
        <v>8</v>
      </c>
      <c r="L223" s="5">
        <f>Index[[#This Row],[Calories]]-(Index[[#This Row],[Fat Removed]]*Index[[#This Row],[Fat Calories]])</f>
        <v>0</v>
      </c>
      <c r="M223" s="5">
        <f>Index[[#This Row],[Fat ]]*9</f>
        <v>0</v>
      </c>
    </row>
    <row r="224" spans="1:13" x14ac:dyDescent="0.3">
      <c r="A224" s="34" t="s">
        <v>289</v>
      </c>
      <c r="B224" s="5">
        <f>40*$H224</f>
        <v>0</v>
      </c>
      <c r="C224" s="5">
        <f>11*$H224</f>
        <v>0</v>
      </c>
      <c r="D224" s="5">
        <f>0*$H224</f>
        <v>0</v>
      </c>
      <c r="E224" s="5">
        <f>0*$H224</f>
        <v>0</v>
      </c>
      <c r="F224" s="5">
        <f t="shared" si="21"/>
        <v>0</v>
      </c>
      <c r="G224" s="5">
        <f>11*$H224</f>
        <v>0</v>
      </c>
      <c r="I224" s="22" t="s">
        <v>290</v>
      </c>
      <c r="J224" s="2">
        <v>8</v>
      </c>
      <c r="L224" s="5">
        <f>Index[[#This Row],[Calories]]-(Index[[#This Row],[Fat Removed]]*Index[[#This Row],[Fat Calories]])</f>
        <v>0</v>
      </c>
      <c r="M224" s="5">
        <f>Index[[#This Row],[Fat ]]*9</f>
        <v>0</v>
      </c>
    </row>
    <row r="225" spans="1:13" ht="37.5" x14ac:dyDescent="0.3">
      <c r="A225" s="34" t="s">
        <v>291</v>
      </c>
      <c r="B225" s="5">
        <f>50*$H225</f>
        <v>0</v>
      </c>
      <c r="C225" s="5">
        <f>11*$H225</f>
        <v>0</v>
      </c>
      <c r="D225" s="5">
        <f>0*$H225</f>
        <v>0</v>
      </c>
      <c r="E225" s="5">
        <f>1*$H225</f>
        <v>0</v>
      </c>
      <c r="F225" s="5">
        <f>0*$H225</f>
        <v>0</v>
      </c>
      <c r="G225" s="5">
        <f>3*$H225</f>
        <v>0</v>
      </c>
      <c r="H225" s="5"/>
      <c r="I225" s="61" t="s">
        <v>292</v>
      </c>
      <c r="J225" s="2">
        <v>8</v>
      </c>
      <c r="L225" s="5">
        <f>Index[[#This Row],[Calories]]-(Index[[#This Row],[Fat Removed]]*Index[[#This Row],[Fat Calories]])</f>
        <v>0</v>
      </c>
      <c r="M225" s="5">
        <f>Index[[#This Row],[Fat ]]*9</f>
        <v>0</v>
      </c>
    </row>
    <row r="226" spans="1:13" ht="37.5" x14ac:dyDescent="0.3">
      <c r="A226" s="34" t="s">
        <v>293</v>
      </c>
      <c r="B226" s="5">
        <f>25*$H226</f>
        <v>0</v>
      </c>
      <c r="C226" s="5">
        <f>4*$H226</f>
        <v>0</v>
      </c>
      <c r="D226" s="5">
        <f>1*$H226</f>
        <v>0</v>
      </c>
      <c r="E226" s="5">
        <f>0*$H226</f>
        <v>0</v>
      </c>
      <c r="F226" s="5">
        <f t="shared" ref="F226" si="24">0*$H226</f>
        <v>0</v>
      </c>
      <c r="G226" s="5">
        <f>1*$H226</f>
        <v>0</v>
      </c>
      <c r="J226" s="2">
        <v>8</v>
      </c>
      <c r="L226" s="5">
        <f>Index[[#This Row],[Calories]]-(Index[[#This Row],[Fat Removed]]*Index[[#This Row],[Fat Calories]])</f>
        <v>0</v>
      </c>
      <c r="M226" s="5">
        <f>Index[[#This Row],[Fat ]]*9</f>
        <v>0</v>
      </c>
    </row>
    <row r="227" spans="1:13" ht="37.5" x14ac:dyDescent="0.3">
      <c r="A227" s="34" t="s">
        <v>294</v>
      </c>
      <c r="B227" s="5">
        <f>15*$H227</f>
        <v>0</v>
      </c>
      <c r="C227" s="5">
        <f>3*$H227</f>
        <v>0</v>
      </c>
      <c r="D227" s="5">
        <f>0*$H227</f>
        <v>0</v>
      </c>
      <c r="E227" s="5">
        <f>1*$H227</f>
        <v>0</v>
      </c>
      <c r="F227" s="5">
        <f>1*$H227</f>
        <v>0</v>
      </c>
      <c r="G227" s="5">
        <f>2*$H227</f>
        <v>0</v>
      </c>
      <c r="J227" s="2">
        <v>8</v>
      </c>
      <c r="L227" s="5">
        <f>Index[[#This Row],[Calories]]-(Index[[#This Row],[Fat Removed]]*Index[[#This Row],[Fat Calories]])</f>
        <v>0</v>
      </c>
      <c r="M227" s="5">
        <f>Index[[#This Row],[Fat ]]*9</f>
        <v>0</v>
      </c>
    </row>
    <row r="228" spans="1:13" x14ac:dyDescent="0.3">
      <c r="A228" s="34" t="s">
        <v>295</v>
      </c>
      <c r="B228" s="5">
        <f>0*$H228</f>
        <v>0</v>
      </c>
      <c r="C228" s="5">
        <f t="shared" ref="C228:G232" si="25">0*$H228</f>
        <v>0</v>
      </c>
      <c r="D228" s="5">
        <f t="shared" si="25"/>
        <v>0</v>
      </c>
      <c r="E228" s="5">
        <f t="shared" si="25"/>
        <v>0</v>
      </c>
      <c r="F228" s="5">
        <f t="shared" si="25"/>
        <v>0</v>
      </c>
      <c r="G228" s="5">
        <f t="shared" si="25"/>
        <v>0</v>
      </c>
      <c r="I228" s="22" t="s">
        <v>296</v>
      </c>
      <c r="J228" s="2">
        <v>8</v>
      </c>
      <c r="L228" s="5">
        <f>Index[[#This Row],[Calories]]-(Index[[#This Row],[Fat Removed]]*Index[[#This Row],[Fat Calories]])</f>
        <v>0</v>
      </c>
      <c r="M228" s="5">
        <f>Index[[#This Row],[Fat ]]*9</f>
        <v>0</v>
      </c>
    </row>
    <row r="229" spans="1:13" x14ac:dyDescent="0.3">
      <c r="A229" s="34" t="s">
        <v>297</v>
      </c>
      <c r="B229" s="5">
        <f>0*$H229</f>
        <v>0</v>
      </c>
      <c r="C229" s="5">
        <f t="shared" si="25"/>
        <v>0</v>
      </c>
      <c r="D229" s="5">
        <f t="shared" si="25"/>
        <v>0</v>
      </c>
      <c r="E229" s="5">
        <f t="shared" si="25"/>
        <v>0</v>
      </c>
      <c r="F229" s="5">
        <f t="shared" si="25"/>
        <v>0</v>
      </c>
      <c r="G229" s="5">
        <f t="shared" si="25"/>
        <v>0</v>
      </c>
      <c r="I229" s="22" t="s">
        <v>296</v>
      </c>
      <c r="J229" s="2">
        <v>8</v>
      </c>
      <c r="L229" s="5">
        <f>Index[[#This Row],[Calories]]-(Index[[#This Row],[Fat Removed]]*Index[[#This Row],[Fat Calories]])</f>
        <v>0</v>
      </c>
      <c r="M229" s="5">
        <f>Index[[#This Row],[Fat ]]*9</f>
        <v>0</v>
      </c>
    </row>
    <row r="230" spans="1:13" x14ac:dyDescent="0.3">
      <c r="A230" s="34" t="s">
        <v>298</v>
      </c>
      <c r="B230" s="5">
        <f>0*$H230</f>
        <v>0</v>
      </c>
      <c r="C230" s="5">
        <f t="shared" si="25"/>
        <v>0</v>
      </c>
      <c r="D230" s="5">
        <f t="shared" si="25"/>
        <v>0</v>
      </c>
      <c r="E230" s="5">
        <f t="shared" si="25"/>
        <v>0</v>
      </c>
      <c r="F230" s="5">
        <f t="shared" si="25"/>
        <v>0</v>
      </c>
      <c r="G230" s="5">
        <f t="shared" si="25"/>
        <v>0</v>
      </c>
      <c r="I230" s="22" t="s">
        <v>299</v>
      </c>
      <c r="J230" s="2">
        <v>8</v>
      </c>
      <c r="L230" s="5">
        <f>Index[[#This Row],[Calories]]-(Index[[#This Row],[Fat Removed]]*Index[[#This Row],[Fat Calories]])</f>
        <v>0</v>
      </c>
      <c r="M230" s="5">
        <f>Index[[#This Row],[Fat ]]*9</f>
        <v>0</v>
      </c>
    </row>
    <row r="231" spans="1:13" x14ac:dyDescent="0.3">
      <c r="A231" s="34" t="s">
        <v>300</v>
      </c>
      <c r="B231" s="5">
        <f>0*$H231</f>
        <v>0</v>
      </c>
      <c r="C231" s="5">
        <f t="shared" si="25"/>
        <v>0</v>
      </c>
      <c r="D231" s="5">
        <f t="shared" si="25"/>
        <v>0</v>
      </c>
      <c r="E231" s="5">
        <f t="shared" si="25"/>
        <v>0</v>
      </c>
      <c r="F231" s="5">
        <f t="shared" si="25"/>
        <v>0</v>
      </c>
      <c r="G231" s="5">
        <f t="shared" si="25"/>
        <v>0</v>
      </c>
      <c r="I231" s="22" t="s">
        <v>299</v>
      </c>
      <c r="J231" s="2">
        <v>8</v>
      </c>
      <c r="L231" s="5">
        <f>Index[[#This Row],[Calories]]-(Index[[#This Row],[Fat Removed]]*Index[[#This Row],[Fat Calories]])</f>
        <v>0</v>
      </c>
      <c r="M231" s="5">
        <f>Index[[#This Row],[Fat ]]*9</f>
        <v>0</v>
      </c>
    </row>
    <row r="232" spans="1:13" x14ac:dyDescent="0.3">
      <c r="A232" s="34" t="s">
        <v>301</v>
      </c>
      <c r="B232" s="5">
        <f>30*$H232</f>
        <v>0</v>
      </c>
      <c r="C232" s="5">
        <f>8*$H232</f>
        <v>0</v>
      </c>
      <c r="D232" s="5">
        <f t="shared" ref="D232:F238" si="26">0*$H232</f>
        <v>0</v>
      </c>
      <c r="E232" s="5">
        <f t="shared" si="25"/>
        <v>0</v>
      </c>
      <c r="F232" s="5">
        <f t="shared" si="25"/>
        <v>0</v>
      </c>
      <c r="G232" s="5">
        <f t="shared" si="25"/>
        <v>0</v>
      </c>
      <c r="I232" s="22" t="s">
        <v>302</v>
      </c>
      <c r="J232" s="2">
        <v>8</v>
      </c>
      <c r="L232" s="5">
        <f>Index[[#This Row],[Calories]]-(Index[[#This Row],[Fat Removed]]*Index[[#This Row],[Fat Calories]])</f>
        <v>0</v>
      </c>
      <c r="M232" s="5">
        <f>Index[[#This Row],[Fat ]]*9</f>
        <v>0</v>
      </c>
    </row>
    <row r="233" spans="1:13" x14ac:dyDescent="0.3">
      <c r="A233" s="34" t="s">
        <v>303</v>
      </c>
      <c r="B233" s="5">
        <f>30*$H233</f>
        <v>0</v>
      </c>
      <c r="C233" s="5">
        <f>0*$H233</f>
        <v>0</v>
      </c>
      <c r="D233" s="5">
        <f t="shared" si="26"/>
        <v>0</v>
      </c>
      <c r="E233" s="5">
        <f>0*$H233</f>
        <v>0</v>
      </c>
      <c r="F233" s="5">
        <f>0*$H233</f>
        <v>0</v>
      </c>
      <c r="G233" s="5">
        <f>8*$H233</f>
        <v>0</v>
      </c>
      <c r="I233" s="22" t="s">
        <v>304</v>
      </c>
      <c r="J233" s="2">
        <v>8</v>
      </c>
      <c r="L233" s="5">
        <f>Index[[#This Row],[Calories]]-(Index[[#This Row],[Fat Removed]]*Index[[#This Row],[Fat Calories]])</f>
        <v>0</v>
      </c>
      <c r="M233" s="5">
        <f>Index[[#This Row],[Fat ]]*9</f>
        <v>0</v>
      </c>
    </row>
    <row r="234" spans="1:13" x14ac:dyDescent="0.3">
      <c r="A234" s="34" t="s">
        <v>305</v>
      </c>
      <c r="B234" s="5">
        <f>30*$H234</f>
        <v>0</v>
      </c>
      <c r="C234" s="5">
        <f>8*$H234</f>
        <v>0</v>
      </c>
      <c r="D234" s="5">
        <f t="shared" si="26"/>
        <v>0</v>
      </c>
      <c r="E234" s="5">
        <f t="shared" si="26"/>
        <v>0</v>
      </c>
      <c r="F234" s="5">
        <f t="shared" si="26"/>
        <v>0</v>
      </c>
      <c r="G234" s="5">
        <f>8*$H234</f>
        <v>0</v>
      </c>
      <c r="I234" s="22" t="s">
        <v>304</v>
      </c>
      <c r="J234" s="2">
        <v>8</v>
      </c>
      <c r="L234" s="5">
        <f>Index[[#This Row],[Calories]]-(Index[[#This Row],[Fat Removed]]*Index[[#This Row],[Fat Calories]])</f>
        <v>0</v>
      </c>
      <c r="M234" s="5">
        <f>Index[[#This Row],[Fat ]]*9</f>
        <v>0</v>
      </c>
    </row>
    <row r="235" spans="1:13" x14ac:dyDescent="0.3">
      <c r="A235" s="34" t="s">
        <v>306</v>
      </c>
      <c r="B235" s="5">
        <f>60*$H235</f>
        <v>0</v>
      </c>
      <c r="C235" s="5">
        <f>16*$H235</f>
        <v>0</v>
      </c>
      <c r="D235" s="5">
        <f t="shared" si="26"/>
        <v>0</v>
      </c>
      <c r="E235" s="5">
        <f>0*$H235</f>
        <v>0</v>
      </c>
      <c r="F235" s="5">
        <f>1*$H235</f>
        <v>0</v>
      </c>
      <c r="G235" s="5">
        <f>15*$H235</f>
        <v>0</v>
      </c>
      <c r="I235" s="22" t="s">
        <v>307</v>
      </c>
      <c r="J235" s="2">
        <v>8</v>
      </c>
      <c r="L235" s="5">
        <f>Index[[#This Row],[Calories]]-(Index[[#This Row],[Fat Removed]]*Index[[#This Row],[Fat Calories]])</f>
        <v>0</v>
      </c>
      <c r="M235" s="5">
        <f>Index[[#This Row],[Fat ]]*9</f>
        <v>0</v>
      </c>
    </row>
    <row r="236" spans="1:13" x14ac:dyDescent="0.3">
      <c r="A236" s="34" t="s">
        <v>308</v>
      </c>
      <c r="B236" s="5">
        <f>60*$H236</f>
        <v>0</v>
      </c>
      <c r="C236" s="5">
        <f>17*$H236</f>
        <v>0</v>
      </c>
      <c r="D236" s="5">
        <f t="shared" si="26"/>
        <v>0</v>
      </c>
      <c r="E236" s="5">
        <f>0*$H236</f>
        <v>0</v>
      </c>
      <c r="F236" s="5">
        <f t="shared" ref="F236:G248" si="27">0*$H236</f>
        <v>0</v>
      </c>
      <c r="G236" s="5">
        <f>17*$H236</f>
        <v>0</v>
      </c>
      <c r="I236" s="22" t="s">
        <v>309</v>
      </c>
      <c r="J236" s="2">
        <v>8</v>
      </c>
      <c r="L236" s="5">
        <f>Index[[#This Row],[Calories]]-(Index[[#This Row],[Fat Removed]]*Index[[#This Row],[Fat Calories]])</f>
        <v>0</v>
      </c>
      <c r="M236" s="5">
        <f>Index[[#This Row],[Fat ]]*9</f>
        <v>0</v>
      </c>
    </row>
    <row r="237" spans="1:13" x14ac:dyDescent="0.3">
      <c r="A237" s="34" t="s">
        <v>310</v>
      </c>
      <c r="B237" s="5">
        <f>25*$H237</f>
        <v>0</v>
      </c>
      <c r="C237" s="5">
        <f>5*$H237</f>
        <v>0</v>
      </c>
      <c r="D237" s="5">
        <f t="shared" si="26"/>
        <v>0</v>
      </c>
      <c r="E237" s="5">
        <f>0.5*$H237</f>
        <v>0</v>
      </c>
      <c r="F237" s="5">
        <f t="shared" si="27"/>
        <v>0</v>
      </c>
      <c r="G237" s="5">
        <f>3*$H237</f>
        <v>0</v>
      </c>
      <c r="I237" s="22" t="s">
        <v>307</v>
      </c>
      <c r="J237" s="2">
        <v>8</v>
      </c>
      <c r="L237" s="5">
        <f>Index[[#This Row],[Calories]]-(Index[[#This Row],[Fat Removed]]*Index[[#This Row],[Fat Calories]])</f>
        <v>0</v>
      </c>
      <c r="M237" s="5">
        <f>Index[[#This Row],[Fat ]]*9</f>
        <v>0</v>
      </c>
    </row>
    <row r="238" spans="1:13" ht="37.5" x14ac:dyDescent="0.3">
      <c r="A238" s="34" t="s">
        <v>311</v>
      </c>
      <c r="B238" s="5">
        <f>32*$H238</f>
        <v>0</v>
      </c>
      <c r="C238" s="5">
        <f>0*$H238</f>
        <v>0</v>
      </c>
      <c r="D238" s="5">
        <f t="shared" si="26"/>
        <v>0</v>
      </c>
      <c r="E238" s="5">
        <f>0*$H238</f>
        <v>0</v>
      </c>
      <c r="F238" s="5">
        <f t="shared" si="27"/>
        <v>0</v>
      </c>
      <c r="G238" s="5">
        <f>0*$H238</f>
        <v>0</v>
      </c>
      <c r="I238" s="22" t="s">
        <v>312</v>
      </c>
      <c r="J238" s="2">
        <v>8</v>
      </c>
      <c r="L238" s="5">
        <f>Index[[#This Row],[Calories]]-(Index[[#This Row],[Fat Removed]]*Index[[#This Row],[Fat Calories]])</f>
        <v>0</v>
      </c>
      <c r="M238" s="5">
        <f>Index[[#This Row],[Fat ]]*9</f>
        <v>0</v>
      </c>
    </row>
    <row r="239" spans="1:13" x14ac:dyDescent="0.3">
      <c r="A239" s="34" t="s">
        <v>313</v>
      </c>
      <c r="B239" s="5">
        <f>0*$H239</f>
        <v>0</v>
      </c>
      <c r="C239" s="5">
        <f t="shared" ref="C239:E239" si="28">0*$H239</f>
        <v>0</v>
      </c>
      <c r="D239" s="5">
        <f t="shared" si="28"/>
        <v>0</v>
      </c>
      <c r="E239" s="5">
        <f t="shared" si="28"/>
        <v>0</v>
      </c>
      <c r="F239" s="5">
        <f t="shared" si="27"/>
        <v>0</v>
      </c>
      <c r="G239" s="5">
        <f t="shared" si="27"/>
        <v>0</v>
      </c>
      <c r="I239" s="22" t="s">
        <v>307</v>
      </c>
      <c r="J239" s="2">
        <v>8</v>
      </c>
      <c r="L239" s="5">
        <f>Index[[#This Row],[Calories]]-(Index[[#This Row],[Fat Removed]]*Index[[#This Row],[Fat Calories]])</f>
        <v>0</v>
      </c>
      <c r="M239" s="5">
        <f>Index[[#This Row],[Fat ]]*9</f>
        <v>0</v>
      </c>
    </row>
    <row r="240" spans="1:13" ht="37.5" x14ac:dyDescent="0.3">
      <c r="A240" s="34" t="s">
        <v>314</v>
      </c>
      <c r="B240" s="5">
        <f>90*$H240</f>
        <v>0</v>
      </c>
      <c r="C240" s="5">
        <f>20*$H240</f>
        <v>0</v>
      </c>
      <c r="D240" s="5">
        <f>1*$H240</f>
        <v>0</v>
      </c>
      <c r="E240" s="5">
        <f>0*$H240</f>
        <v>0</v>
      </c>
      <c r="F240" s="5">
        <f t="shared" si="27"/>
        <v>0</v>
      </c>
      <c r="G240" s="5">
        <f>18*$H240</f>
        <v>0</v>
      </c>
      <c r="I240" s="22" t="s">
        <v>315</v>
      </c>
      <c r="J240" s="2">
        <v>8</v>
      </c>
      <c r="L240" s="5">
        <f>Index[[#This Row],[Calories]]-(Index[[#This Row],[Fat Removed]]*Index[[#This Row],[Fat Calories]])</f>
        <v>0</v>
      </c>
      <c r="M240" s="5">
        <f>Index[[#This Row],[Fat ]]*9</f>
        <v>0</v>
      </c>
    </row>
    <row r="241" spans="1:13" ht="37.5" x14ac:dyDescent="0.3">
      <c r="A241" s="34" t="s">
        <v>316</v>
      </c>
      <c r="B241" s="5">
        <f>20*$H241</f>
        <v>0</v>
      </c>
      <c r="C241" s="5">
        <f>5*$H241</f>
        <v>0</v>
      </c>
      <c r="D241" s="5">
        <f>0*$H241</f>
        <v>0</v>
      </c>
      <c r="E241" s="5">
        <f>0*$H241</f>
        <v>0</v>
      </c>
      <c r="F241" s="5">
        <f>0*$H241</f>
        <v>0</v>
      </c>
      <c r="G241" s="5">
        <f>4*$H241</f>
        <v>0</v>
      </c>
      <c r="I241" s="22" t="s">
        <v>302</v>
      </c>
      <c r="J241" s="2">
        <v>8</v>
      </c>
      <c r="L241" s="5">
        <f>Index[[#This Row],[Calories]]-(Index[[#This Row],[Fat Removed]]*Index[[#This Row],[Fat Calories]])</f>
        <v>0</v>
      </c>
      <c r="M241" s="5">
        <f>Index[[#This Row],[Fat ]]*9</f>
        <v>0</v>
      </c>
    </row>
    <row r="242" spans="1:13" ht="37.5" x14ac:dyDescent="0.3">
      <c r="A242" s="34" t="s">
        <v>317</v>
      </c>
      <c r="B242" s="5">
        <f>120*$H242</f>
        <v>0</v>
      </c>
      <c r="C242" s="5">
        <f>0*$H242</f>
        <v>0</v>
      </c>
      <c r="D242" s="5">
        <f>14*$H242</f>
        <v>0</v>
      </c>
      <c r="E242" s="5">
        <f>0*$H242</f>
        <v>0</v>
      </c>
      <c r="F242" s="5">
        <f t="shared" si="27"/>
        <v>0</v>
      </c>
      <c r="G242" s="5">
        <f>0*$H242</f>
        <v>0</v>
      </c>
      <c r="I242" s="22" t="s">
        <v>307</v>
      </c>
      <c r="J242" s="2">
        <v>8</v>
      </c>
      <c r="L242" s="5">
        <f>Index[[#This Row],[Calories]]-(Index[[#This Row],[Fat Removed]]*Index[[#This Row],[Fat Calories]])</f>
        <v>0</v>
      </c>
      <c r="M242" s="5">
        <f>Index[[#This Row],[Fat ]]*9</f>
        <v>0</v>
      </c>
    </row>
    <row r="243" spans="1:13" x14ac:dyDescent="0.3">
      <c r="A243" s="34" t="s">
        <v>318</v>
      </c>
      <c r="B243" s="5">
        <f>10*$H243</f>
        <v>0</v>
      </c>
      <c r="C243" s="5">
        <f>1*$H243</f>
        <v>0</v>
      </c>
      <c r="D243" s="5">
        <f>0*$H243</f>
        <v>0</v>
      </c>
      <c r="E243" s="5">
        <f>1*$H243</f>
        <v>0</v>
      </c>
      <c r="F243" s="5">
        <f t="shared" si="27"/>
        <v>0</v>
      </c>
      <c r="G243" s="5">
        <f>0*$H243</f>
        <v>0</v>
      </c>
      <c r="I243" s="22" t="s">
        <v>307</v>
      </c>
      <c r="J243" s="2">
        <v>8</v>
      </c>
      <c r="L243" s="5">
        <f>Index[[#This Row],[Calories]]-(Index[[#This Row],[Fat Removed]]*Index[[#This Row],[Fat Calories]])</f>
        <v>0</v>
      </c>
      <c r="M243" s="5">
        <f>Index[[#This Row],[Fat ]]*9</f>
        <v>0</v>
      </c>
    </row>
    <row r="244" spans="1:13" ht="37.5" x14ac:dyDescent="0.3">
      <c r="A244" s="34" t="s">
        <v>319</v>
      </c>
      <c r="B244" s="5">
        <f>30*$H244</f>
        <v>0</v>
      </c>
      <c r="C244" s="5">
        <f>7*$H244</f>
        <v>0</v>
      </c>
      <c r="D244" s="5">
        <f>0*$H244</f>
        <v>0</v>
      </c>
      <c r="E244" s="5">
        <f>0.5*$H244</f>
        <v>0</v>
      </c>
      <c r="F244" s="5">
        <f>0*$H244</f>
        <v>0</v>
      </c>
      <c r="G244" s="5">
        <f>6*$H244</f>
        <v>0</v>
      </c>
      <c r="I244" s="22" t="s">
        <v>307</v>
      </c>
      <c r="J244" s="2">
        <v>8</v>
      </c>
      <c r="L244" s="5">
        <f>Index[[#This Row],[Calories]]-(Index[[#This Row],[Fat Removed]]*Index[[#This Row],[Fat Calories]])</f>
        <v>0</v>
      </c>
      <c r="M244" s="5">
        <f>Index[[#This Row],[Fat ]]*9</f>
        <v>0</v>
      </c>
    </row>
    <row r="245" spans="1:13" ht="37.5" x14ac:dyDescent="0.3">
      <c r="A245" s="34" t="s">
        <v>314</v>
      </c>
      <c r="B245" s="5">
        <f>90*$H245</f>
        <v>0</v>
      </c>
      <c r="C245" s="5">
        <f>20*$H245</f>
        <v>0</v>
      </c>
      <c r="D245" s="5">
        <f>1*$H245</f>
        <v>0</v>
      </c>
      <c r="E245" s="5">
        <f>0*$H245</f>
        <v>0</v>
      </c>
      <c r="F245" s="5">
        <f t="shared" si="27"/>
        <v>0</v>
      </c>
      <c r="G245" s="5">
        <f>18*$H245</f>
        <v>0</v>
      </c>
      <c r="I245" s="22" t="s">
        <v>315</v>
      </c>
      <c r="J245" s="2">
        <v>8</v>
      </c>
      <c r="L245" s="5">
        <f>Index[[#This Row],[Calories]]-(Index[[#This Row],[Fat Removed]]*Index[[#This Row],[Fat Calories]])</f>
        <v>0</v>
      </c>
      <c r="M245" s="5">
        <f>Index[[#This Row],[Fat ]]*9</f>
        <v>0</v>
      </c>
    </row>
    <row r="246" spans="1:13" ht="37.5" x14ac:dyDescent="0.3">
      <c r="A246" s="34" t="s">
        <v>320</v>
      </c>
      <c r="B246" s="5">
        <f>40*$H246</f>
        <v>0</v>
      </c>
      <c r="C246" s="5">
        <f>8*$H246</f>
        <v>0</v>
      </c>
      <c r="D246" s="5">
        <f>0*$H246</f>
        <v>0</v>
      </c>
      <c r="E246" s="5">
        <f>1*$H246</f>
        <v>0</v>
      </c>
      <c r="F246" s="5">
        <f>1*$H246</f>
        <v>0</v>
      </c>
      <c r="G246" s="5">
        <f>5*$H246</f>
        <v>0</v>
      </c>
      <c r="I246" s="22" t="s">
        <v>321</v>
      </c>
      <c r="J246" s="2">
        <v>8</v>
      </c>
      <c r="L246" s="5">
        <f>Index[[#This Row],[Calories]]-(Index[[#This Row],[Fat Removed]]*Index[[#This Row],[Fat Calories]])</f>
        <v>0</v>
      </c>
      <c r="M246" s="5">
        <f>Index[[#This Row],[Fat ]]*9</f>
        <v>0</v>
      </c>
    </row>
    <row r="247" spans="1:13" x14ac:dyDescent="0.3">
      <c r="A247" s="34" t="s">
        <v>322</v>
      </c>
      <c r="B247" s="5">
        <f>70*$H247</f>
        <v>0</v>
      </c>
      <c r="C247" s="5">
        <f>18*$H247</f>
        <v>0</v>
      </c>
      <c r="D247" s="5">
        <f>0*$H247</f>
        <v>0</v>
      </c>
      <c r="E247" s="5">
        <f>0*$H247</f>
        <v>0</v>
      </c>
      <c r="F247" s="5">
        <f>0*$H247</f>
        <v>0</v>
      </c>
      <c r="G247" s="5">
        <f>17*$H247</f>
        <v>0</v>
      </c>
      <c r="I247" s="22" t="s">
        <v>315</v>
      </c>
      <c r="J247" s="2">
        <v>8</v>
      </c>
      <c r="L247" s="5">
        <f>Index[[#This Row],[Calories]]-(Index[[#This Row],[Fat Removed]]*Index[[#This Row],[Fat Calories]])</f>
        <v>0</v>
      </c>
      <c r="M247" s="5">
        <f>Index[[#This Row],[Fat ]]*9</f>
        <v>0</v>
      </c>
    </row>
    <row r="248" spans="1:13" x14ac:dyDescent="0.3">
      <c r="A248" s="34" t="s">
        <v>323</v>
      </c>
      <c r="B248" s="5">
        <f>90*$H248</f>
        <v>0</v>
      </c>
      <c r="C248" s="5">
        <f>1*$H248</f>
        <v>0</v>
      </c>
      <c r="D248" s="5">
        <f>9*$H248</f>
        <v>0</v>
      </c>
      <c r="E248" s="5">
        <f>0*$H248</f>
        <v>0</v>
      </c>
      <c r="F248" s="5">
        <f t="shared" si="27"/>
        <v>0</v>
      </c>
      <c r="G248" s="5">
        <f>0*$H248</f>
        <v>0</v>
      </c>
      <c r="I248" s="22" t="s">
        <v>324</v>
      </c>
      <c r="J248" s="2">
        <v>8</v>
      </c>
      <c r="L248" s="5">
        <f>Index[[#This Row],[Calories]]-(Index[[#This Row],[Fat Removed]]*Index[[#This Row],[Fat Calories]])</f>
        <v>0</v>
      </c>
      <c r="M248" s="5">
        <f>Index[[#This Row],[Fat ]]*9</f>
        <v>0</v>
      </c>
    </row>
    <row r="249" spans="1:13" ht="37.5" x14ac:dyDescent="0.3">
      <c r="A249" s="34" t="s">
        <v>325</v>
      </c>
      <c r="B249" s="5">
        <f>60*$H249</f>
        <v>0</v>
      </c>
      <c r="C249" s="5">
        <f>16*$H249</f>
        <v>0</v>
      </c>
      <c r="D249" s="5">
        <f>0*$H249</f>
        <v>0</v>
      </c>
      <c r="E249" s="5">
        <f>0*$H249</f>
        <v>0</v>
      </c>
      <c r="F249" s="5">
        <f>0*$H249</f>
        <v>0</v>
      </c>
      <c r="G249" s="5">
        <f>14*$H249</f>
        <v>0</v>
      </c>
      <c r="I249" s="22" t="s">
        <v>326</v>
      </c>
      <c r="J249" s="2">
        <v>8</v>
      </c>
      <c r="L249" s="5">
        <f>Index[[#This Row],[Calories]]-(Index[[#This Row],[Fat Removed]]*Index[[#This Row],[Fat Calories]])</f>
        <v>0</v>
      </c>
      <c r="M249" s="5">
        <f>Index[[#This Row],[Fat ]]*9</f>
        <v>0</v>
      </c>
    </row>
    <row r="250" spans="1:13" ht="37.5" x14ac:dyDescent="0.3">
      <c r="A250" s="34" t="s">
        <v>575</v>
      </c>
      <c r="B250" s="5">
        <f>70*$H250</f>
        <v>0</v>
      </c>
      <c r="C250" s="5">
        <f>17*$H250</f>
        <v>0</v>
      </c>
      <c r="D250" s="5">
        <f t="shared" ref="D250:F250" si="29">0*$H250</f>
        <v>0</v>
      </c>
      <c r="E250" s="5">
        <f t="shared" si="29"/>
        <v>0</v>
      </c>
      <c r="F250" s="5">
        <f t="shared" si="29"/>
        <v>0</v>
      </c>
      <c r="G250" s="5">
        <f>16*$H250</f>
        <v>0</v>
      </c>
      <c r="I250" s="22" t="s">
        <v>576</v>
      </c>
      <c r="J250" s="2">
        <v>8</v>
      </c>
      <c r="L250" s="5">
        <f>Index[[#This Row],[Calories]]-(Index[[#This Row],[Fat Removed]]*Index[[#This Row],[Fat Calories]])</f>
        <v>0</v>
      </c>
      <c r="M250" s="5">
        <f>Index[[#This Row],[Fat ]]*9</f>
        <v>0</v>
      </c>
    </row>
    <row r="251" spans="1:13" x14ac:dyDescent="0.3">
      <c r="A251" s="34" t="s">
        <v>327</v>
      </c>
      <c r="B251" s="5">
        <f>30*$H251</f>
        <v>0</v>
      </c>
      <c r="C251" s="5">
        <f>5*$H251</f>
        <v>0</v>
      </c>
      <c r="D251" s="5">
        <f>1*$H251</f>
        <v>0</v>
      </c>
      <c r="E251" s="5">
        <f>1*$H251</f>
        <v>0</v>
      </c>
      <c r="F251" s="5">
        <f>1*$H251</f>
        <v>0</v>
      </c>
      <c r="G251" s="5">
        <f>3*$H251</f>
        <v>0</v>
      </c>
      <c r="J251" s="2">
        <v>8</v>
      </c>
      <c r="L251" s="5">
        <f>Index[[#This Row],[Calories]]-(Index[[#This Row],[Fat Removed]]*Index[[#This Row],[Fat Calories]])</f>
        <v>0</v>
      </c>
      <c r="M251" s="5">
        <f>Index[[#This Row],[Fat ]]*9</f>
        <v>0</v>
      </c>
    </row>
    <row r="252" spans="1:13" x14ac:dyDescent="0.3">
      <c r="A252" s="34" t="s">
        <v>328</v>
      </c>
      <c r="B252" s="5">
        <f>60*$H252</f>
        <v>0</v>
      </c>
      <c r="C252" s="5">
        <f>10*$H252</f>
        <v>0</v>
      </c>
      <c r="D252" s="5">
        <f>1.5*$H252</f>
        <v>0</v>
      </c>
      <c r="E252" s="5">
        <f>2*$H252</f>
        <v>0</v>
      </c>
      <c r="F252" s="5">
        <f>2*$H252</f>
        <v>0</v>
      </c>
      <c r="G252" s="5">
        <f>6*$H252</f>
        <v>0</v>
      </c>
      <c r="J252" s="2">
        <v>8</v>
      </c>
      <c r="L252" s="5">
        <f>Index[[#This Row],[Calories]]-(Index[[#This Row],[Fat Removed]]*Index[[#This Row],[Fat Calories]])</f>
        <v>0</v>
      </c>
      <c r="M252" s="5">
        <f>Index[[#This Row],[Fat ]]*9</f>
        <v>0</v>
      </c>
    </row>
    <row r="253" spans="1:13" ht="37.5" x14ac:dyDescent="0.3">
      <c r="A253" s="34" t="s">
        <v>329</v>
      </c>
      <c r="B253" s="5">
        <f>60*$H253</f>
        <v>0</v>
      </c>
      <c r="C253" s="5">
        <f>13*$H253</f>
        <v>0</v>
      </c>
      <c r="D253" s="5">
        <f>0*$H253</f>
        <v>0</v>
      </c>
      <c r="E253" s="5">
        <f>2*$H253</f>
        <v>0</v>
      </c>
      <c r="F253" s="5">
        <f>3*$H253</f>
        <v>0</v>
      </c>
      <c r="G253" s="5">
        <f>10*$H253</f>
        <v>0</v>
      </c>
      <c r="I253" s="22" t="s">
        <v>330</v>
      </c>
      <c r="J253" s="2">
        <v>8</v>
      </c>
      <c r="L253" s="5">
        <f>Index[[#This Row],[Calories]]-(Index[[#This Row],[Fat Removed]]*Index[[#This Row],[Fat Calories]])</f>
        <v>0</v>
      </c>
      <c r="M253" s="5">
        <f>Index[[#This Row],[Fat ]]*9</f>
        <v>0</v>
      </c>
    </row>
    <row r="254" spans="1:13" x14ac:dyDescent="0.3">
      <c r="A254" s="34" t="s">
        <v>331</v>
      </c>
      <c r="B254" s="5">
        <f>40*$H254</f>
        <v>0</v>
      </c>
      <c r="C254" s="5">
        <f>4*$H254</f>
        <v>0</v>
      </c>
      <c r="D254" s="5">
        <f>2*$H254</f>
        <v>0</v>
      </c>
      <c r="E254" s="5">
        <f>1*$H254</f>
        <v>0</v>
      </c>
      <c r="F254" s="5">
        <f>1*$H254</f>
        <v>0</v>
      </c>
      <c r="G254" s="5">
        <f>3*$H254</f>
        <v>0</v>
      </c>
      <c r="J254" s="2">
        <v>8</v>
      </c>
      <c r="L254" s="5">
        <f>Index[[#This Row],[Calories]]-(Index[[#This Row],[Fat Removed]]*Index[[#This Row],[Fat Calories]])</f>
        <v>0</v>
      </c>
      <c r="M254" s="5">
        <f>Index[[#This Row],[Fat ]]*9</f>
        <v>0</v>
      </c>
    </row>
    <row r="255" spans="1:13" x14ac:dyDescent="0.3">
      <c r="A255" s="34" t="s">
        <v>332</v>
      </c>
      <c r="B255" s="5">
        <f t="shared" ref="B255:G255" si="30">0*$H255</f>
        <v>0</v>
      </c>
      <c r="C255" s="5">
        <f t="shared" si="30"/>
        <v>0</v>
      </c>
      <c r="D255" s="5">
        <f t="shared" si="30"/>
        <v>0</v>
      </c>
      <c r="E255" s="5">
        <f t="shared" si="30"/>
        <v>0</v>
      </c>
      <c r="F255" s="5">
        <f t="shared" si="30"/>
        <v>0</v>
      </c>
      <c r="G255" s="5">
        <f t="shared" si="30"/>
        <v>0</v>
      </c>
      <c r="I255" s="22" t="s">
        <v>333</v>
      </c>
      <c r="J255" s="2">
        <v>8</v>
      </c>
      <c r="L255" s="5">
        <f>Index[[#This Row],[Calories]]-(Index[[#This Row],[Fat Removed]]*Index[[#This Row],[Fat Calories]])</f>
        <v>0</v>
      </c>
      <c r="M255" s="5">
        <f>Index[[#This Row],[Fat ]]*9</f>
        <v>0</v>
      </c>
    </row>
    <row r="256" spans="1:13" ht="37.5" x14ac:dyDescent="0.3">
      <c r="A256" s="34" t="s">
        <v>334</v>
      </c>
      <c r="B256" s="5">
        <f>5*$H256</f>
        <v>0</v>
      </c>
      <c r="C256" s="5">
        <f>0.5*$H256</f>
        <v>0</v>
      </c>
      <c r="D256" s="5">
        <f>0*$H256</f>
        <v>0</v>
      </c>
      <c r="E256" s="5">
        <f>0*$H256</f>
        <v>0</v>
      </c>
      <c r="F256" s="5">
        <f>0*$H256</f>
        <v>0</v>
      </c>
      <c r="G256" s="5">
        <f>0*$H256</f>
        <v>0</v>
      </c>
      <c r="I256" s="22" t="s">
        <v>333</v>
      </c>
      <c r="J256" s="2">
        <v>8</v>
      </c>
      <c r="L256" s="5">
        <f>Index[[#This Row],[Calories]]-(Index[[#This Row],[Fat Removed]]*Index[[#This Row],[Fat Calories]])</f>
        <v>0</v>
      </c>
      <c r="M256" s="5">
        <f>Index[[#This Row],[Fat ]]*9</f>
        <v>0</v>
      </c>
    </row>
    <row r="257" spans="1:13" x14ac:dyDescent="0.3">
      <c r="A257" s="34" t="s">
        <v>335</v>
      </c>
      <c r="B257" s="5">
        <f>160*$H257</f>
        <v>0</v>
      </c>
      <c r="C257" s="5">
        <f>1*$H257</f>
        <v>0</v>
      </c>
      <c r="D257" s="5">
        <f>18*$H257</f>
        <v>0</v>
      </c>
      <c r="E257" s="5">
        <f>1*$H257</f>
        <v>0</v>
      </c>
      <c r="F257" s="5">
        <f>0*$H257</f>
        <v>0</v>
      </c>
      <c r="G257" s="5">
        <f>0*$H257</f>
        <v>0</v>
      </c>
      <c r="J257" s="2">
        <v>8</v>
      </c>
      <c r="L257" s="5">
        <f>Index[[#This Row],[Calories]]-(Index[[#This Row],[Fat Removed]]*Index[[#This Row],[Fat Calories]])</f>
        <v>0</v>
      </c>
      <c r="M257" s="5">
        <f>Index[[#This Row],[Fat ]]*9</f>
        <v>0</v>
      </c>
    </row>
    <row r="258" spans="1:13" x14ac:dyDescent="0.3">
      <c r="A258" s="34" t="s">
        <v>336</v>
      </c>
      <c r="B258" s="5">
        <f>150*$H258</f>
        <v>0</v>
      </c>
      <c r="C258" s="5">
        <f>1*$H258</f>
        <v>0</v>
      </c>
      <c r="D258" s="5">
        <f>16*$H258</f>
        <v>0</v>
      </c>
      <c r="E258" s="5">
        <f>1*$H258</f>
        <v>0</v>
      </c>
      <c r="F258" s="5">
        <f t="shared" ref="F258:G265" si="31">0*$H258</f>
        <v>0</v>
      </c>
      <c r="G258" s="5">
        <f>1*$H258</f>
        <v>0</v>
      </c>
      <c r="J258" s="2">
        <v>8</v>
      </c>
      <c r="L258" s="5">
        <f>Index[[#This Row],[Calories]]-(Index[[#This Row],[Fat Removed]]*Index[[#This Row],[Fat Calories]])</f>
        <v>0</v>
      </c>
      <c r="M258" s="5">
        <f>Index[[#This Row],[Fat ]]*9</f>
        <v>0</v>
      </c>
    </row>
    <row r="259" spans="1:13" x14ac:dyDescent="0.3">
      <c r="A259" s="34" t="s">
        <v>337</v>
      </c>
      <c r="B259" s="5">
        <f>120*$H259</f>
        <v>0</v>
      </c>
      <c r="C259" s="5">
        <f>0*$H259</f>
        <v>0</v>
      </c>
      <c r="D259" s="5">
        <f>14*$H259</f>
        <v>0</v>
      </c>
      <c r="E259" s="5">
        <f>0*$H259</f>
        <v>0</v>
      </c>
      <c r="F259" s="5">
        <f t="shared" si="31"/>
        <v>0</v>
      </c>
      <c r="G259" s="5">
        <f>0*$H259</f>
        <v>0</v>
      </c>
      <c r="I259" s="22" t="s">
        <v>307</v>
      </c>
      <c r="J259" s="2">
        <v>8</v>
      </c>
      <c r="L259" s="5">
        <f>Index[[#This Row],[Calories]]-(Index[[#This Row],[Fat Removed]]*Index[[#This Row],[Fat Calories]])</f>
        <v>0</v>
      </c>
      <c r="M259" s="5">
        <f>Index[[#This Row],[Fat ]]*9</f>
        <v>0</v>
      </c>
    </row>
    <row r="260" spans="1:13" x14ac:dyDescent="0.3">
      <c r="A260" s="34" t="s">
        <v>338</v>
      </c>
      <c r="B260" s="5">
        <f>120*$H260</f>
        <v>0</v>
      </c>
      <c r="C260" s="5">
        <f>0*$H260</f>
        <v>0</v>
      </c>
      <c r="D260" s="5">
        <f>14*$H260</f>
        <v>0</v>
      </c>
      <c r="E260" s="5">
        <f>0*$H260</f>
        <v>0</v>
      </c>
      <c r="F260" s="5">
        <f t="shared" si="31"/>
        <v>0</v>
      </c>
      <c r="G260" s="5">
        <f>0*$H260</f>
        <v>0</v>
      </c>
      <c r="I260" s="22" t="s">
        <v>307</v>
      </c>
      <c r="J260" s="2">
        <v>8</v>
      </c>
      <c r="L260" s="5">
        <f>Index[[#This Row],[Calories]]-(Index[[#This Row],[Fat Removed]]*Index[[#This Row],[Fat Calories]])</f>
        <v>0</v>
      </c>
      <c r="M260" s="5">
        <f>Index[[#This Row],[Fat ]]*9</f>
        <v>0</v>
      </c>
    </row>
    <row r="261" spans="1:13" x14ac:dyDescent="0.3">
      <c r="A261" s="34" t="s">
        <v>339</v>
      </c>
      <c r="B261" s="5">
        <f>0*$H261</f>
        <v>0</v>
      </c>
      <c r="C261" s="5">
        <f>0*$H261</f>
        <v>0</v>
      </c>
      <c r="D261" s="5">
        <f t="shared" ref="D261:E262" si="32">0*$H261</f>
        <v>0</v>
      </c>
      <c r="E261" s="5">
        <f t="shared" si="32"/>
        <v>0</v>
      </c>
      <c r="F261" s="5">
        <f t="shared" si="31"/>
        <v>0</v>
      </c>
      <c r="G261" s="5">
        <f t="shared" si="31"/>
        <v>0</v>
      </c>
      <c r="I261" s="22" t="s">
        <v>340</v>
      </c>
      <c r="J261" s="2">
        <v>8</v>
      </c>
      <c r="L261" s="5">
        <f>Index[[#This Row],[Calories]]-(Index[[#This Row],[Fat Removed]]*Index[[#This Row],[Fat Calories]])</f>
        <v>0</v>
      </c>
      <c r="M261" s="5">
        <f>Index[[#This Row],[Fat ]]*9</f>
        <v>0</v>
      </c>
    </row>
    <row r="262" spans="1:13" ht="37.5" x14ac:dyDescent="0.3">
      <c r="A262" s="34" t="s">
        <v>341</v>
      </c>
      <c r="B262" s="5">
        <f>10*$H262</f>
        <v>0</v>
      </c>
      <c r="C262" s="5">
        <f>2*$H262</f>
        <v>0</v>
      </c>
      <c r="D262" s="5">
        <f>0*$H262</f>
        <v>0</v>
      </c>
      <c r="E262" s="5">
        <f t="shared" si="32"/>
        <v>0</v>
      </c>
      <c r="F262" s="5">
        <f t="shared" si="31"/>
        <v>0</v>
      </c>
      <c r="G262" s="5">
        <f>2*$H262</f>
        <v>0</v>
      </c>
      <c r="I262" s="22" t="s">
        <v>307</v>
      </c>
      <c r="J262" s="2">
        <v>8</v>
      </c>
      <c r="L262" s="5">
        <f>Index[[#This Row],[Calories]]-(Index[[#This Row],[Fat Removed]]*Index[[#This Row],[Fat Calories]])</f>
        <v>0</v>
      </c>
      <c r="M262" s="5">
        <f>Index[[#This Row],[Fat ]]*9</f>
        <v>0</v>
      </c>
    </row>
    <row r="263" spans="1:13" ht="37.5" x14ac:dyDescent="0.3">
      <c r="A263" s="34" t="s">
        <v>342</v>
      </c>
      <c r="B263" s="5">
        <f>120*$H263</f>
        <v>0</v>
      </c>
      <c r="C263" s="5">
        <f>0*$H263</f>
        <v>0</v>
      </c>
      <c r="D263" s="5">
        <f>14*$H263</f>
        <v>0</v>
      </c>
      <c r="E263" s="5">
        <f>0*$H263</f>
        <v>0</v>
      </c>
      <c r="F263" s="5">
        <f t="shared" si="31"/>
        <v>0</v>
      </c>
      <c r="G263" s="5">
        <f>0*$H263</f>
        <v>0</v>
      </c>
      <c r="I263" s="22" t="s">
        <v>307</v>
      </c>
      <c r="J263" s="2">
        <v>8</v>
      </c>
      <c r="L263" s="5">
        <f>Index[[#This Row],[Calories]]-(Index[[#This Row],[Fat Removed]]*Index[[#This Row],[Fat Calories]])</f>
        <v>0</v>
      </c>
      <c r="M263" s="5">
        <f>Index[[#This Row],[Fat ]]*9</f>
        <v>0</v>
      </c>
    </row>
    <row r="264" spans="1:13" x14ac:dyDescent="0.3">
      <c r="A264" s="34" t="s">
        <v>343</v>
      </c>
      <c r="B264" s="5">
        <f>120*$H264</f>
        <v>0</v>
      </c>
      <c r="C264" s="5">
        <f>0*$H264</f>
        <v>0</v>
      </c>
      <c r="D264" s="5">
        <f>14*$H264</f>
        <v>0</v>
      </c>
      <c r="E264" s="5">
        <f>0*$H264</f>
        <v>0</v>
      </c>
      <c r="F264" s="5">
        <f t="shared" si="31"/>
        <v>0</v>
      </c>
      <c r="G264" s="5">
        <f>0*$H264</f>
        <v>0</v>
      </c>
      <c r="I264" s="22" t="s">
        <v>307</v>
      </c>
      <c r="J264" s="2">
        <v>8</v>
      </c>
      <c r="L264" s="5">
        <f>Index[[#This Row],[Calories]]-(Index[[#This Row],[Fat Removed]]*Index[[#This Row],[Fat Calories]])</f>
        <v>0</v>
      </c>
      <c r="M264" s="5">
        <f>Index[[#This Row],[Fat ]]*9</f>
        <v>0</v>
      </c>
    </row>
    <row r="265" spans="1:13" x14ac:dyDescent="0.3">
      <c r="A265" s="34" t="s">
        <v>344</v>
      </c>
      <c r="B265" s="5">
        <f>100*$H265</f>
        <v>0</v>
      </c>
      <c r="C265" s="5">
        <f>0*$H265</f>
        <v>0</v>
      </c>
      <c r="D265" s="5">
        <f>11*$H265</f>
        <v>0</v>
      </c>
      <c r="E265" s="5">
        <f>0*$H265</f>
        <v>0</v>
      </c>
      <c r="F265" s="5">
        <f t="shared" si="31"/>
        <v>0</v>
      </c>
      <c r="G265" s="5">
        <f>0*$H265</f>
        <v>0</v>
      </c>
      <c r="I265" s="22" t="s">
        <v>345</v>
      </c>
      <c r="J265" s="2">
        <v>8</v>
      </c>
      <c r="L265" s="5">
        <f>Index[[#This Row],[Calories]]-(Index[[#This Row],[Fat Removed]]*Index[[#This Row],[Fat Calories]])</f>
        <v>0</v>
      </c>
      <c r="M265" s="5">
        <f>Index[[#This Row],[Fat ]]*9</f>
        <v>0</v>
      </c>
    </row>
    <row r="266" spans="1:13" ht="26.25" x14ac:dyDescent="0.4">
      <c r="B266" s="5"/>
      <c r="C266" s="5"/>
      <c r="D266" s="5"/>
      <c r="E266" s="5"/>
      <c r="F266" s="5"/>
      <c r="G266" s="62" t="s">
        <v>346</v>
      </c>
      <c r="J266" s="2">
        <v>8.01</v>
      </c>
      <c r="L266" s="5"/>
      <c r="M266" s="5"/>
    </row>
    <row r="267" spans="1:13" x14ac:dyDescent="0.3">
      <c r="A267" s="34" t="s">
        <v>347</v>
      </c>
      <c r="B267" s="5">
        <f>150*$H267</f>
        <v>0</v>
      </c>
      <c r="C267" s="5">
        <f>16*$H267</f>
        <v>0</v>
      </c>
      <c r="D267" s="5">
        <f>9*$H267</f>
        <v>0</v>
      </c>
      <c r="E267" s="5">
        <f>2*$H267</f>
        <v>0</v>
      </c>
      <c r="F267" s="5">
        <f>1*$H267</f>
        <v>0</v>
      </c>
      <c r="G267" s="5">
        <f>1*$H267</f>
        <v>0</v>
      </c>
      <c r="J267" s="2">
        <v>9</v>
      </c>
      <c r="L267" s="5">
        <f>Index[[#This Row],[Calories]]-(Index[[#This Row],[Fat Removed]]*Index[[#This Row],[Fat Calories]])</f>
        <v>0</v>
      </c>
      <c r="M267" s="5">
        <f>Index[[#This Row],[Fat ]]*9</f>
        <v>0</v>
      </c>
    </row>
    <row r="268" spans="1:13" x14ac:dyDescent="0.3">
      <c r="A268" s="34" t="s">
        <v>348</v>
      </c>
      <c r="B268" s="5">
        <f>160*$H268</f>
        <v>0</v>
      </c>
      <c r="C268" s="5">
        <f>16*$H268</f>
        <v>0</v>
      </c>
      <c r="D268" s="5">
        <f>10*$H268</f>
        <v>0</v>
      </c>
      <c r="E268" s="5">
        <f>2*$H268</f>
        <v>0</v>
      </c>
      <c r="F268" s="5">
        <f>1*$H268</f>
        <v>0</v>
      </c>
      <c r="G268" s="5">
        <f>0*$H268</f>
        <v>0</v>
      </c>
      <c r="J268" s="2">
        <v>9</v>
      </c>
      <c r="L268" s="5">
        <f>Index[[#This Row],[Calories]]-(Index[[#This Row],[Fat Removed]]*Index[[#This Row],[Fat Calories]])</f>
        <v>0</v>
      </c>
      <c r="M268" s="5">
        <f>Index[[#This Row],[Fat ]]*9</f>
        <v>0</v>
      </c>
    </row>
    <row r="269" spans="1:13" x14ac:dyDescent="0.3">
      <c r="A269" s="34" t="s">
        <v>349</v>
      </c>
      <c r="B269" s="5">
        <f>160*$H269</f>
        <v>0</v>
      </c>
      <c r="C269" s="5">
        <f>16*$H269</f>
        <v>0</v>
      </c>
      <c r="D269" s="5">
        <f>10*$H269</f>
        <v>0</v>
      </c>
      <c r="E269" s="5">
        <f>2*$H269</f>
        <v>0</v>
      </c>
      <c r="F269" s="5">
        <f>1*$H269</f>
        <v>0</v>
      </c>
      <c r="G269" s="5">
        <f>1*$H269</f>
        <v>0</v>
      </c>
      <c r="J269" s="2">
        <v>9</v>
      </c>
      <c r="L269" s="5">
        <f>Index[[#This Row],[Calories]]-(Index[[#This Row],[Fat Removed]]*Index[[#This Row],[Fat Calories]])</f>
        <v>0</v>
      </c>
      <c r="M269" s="5">
        <f>Index[[#This Row],[Fat ]]*9</f>
        <v>0</v>
      </c>
    </row>
    <row r="270" spans="1:13" x14ac:dyDescent="0.3">
      <c r="A270" s="34" t="s">
        <v>350</v>
      </c>
      <c r="B270" s="5">
        <f>80*$H270</f>
        <v>0</v>
      </c>
      <c r="C270" s="5">
        <f>0*$H270</f>
        <v>0</v>
      </c>
      <c r="D270" s="5">
        <f>5*$H270</f>
        <v>0</v>
      </c>
      <c r="E270" s="5">
        <f>8*$H270</f>
        <v>0</v>
      </c>
      <c r="F270" s="5">
        <f>0*$H270</f>
        <v>0</v>
      </c>
      <c r="G270" s="5">
        <f>0*$H270</f>
        <v>0</v>
      </c>
      <c r="J270" s="2">
        <v>9</v>
      </c>
      <c r="L270" s="5">
        <f>Index[[#This Row],[Calories]]-(Index[[#This Row],[Fat Removed]]*Index[[#This Row],[Fat Calories]])</f>
        <v>0</v>
      </c>
      <c r="M270" s="5">
        <f>Index[[#This Row],[Fat ]]*9</f>
        <v>0</v>
      </c>
    </row>
    <row r="271" spans="1:13" ht="37.5" x14ac:dyDescent="0.3">
      <c r="A271" s="34" t="s">
        <v>351</v>
      </c>
      <c r="B271" s="5">
        <f>80*$H271</f>
        <v>0</v>
      </c>
      <c r="C271" s="5">
        <f>0*$H271</f>
        <v>0</v>
      </c>
      <c r="D271" s="5">
        <f>4.5*$H271</f>
        <v>0</v>
      </c>
      <c r="E271" s="5">
        <f>8*$H271</f>
        <v>0</v>
      </c>
      <c r="F271" s="5">
        <f>0*$H271</f>
        <v>0</v>
      </c>
      <c r="G271" s="5">
        <f>0*$H271</f>
        <v>0</v>
      </c>
      <c r="J271" s="2">
        <v>9</v>
      </c>
      <c r="L271" s="5">
        <f>Index[[#This Row],[Calories]]-(Index[[#This Row],[Fat Removed]]*Index[[#This Row],[Fat Calories]])</f>
        <v>0</v>
      </c>
      <c r="M271" s="5">
        <f>Index[[#This Row],[Fat ]]*9</f>
        <v>0</v>
      </c>
    </row>
    <row r="272" spans="1:13" ht="37.5" x14ac:dyDescent="0.3">
      <c r="A272" s="34" t="s">
        <v>565</v>
      </c>
      <c r="B272" s="5">
        <f>150*$H272</f>
        <v>0</v>
      </c>
      <c r="C272" s="5">
        <f>15*$H272</f>
        <v>0</v>
      </c>
      <c r="D272" s="5">
        <f>9*$H272</f>
        <v>0</v>
      </c>
      <c r="E272" s="5">
        <f>2*$H272</f>
        <v>0</v>
      </c>
      <c r="F272" s="5">
        <f>0.5*$H272</f>
        <v>0</v>
      </c>
      <c r="G272" s="5">
        <f>0.5*$H272</f>
        <v>0</v>
      </c>
      <c r="I272" s="22" t="s">
        <v>567</v>
      </c>
      <c r="J272" s="2">
        <v>9</v>
      </c>
      <c r="L272" s="5">
        <f>Index[[#This Row],[Calories]]-(Index[[#This Row],[Fat Removed]]*Index[[#This Row],[Fat Calories]])</f>
        <v>0</v>
      </c>
      <c r="M272" s="5">
        <f>Index[[#This Row],[Fat ]]*9</f>
        <v>0</v>
      </c>
    </row>
    <row r="273" spans="1:13" ht="37.5" x14ac:dyDescent="0.3">
      <c r="A273" s="34" t="s">
        <v>566</v>
      </c>
      <c r="B273" s="5">
        <f>150*$H273</f>
        <v>0</v>
      </c>
      <c r="C273" s="5">
        <f>15*$H273</f>
        <v>0</v>
      </c>
      <c r="D273" s="5">
        <f>9*$H273</f>
        <v>0</v>
      </c>
      <c r="E273" s="5">
        <f>1*$H273</f>
        <v>0</v>
      </c>
      <c r="F273" s="5">
        <f>0.5*$H273</f>
        <v>0</v>
      </c>
      <c r="G273" s="5">
        <f>0.5*$H273</f>
        <v>0</v>
      </c>
      <c r="I273" s="22" t="s">
        <v>567</v>
      </c>
      <c r="J273" s="2">
        <v>9</v>
      </c>
      <c r="L273" s="5">
        <f>Index[[#This Row],[Calories]]-(Index[[#This Row],[Fat Removed]]*Index[[#This Row],[Fat Calories]])</f>
        <v>0</v>
      </c>
      <c r="M273" s="5">
        <f>Index[[#This Row],[Fat ]]*9</f>
        <v>0</v>
      </c>
    </row>
    <row r="274" spans="1:13" ht="37.5" x14ac:dyDescent="0.3">
      <c r="A274" s="34" t="s">
        <v>589</v>
      </c>
      <c r="B274" s="5">
        <f>160*$H274</f>
        <v>0</v>
      </c>
      <c r="C274" s="5">
        <f>13*$H274</f>
        <v>0</v>
      </c>
      <c r="D274" s="5">
        <f>11*$H274</f>
        <v>0</v>
      </c>
      <c r="E274" s="5">
        <f>2*$H274</f>
        <v>0</v>
      </c>
      <c r="F274" s="5">
        <f>2*$H274</f>
        <v>0</v>
      </c>
      <c r="G274" s="5">
        <f>1*$H274</f>
        <v>0</v>
      </c>
      <c r="I274" s="22" t="s">
        <v>590</v>
      </c>
      <c r="J274" s="2">
        <v>9</v>
      </c>
      <c r="L274" s="5">
        <f>Index[[#This Row],[Calories]]-(Index[[#This Row],[Fat Removed]]*Index[[#This Row],[Fat Calories]])</f>
        <v>0</v>
      </c>
      <c r="M274" s="5">
        <f>Index[[#This Row],[Fat ]]*9</f>
        <v>0</v>
      </c>
    </row>
    <row r="275" spans="1:13" x14ac:dyDescent="0.3">
      <c r="A275" s="34" t="s">
        <v>352</v>
      </c>
      <c r="B275" s="5">
        <f>140*$H275</f>
        <v>0</v>
      </c>
      <c r="C275" s="5">
        <f>19*$H275</f>
        <v>0</v>
      </c>
      <c r="D275" s="5">
        <f>7*$H275</f>
        <v>0</v>
      </c>
      <c r="E275" s="5">
        <f>2*$H275</f>
        <v>0</v>
      </c>
      <c r="F275" s="5">
        <f>1*$H275</f>
        <v>0</v>
      </c>
      <c r="G275" s="5">
        <f>0*$H275</f>
        <v>0</v>
      </c>
      <c r="I275" s="22" t="s">
        <v>353</v>
      </c>
      <c r="J275" s="2">
        <v>9</v>
      </c>
      <c r="L275" s="5">
        <f>Index[[#This Row],[Calories]]-(Index[[#This Row],[Fat Removed]]*Index[[#This Row],[Fat Calories]])</f>
        <v>0</v>
      </c>
      <c r="M275" s="5">
        <f>Index[[#This Row],[Fat ]]*9</f>
        <v>0</v>
      </c>
    </row>
    <row r="276" spans="1:13" x14ac:dyDescent="0.3">
      <c r="A276" s="34" t="s">
        <v>354</v>
      </c>
      <c r="B276" s="5">
        <f>230*$H276</f>
        <v>0</v>
      </c>
      <c r="C276" s="5">
        <f>24*$H276</f>
        <v>0</v>
      </c>
      <c r="D276" s="5">
        <f>14*$H276</f>
        <v>0</v>
      </c>
      <c r="E276" s="5">
        <f>3*$H276</f>
        <v>0</v>
      </c>
      <c r="F276" s="5">
        <f>2*$H276</f>
        <v>0</v>
      </c>
      <c r="G276" s="5">
        <f>3*$H276</f>
        <v>0</v>
      </c>
      <c r="I276" s="22" t="s">
        <v>355</v>
      </c>
      <c r="J276" s="2">
        <v>9</v>
      </c>
      <c r="L276" s="5">
        <f>Index[[#This Row],[Calories]]-(Index[[#This Row],[Fat Removed]]*Index[[#This Row],[Fat Calories]])</f>
        <v>0</v>
      </c>
      <c r="M276" s="5">
        <f>Index[[#This Row],[Fat ]]*9</f>
        <v>0</v>
      </c>
    </row>
    <row r="277" spans="1:13" x14ac:dyDescent="0.3">
      <c r="A277" s="34" t="s">
        <v>356</v>
      </c>
      <c r="B277" s="5">
        <f>150*$H277</f>
        <v>0</v>
      </c>
      <c r="C277" s="5">
        <f>18*$H277</f>
        <v>0</v>
      </c>
      <c r="D277" s="5">
        <f>8*$H277</f>
        <v>0</v>
      </c>
      <c r="E277" s="5">
        <f>2*$H277</f>
        <v>0</v>
      </c>
      <c r="F277" s="5">
        <f>1*$H277</f>
        <v>0</v>
      </c>
      <c r="G277" s="5">
        <f>0.5*$H277</f>
        <v>0</v>
      </c>
      <c r="I277" s="22" t="s">
        <v>357</v>
      </c>
      <c r="J277" s="2">
        <v>9</v>
      </c>
      <c r="L277" s="5">
        <f>Index[[#This Row],[Calories]]-(Index[[#This Row],[Fat Removed]]*Index[[#This Row],[Fat Calories]])</f>
        <v>0</v>
      </c>
      <c r="M277" s="5">
        <f>Index[[#This Row],[Fat ]]*9</f>
        <v>0</v>
      </c>
    </row>
    <row r="278" spans="1:13" ht="37.5" x14ac:dyDescent="0.3">
      <c r="A278" s="34" t="s">
        <v>358</v>
      </c>
      <c r="B278" s="5">
        <f>150*$H278</f>
        <v>0</v>
      </c>
      <c r="C278" s="5">
        <f>18*$H278</f>
        <v>0</v>
      </c>
      <c r="D278" s="5">
        <f>8*$H278</f>
        <v>0</v>
      </c>
      <c r="E278" s="5">
        <f>2*$H278</f>
        <v>0</v>
      </c>
      <c r="F278" s="5">
        <f>1*$H278</f>
        <v>0</v>
      </c>
      <c r="G278" s="5">
        <f>0.5*$H278</f>
        <v>0</v>
      </c>
      <c r="I278" s="22" t="s">
        <v>359</v>
      </c>
      <c r="J278" s="2">
        <v>9</v>
      </c>
      <c r="L278" s="5">
        <f>Index[[#This Row],[Calories]]-(Index[[#This Row],[Fat Removed]]*Index[[#This Row],[Fat Calories]])</f>
        <v>0</v>
      </c>
      <c r="M278" s="5">
        <f>Index[[#This Row],[Fat ]]*9</f>
        <v>0</v>
      </c>
    </row>
    <row r="279" spans="1:13" ht="26.25" x14ac:dyDescent="0.4">
      <c r="B279" s="5"/>
      <c r="C279" s="5"/>
      <c r="D279" s="5"/>
      <c r="E279" s="5"/>
      <c r="F279" s="5"/>
      <c r="G279" s="62" t="s">
        <v>360</v>
      </c>
      <c r="J279" s="2">
        <v>9.01</v>
      </c>
      <c r="L279" s="5"/>
      <c r="M279" s="5"/>
    </row>
    <row r="280" spans="1:13" x14ac:dyDescent="0.3">
      <c r="A280" s="34" t="s">
        <v>361</v>
      </c>
      <c r="B280" s="5">
        <f>95*$H280</f>
        <v>0</v>
      </c>
      <c r="C280" s="5">
        <f>2.6*$H280</f>
        <v>0</v>
      </c>
      <c r="D280" s="5">
        <f t="shared" ref="D280:E294" si="33">0*$H280</f>
        <v>0</v>
      </c>
      <c r="E280" s="5">
        <f>0.6*$H280</f>
        <v>0</v>
      </c>
      <c r="F280" s="5">
        <f t="shared" ref="F280:G284" si="34">0*$H280</f>
        <v>0</v>
      </c>
      <c r="G280" s="5">
        <f t="shared" si="34"/>
        <v>0</v>
      </c>
      <c r="I280" s="22" t="s">
        <v>362</v>
      </c>
      <c r="J280" s="2">
        <v>10</v>
      </c>
      <c r="L280" s="5">
        <f>Index[[#This Row],[Calories]]-(Index[[#This Row],[Fat Removed]]*Index[[#This Row],[Fat Calories]])</f>
        <v>0</v>
      </c>
      <c r="M280" s="5">
        <f>Index[[#This Row],[Fat ]]*9</f>
        <v>0</v>
      </c>
    </row>
    <row r="281" spans="1:13" x14ac:dyDescent="0.3">
      <c r="A281" s="34" t="s">
        <v>363</v>
      </c>
      <c r="B281" s="5">
        <f>152*$H281</f>
        <v>0</v>
      </c>
      <c r="C281" s="5">
        <f>12*$H281</f>
        <v>0</v>
      </c>
      <c r="D281" s="5">
        <f t="shared" si="33"/>
        <v>0</v>
      </c>
      <c r="E281" s="5">
        <f>1.4*$H281</f>
        <v>0</v>
      </c>
      <c r="F281" s="5">
        <f t="shared" si="34"/>
        <v>0</v>
      </c>
      <c r="G281" s="5">
        <f t="shared" si="34"/>
        <v>0</v>
      </c>
      <c r="I281" s="22" t="s">
        <v>362</v>
      </c>
      <c r="J281" s="2">
        <v>10</v>
      </c>
      <c r="L281" s="5">
        <f>Index[[#This Row],[Calories]]-(Index[[#This Row],[Fat Removed]]*Index[[#This Row],[Fat Calories]])</f>
        <v>0</v>
      </c>
      <c r="M281" s="5">
        <f>Index[[#This Row],[Fat ]]*9</f>
        <v>0</v>
      </c>
    </row>
    <row r="282" spans="1:13" ht="37.5" x14ac:dyDescent="0.3">
      <c r="A282" s="34" t="s">
        <v>364</v>
      </c>
      <c r="B282" s="5">
        <f>99*$H282</f>
        <v>0</v>
      </c>
      <c r="C282" s="5">
        <f>4.8*$H282</f>
        <v>0</v>
      </c>
      <c r="D282" s="5">
        <f t="shared" si="33"/>
        <v>0</v>
      </c>
      <c r="E282" s="5">
        <f>0.5*$H282</f>
        <v>0</v>
      </c>
      <c r="F282" s="5">
        <f t="shared" si="34"/>
        <v>0</v>
      </c>
      <c r="G282" s="5">
        <f t="shared" si="34"/>
        <v>0</v>
      </c>
      <c r="I282" s="22" t="s">
        <v>362</v>
      </c>
      <c r="J282" s="2">
        <v>10</v>
      </c>
      <c r="L282" s="5">
        <f>Index[[#This Row],[Calories]]-(Index[[#This Row],[Fat Removed]]*Index[[#This Row],[Fat Calories]])</f>
        <v>0</v>
      </c>
      <c r="M282" s="5">
        <f>Index[[#This Row],[Fat ]]*9</f>
        <v>0</v>
      </c>
    </row>
    <row r="283" spans="1:13" x14ac:dyDescent="0.3">
      <c r="A283" s="34" t="s">
        <v>365</v>
      </c>
      <c r="B283" s="5">
        <f>95*$H283</f>
        <v>0</v>
      </c>
      <c r="C283" s="5">
        <f>2.6*$H283</f>
        <v>0</v>
      </c>
      <c r="D283" s="5">
        <f t="shared" si="33"/>
        <v>0</v>
      </c>
      <c r="E283" s="5">
        <f>0.8*$H283</f>
        <v>0</v>
      </c>
      <c r="F283" s="5">
        <f t="shared" si="34"/>
        <v>0</v>
      </c>
      <c r="G283" s="5">
        <f t="shared" si="34"/>
        <v>0</v>
      </c>
      <c r="I283" s="22" t="s">
        <v>362</v>
      </c>
      <c r="J283" s="2">
        <v>10</v>
      </c>
      <c r="L283" s="5">
        <f>Index[[#This Row],[Calories]]-(Index[[#This Row],[Fat Removed]]*Index[[#This Row],[Fat Calories]])</f>
        <v>0</v>
      </c>
      <c r="M283" s="5">
        <f>Index[[#This Row],[Fat ]]*9</f>
        <v>0</v>
      </c>
    </row>
    <row r="284" spans="1:13" x14ac:dyDescent="0.3">
      <c r="A284" s="34" t="s">
        <v>366</v>
      </c>
      <c r="B284" s="5">
        <f>156*$H284</f>
        <v>0</v>
      </c>
      <c r="C284" s="5">
        <f>13.2*$H284</f>
        <v>0</v>
      </c>
      <c r="D284" s="5">
        <f t="shared" si="33"/>
        <v>0</v>
      </c>
      <c r="E284" s="5">
        <f>1.7*$H284</f>
        <v>0</v>
      </c>
      <c r="F284" s="5">
        <f t="shared" si="34"/>
        <v>0</v>
      </c>
      <c r="G284" s="5">
        <f t="shared" si="34"/>
        <v>0</v>
      </c>
      <c r="I284" s="22" t="s">
        <v>362</v>
      </c>
      <c r="J284" s="2">
        <v>10</v>
      </c>
      <c r="L284" s="5">
        <f>Index[[#This Row],[Calories]]-(Index[[#This Row],[Fat Removed]]*Index[[#This Row],[Fat Calories]])</f>
        <v>0</v>
      </c>
      <c r="M284" s="5">
        <f>Index[[#This Row],[Fat ]]*9</f>
        <v>0</v>
      </c>
    </row>
    <row r="285" spans="1:13" x14ac:dyDescent="0.3">
      <c r="A285" s="34" t="s">
        <v>648</v>
      </c>
      <c r="B285" s="5">
        <f>221*$H285</f>
        <v>0</v>
      </c>
      <c r="C285" s="5">
        <f>30.9*$H285</f>
        <v>0</v>
      </c>
      <c r="D285" s="5">
        <f>0*$H285</f>
        <v>0</v>
      </c>
      <c r="E285" s="5">
        <f>0*$H285</f>
        <v>0</v>
      </c>
      <c r="F285" s="5">
        <f>0*$H285</f>
        <v>0</v>
      </c>
      <c r="G285" s="5">
        <f>23.4*$H285</f>
        <v>0</v>
      </c>
      <c r="I285" s="22" t="s">
        <v>362</v>
      </c>
      <c r="J285" s="2">
        <v>10</v>
      </c>
      <c r="L285" s="5">
        <f>Index[[#This Row],[Calories]]-(Index[[#This Row],[Fat Removed]]*Index[[#This Row],[Fat Calories]])</f>
        <v>0</v>
      </c>
      <c r="M285" s="5">
        <f>Index[[#This Row],[Fat ]]*9</f>
        <v>0</v>
      </c>
    </row>
    <row r="286" spans="1:13" ht="37.5" x14ac:dyDescent="0.3">
      <c r="A286" s="34" t="s">
        <v>367</v>
      </c>
      <c r="B286" s="5">
        <f>200*$H286</f>
        <v>0</v>
      </c>
      <c r="C286" s="5">
        <f>27*$H286</f>
        <v>0</v>
      </c>
      <c r="D286" s="5">
        <f t="shared" si="33"/>
        <v>0</v>
      </c>
      <c r="E286" s="5">
        <f>0*$H286</f>
        <v>0</v>
      </c>
      <c r="F286" s="5">
        <f>0*$H286</f>
        <v>0</v>
      </c>
      <c r="G286" s="5">
        <f>27*$H286</f>
        <v>0</v>
      </c>
      <c r="I286" s="22" t="s">
        <v>362</v>
      </c>
      <c r="J286" s="2">
        <v>10</v>
      </c>
      <c r="L286" s="5">
        <f>Index[[#This Row],[Calories]]-(Index[[#This Row],[Fat Removed]]*Index[[#This Row],[Fat Calories]])</f>
        <v>0</v>
      </c>
      <c r="M286" s="5">
        <f>Index[[#This Row],[Fat ]]*9</f>
        <v>0</v>
      </c>
    </row>
    <row r="287" spans="1:13" x14ac:dyDescent="0.3">
      <c r="A287" s="34" t="s">
        <v>368</v>
      </c>
      <c r="B287" s="5">
        <f>140*$H287</f>
        <v>0</v>
      </c>
      <c r="C287" s="5">
        <f>13*$H287</f>
        <v>0</v>
      </c>
      <c r="D287" s="5">
        <f t="shared" si="33"/>
        <v>0</v>
      </c>
      <c r="E287" s="5">
        <f>1*$H287</f>
        <v>0</v>
      </c>
      <c r="F287" s="5">
        <f t="shared" ref="F287:G294" si="35">0*$H287</f>
        <v>0</v>
      </c>
      <c r="G287" s="5">
        <f t="shared" si="35"/>
        <v>0</v>
      </c>
      <c r="I287" s="22" t="s">
        <v>369</v>
      </c>
      <c r="J287" s="2">
        <v>10</v>
      </c>
      <c r="L287" s="5">
        <f>Index[[#This Row],[Calories]]-(Index[[#This Row],[Fat Removed]]*Index[[#This Row],[Fat Calories]])</f>
        <v>0</v>
      </c>
      <c r="M287" s="5">
        <f>Index[[#This Row],[Fat ]]*9</f>
        <v>0</v>
      </c>
    </row>
    <row r="288" spans="1:13" x14ac:dyDescent="0.3">
      <c r="A288" s="34" t="s">
        <v>370</v>
      </c>
      <c r="B288" s="5">
        <f>150*$H288</f>
        <v>0</v>
      </c>
      <c r="C288" s="5">
        <f>15*$H288</f>
        <v>0</v>
      </c>
      <c r="D288" s="5">
        <f t="shared" si="33"/>
        <v>0</v>
      </c>
      <c r="E288" s="5">
        <f>0*$H288</f>
        <v>0</v>
      </c>
      <c r="F288" s="5">
        <f t="shared" si="35"/>
        <v>0</v>
      </c>
      <c r="G288" s="5">
        <f t="shared" si="35"/>
        <v>0</v>
      </c>
      <c r="I288" s="22" t="s">
        <v>362</v>
      </c>
      <c r="J288" s="2">
        <v>10</v>
      </c>
      <c r="L288" s="5">
        <f>Index[[#This Row],[Calories]]-(Index[[#This Row],[Fat Removed]]*Index[[#This Row],[Fat Calories]])</f>
        <v>0</v>
      </c>
      <c r="M288" s="5">
        <f>Index[[#This Row],[Fat ]]*9</f>
        <v>0</v>
      </c>
    </row>
    <row r="289" spans="1:13" x14ac:dyDescent="0.3">
      <c r="A289" s="34" t="s">
        <v>371</v>
      </c>
      <c r="B289" s="5">
        <f>160*$H289</f>
        <v>0</v>
      </c>
      <c r="C289" s="5">
        <f>14*$H289</f>
        <v>0</v>
      </c>
      <c r="D289" s="5">
        <f t="shared" si="33"/>
        <v>0</v>
      </c>
      <c r="E289" s="5">
        <f>2*$H289</f>
        <v>0</v>
      </c>
      <c r="F289" s="5">
        <f t="shared" si="35"/>
        <v>0</v>
      </c>
      <c r="G289" s="5">
        <f t="shared" si="35"/>
        <v>0</v>
      </c>
      <c r="I289" s="22" t="s">
        <v>362</v>
      </c>
      <c r="J289" s="2">
        <v>10</v>
      </c>
      <c r="L289" s="5">
        <f>Index[[#This Row],[Calories]]-(Index[[#This Row],[Fat Removed]]*Index[[#This Row],[Fat Calories]])</f>
        <v>0</v>
      </c>
      <c r="M289" s="5">
        <f>Index[[#This Row],[Fat ]]*9</f>
        <v>0</v>
      </c>
    </row>
    <row r="290" spans="1:13" ht="37.5" x14ac:dyDescent="0.3">
      <c r="A290" s="34" t="s">
        <v>372</v>
      </c>
      <c r="B290" s="5">
        <f>136*$H290</f>
        <v>0</v>
      </c>
      <c r="C290" s="5">
        <f>13*$H290</f>
        <v>0</v>
      </c>
      <c r="D290" s="5">
        <f t="shared" si="33"/>
        <v>0</v>
      </c>
      <c r="E290" s="5">
        <f>1.3*$H290</f>
        <v>0</v>
      </c>
      <c r="F290" s="5">
        <f t="shared" si="35"/>
        <v>0</v>
      </c>
      <c r="G290" s="5">
        <f t="shared" si="35"/>
        <v>0</v>
      </c>
      <c r="I290" s="22" t="s">
        <v>362</v>
      </c>
      <c r="J290" s="2">
        <v>10</v>
      </c>
      <c r="L290" s="5">
        <f>Index[[#This Row],[Calories]]-(Index[[#This Row],[Fat Removed]]*Index[[#This Row],[Fat Calories]])</f>
        <v>0</v>
      </c>
      <c r="M290" s="5">
        <f>Index[[#This Row],[Fat ]]*9</f>
        <v>0</v>
      </c>
    </row>
    <row r="291" spans="1:13" ht="37.5" x14ac:dyDescent="0.3">
      <c r="A291" s="34" t="s">
        <v>373</v>
      </c>
      <c r="B291" s="5">
        <f>170*$H291</f>
        <v>0</v>
      </c>
      <c r="C291" s="5">
        <f>17.8*$H291</f>
        <v>0</v>
      </c>
      <c r="D291" s="5">
        <f t="shared" si="33"/>
        <v>0</v>
      </c>
      <c r="E291" s="5">
        <f>1.6*$H291</f>
        <v>0</v>
      </c>
      <c r="F291" s="5">
        <f t="shared" si="35"/>
        <v>0</v>
      </c>
      <c r="G291" s="5">
        <f t="shared" si="35"/>
        <v>0</v>
      </c>
      <c r="I291" s="22" t="s">
        <v>362</v>
      </c>
      <c r="J291" s="2">
        <v>10</v>
      </c>
      <c r="L291" s="5">
        <f>Index[[#This Row],[Calories]]-(Index[[#This Row],[Fat Removed]]*Index[[#This Row],[Fat Calories]])</f>
        <v>0</v>
      </c>
      <c r="M291" s="5">
        <f>Index[[#This Row],[Fat ]]*9</f>
        <v>0</v>
      </c>
    </row>
    <row r="292" spans="1:13" x14ac:dyDescent="0.3">
      <c r="A292" s="34" t="s">
        <v>597</v>
      </c>
      <c r="B292" s="5">
        <f>187*$H292</f>
        <v>0</v>
      </c>
      <c r="C292" s="5">
        <f>12.6*$H292</f>
        <v>0</v>
      </c>
      <c r="D292" s="5">
        <f t="shared" si="33"/>
        <v>0</v>
      </c>
      <c r="E292" s="5">
        <f>1.2*$H292</f>
        <v>0</v>
      </c>
      <c r="F292" s="5">
        <f t="shared" si="35"/>
        <v>0</v>
      </c>
      <c r="G292" s="5">
        <f t="shared" si="35"/>
        <v>0</v>
      </c>
      <c r="I292" s="22" t="s">
        <v>362</v>
      </c>
      <c r="J292" s="2">
        <v>10</v>
      </c>
      <c r="L292" s="5">
        <f>Index[[#This Row],[Calories]]-(Index[[#This Row],[Fat Removed]]*Index[[#This Row],[Fat Calories]])</f>
        <v>0</v>
      </c>
      <c r="M292" s="5">
        <f>Index[[#This Row],[Fat ]]*9</f>
        <v>0</v>
      </c>
    </row>
    <row r="293" spans="1:13" x14ac:dyDescent="0.3">
      <c r="A293" s="34" t="s">
        <v>374</v>
      </c>
      <c r="B293" s="5">
        <f>141*$H293</f>
        <v>0</v>
      </c>
      <c r="C293" s="5">
        <f>12*$H293</f>
        <v>0</v>
      </c>
      <c r="D293" s="5">
        <f t="shared" si="33"/>
        <v>0</v>
      </c>
      <c r="E293" s="5">
        <f>1.2*$H293</f>
        <v>0</v>
      </c>
      <c r="F293" s="5">
        <f t="shared" si="35"/>
        <v>0</v>
      </c>
      <c r="G293" s="5">
        <f t="shared" si="35"/>
        <v>0</v>
      </c>
      <c r="I293" s="22" t="s">
        <v>362</v>
      </c>
      <c r="J293" s="2">
        <v>10</v>
      </c>
      <c r="L293" s="5">
        <f>Index[[#This Row],[Calories]]-(Index[[#This Row],[Fat Removed]]*Index[[#This Row],[Fat Calories]])</f>
        <v>0</v>
      </c>
      <c r="M293" s="5">
        <f>Index[[#This Row],[Fat ]]*9</f>
        <v>0</v>
      </c>
    </row>
    <row r="294" spans="1:13" x14ac:dyDescent="0.3">
      <c r="A294" s="34" t="s">
        <v>614</v>
      </c>
      <c r="B294" s="5">
        <f>98*$H294</f>
        <v>0</v>
      </c>
      <c r="C294" s="5">
        <f>0*$H294</f>
        <v>0</v>
      </c>
      <c r="D294" s="5">
        <f t="shared" si="33"/>
        <v>0</v>
      </c>
      <c r="E294" s="5">
        <f t="shared" si="33"/>
        <v>0</v>
      </c>
      <c r="F294" s="5">
        <f t="shared" si="35"/>
        <v>0</v>
      </c>
      <c r="G294" s="5">
        <f t="shared" si="35"/>
        <v>0</v>
      </c>
      <c r="I294" s="22" t="s">
        <v>362</v>
      </c>
      <c r="J294" s="2">
        <v>10</v>
      </c>
      <c r="L294" s="5">
        <f>Index[[#This Row],[Calories]]-(Index[[#This Row],[Fat Removed]]*Index[[#This Row],[Fat Calories]])</f>
        <v>0</v>
      </c>
      <c r="M294" s="5">
        <f>Index[[#This Row],[Fat ]]*9</f>
        <v>0</v>
      </c>
    </row>
    <row r="295" spans="1:13" ht="26.25" x14ac:dyDescent="0.4">
      <c r="B295" s="5"/>
      <c r="C295" s="5"/>
      <c r="D295" s="5"/>
      <c r="E295" s="5"/>
      <c r="F295" s="5"/>
      <c r="G295" s="62" t="s">
        <v>375</v>
      </c>
      <c r="J295" s="2">
        <v>10.01</v>
      </c>
      <c r="L295" s="5"/>
      <c r="M295" s="5"/>
    </row>
    <row r="296" spans="1:13" x14ac:dyDescent="0.3">
      <c r="A296" s="34" t="s">
        <v>376</v>
      </c>
      <c r="B296" s="5">
        <f>15*$H296</f>
        <v>0</v>
      </c>
      <c r="C296" s="5">
        <f>4*$H296</f>
        <v>0</v>
      </c>
      <c r="D296" s="5">
        <f t="shared" ref="D296:G306" si="36">0*$H296</f>
        <v>0</v>
      </c>
      <c r="E296" s="5">
        <f t="shared" si="36"/>
        <v>0</v>
      </c>
      <c r="F296" s="5">
        <f t="shared" si="36"/>
        <v>0</v>
      </c>
      <c r="G296" s="5">
        <f t="shared" si="36"/>
        <v>0</v>
      </c>
      <c r="J296" s="2">
        <v>11</v>
      </c>
      <c r="L296" s="5">
        <f>Index[[#This Row],[Calories]]-(Index[[#This Row],[Fat Removed]]*Index[[#This Row],[Fat Calories]])</f>
        <v>0</v>
      </c>
      <c r="M296" s="5">
        <f>Index[[#This Row],[Fat ]]*9</f>
        <v>0</v>
      </c>
    </row>
    <row r="297" spans="1:13" x14ac:dyDescent="0.3">
      <c r="A297" s="34" t="s">
        <v>377</v>
      </c>
      <c r="B297" s="5">
        <f>10*$H297</f>
        <v>0</v>
      </c>
      <c r="C297" s="5">
        <f>3*$H297</f>
        <v>0</v>
      </c>
      <c r="D297" s="5">
        <f t="shared" si="36"/>
        <v>0</v>
      </c>
      <c r="E297" s="5">
        <f t="shared" si="36"/>
        <v>0</v>
      </c>
      <c r="F297" s="5">
        <f t="shared" si="36"/>
        <v>0</v>
      </c>
      <c r="G297" s="5">
        <f t="shared" si="36"/>
        <v>0</v>
      </c>
      <c r="J297" s="2">
        <v>11</v>
      </c>
      <c r="L297" s="5">
        <f>Index[[#This Row],[Calories]]-(Index[[#This Row],[Fat Removed]]*Index[[#This Row],[Fat Calories]])</f>
        <v>0</v>
      </c>
      <c r="M297" s="5">
        <f>Index[[#This Row],[Fat ]]*9</f>
        <v>0</v>
      </c>
    </row>
    <row r="298" spans="1:13" x14ac:dyDescent="0.3">
      <c r="A298" s="34" t="s">
        <v>378</v>
      </c>
      <c r="B298" s="5">
        <f>20*$H298</f>
        <v>0</v>
      </c>
      <c r="C298" s="5">
        <f>5*$H298</f>
        <v>0</v>
      </c>
      <c r="D298" s="5">
        <f t="shared" si="36"/>
        <v>0</v>
      </c>
      <c r="E298" s="5">
        <f t="shared" si="36"/>
        <v>0</v>
      </c>
      <c r="F298" s="5">
        <f t="shared" si="36"/>
        <v>0</v>
      </c>
      <c r="G298" s="5">
        <f t="shared" si="36"/>
        <v>0</v>
      </c>
      <c r="J298" s="2">
        <v>11</v>
      </c>
      <c r="L298" s="5">
        <f>Index[[#This Row],[Calories]]-(Index[[#This Row],[Fat Removed]]*Index[[#This Row],[Fat Calories]])</f>
        <v>0</v>
      </c>
      <c r="M298" s="5">
        <f>Index[[#This Row],[Fat ]]*9</f>
        <v>0</v>
      </c>
    </row>
    <row r="299" spans="1:13" x14ac:dyDescent="0.3">
      <c r="A299" s="34" t="s">
        <v>379</v>
      </c>
      <c r="B299" s="5">
        <f>15*$H299</f>
        <v>0</v>
      </c>
      <c r="C299" s="5">
        <f>4*$H299</f>
        <v>0</v>
      </c>
      <c r="D299" s="5">
        <f t="shared" si="36"/>
        <v>0</v>
      </c>
      <c r="E299" s="5">
        <f t="shared" si="36"/>
        <v>0</v>
      </c>
      <c r="F299" s="5">
        <f t="shared" si="36"/>
        <v>0</v>
      </c>
      <c r="G299" s="5">
        <f t="shared" si="36"/>
        <v>0</v>
      </c>
      <c r="J299" s="2">
        <v>11</v>
      </c>
      <c r="L299" s="5">
        <f>Index[[#This Row],[Calories]]-(Index[[#This Row],[Fat Removed]]*Index[[#This Row],[Fat Calories]])</f>
        <v>0</v>
      </c>
      <c r="M299" s="5">
        <f>Index[[#This Row],[Fat ]]*9</f>
        <v>0</v>
      </c>
    </row>
    <row r="300" spans="1:13" x14ac:dyDescent="0.3">
      <c r="A300" s="34" t="s">
        <v>586</v>
      </c>
      <c r="B300" s="5">
        <f>10*$H300</f>
        <v>0</v>
      </c>
      <c r="C300" s="5">
        <f>2*$H300</f>
        <v>0</v>
      </c>
      <c r="D300" s="5">
        <f t="shared" si="36"/>
        <v>0</v>
      </c>
      <c r="E300" s="5">
        <f t="shared" si="36"/>
        <v>0</v>
      </c>
      <c r="F300" s="5">
        <f t="shared" si="36"/>
        <v>0</v>
      </c>
      <c r="G300" s="5">
        <f t="shared" si="36"/>
        <v>0</v>
      </c>
      <c r="I300" s="22" t="s">
        <v>585</v>
      </c>
      <c r="J300" s="2">
        <v>11</v>
      </c>
      <c r="L300" s="5">
        <f>Index[[#This Row],[Calories]]-(Index[[#This Row],[Fat Removed]]*Index[[#This Row],[Fat Calories]])</f>
        <v>0</v>
      </c>
      <c r="M300" s="5">
        <f>Index[[#This Row],[Fat ]]*9</f>
        <v>0</v>
      </c>
    </row>
    <row r="301" spans="1:13" x14ac:dyDescent="0.3">
      <c r="A301" s="34" t="s">
        <v>587</v>
      </c>
      <c r="B301" s="5">
        <f>10*$H301</f>
        <v>0</v>
      </c>
      <c r="C301" s="5">
        <f>2*$H301</f>
        <v>0</v>
      </c>
      <c r="D301" s="5">
        <f t="shared" si="36"/>
        <v>0</v>
      </c>
      <c r="E301" s="5">
        <f t="shared" si="36"/>
        <v>0</v>
      </c>
      <c r="F301" s="5">
        <f t="shared" si="36"/>
        <v>0</v>
      </c>
      <c r="G301" s="5">
        <f t="shared" si="36"/>
        <v>0</v>
      </c>
      <c r="I301" s="22" t="s">
        <v>585</v>
      </c>
      <c r="J301" s="2">
        <v>11</v>
      </c>
      <c r="L301" s="5">
        <f>Index[[#This Row],[Calories]]-(Index[[#This Row],[Fat Removed]]*Index[[#This Row],[Fat Calories]])</f>
        <v>0</v>
      </c>
      <c r="M301" s="5">
        <f>Index[[#This Row],[Fat ]]*9</f>
        <v>0</v>
      </c>
    </row>
    <row r="302" spans="1:13" x14ac:dyDescent="0.3">
      <c r="A302" s="34" t="s">
        <v>588</v>
      </c>
      <c r="B302" s="5">
        <f>15*$H302</f>
        <v>0</v>
      </c>
      <c r="C302" s="5">
        <f>4*$H302</f>
        <v>0</v>
      </c>
      <c r="D302" s="5">
        <f t="shared" si="36"/>
        <v>0</v>
      </c>
      <c r="E302" s="5">
        <f t="shared" si="36"/>
        <v>0</v>
      </c>
      <c r="F302" s="5">
        <f t="shared" si="36"/>
        <v>0</v>
      </c>
      <c r="G302" s="5">
        <f t="shared" si="36"/>
        <v>0</v>
      </c>
      <c r="I302" s="22" t="s">
        <v>585</v>
      </c>
      <c r="J302" s="2">
        <v>11</v>
      </c>
      <c r="L302" s="5">
        <f>Index[[#This Row],[Calories]]-(Index[[#This Row],[Fat Removed]]*Index[[#This Row],[Fat Calories]])</f>
        <v>0</v>
      </c>
      <c r="M302" s="5">
        <f>Index[[#This Row],[Fat ]]*9</f>
        <v>0</v>
      </c>
    </row>
    <row r="303" spans="1:13" x14ac:dyDescent="0.3">
      <c r="A303" s="34" t="s">
        <v>584</v>
      </c>
      <c r="B303" s="5">
        <f>10*$H303</f>
        <v>0</v>
      </c>
      <c r="C303" s="5">
        <f>2*$H303</f>
        <v>0</v>
      </c>
      <c r="D303" s="5">
        <f t="shared" si="36"/>
        <v>0</v>
      </c>
      <c r="E303" s="5">
        <f t="shared" si="36"/>
        <v>0</v>
      </c>
      <c r="F303" s="5">
        <f t="shared" si="36"/>
        <v>0</v>
      </c>
      <c r="G303" s="5">
        <f t="shared" si="36"/>
        <v>0</v>
      </c>
      <c r="I303" s="22" t="s">
        <v>585</v>
      </c>
      <c r="J303" s="2">
        <v>11</v>
      </c>
      <c r="L303" s="5">
        <f>Index[[#This Row],[Calories]]-(Index[[#This Row],[Fat Removed]]*Index[[#This Row],[Fat Calories]])</f>
        <v>0</v>
      </c>
      <c r="M303" s="5">
        <f>Index[[#This Row],[Fat ]]*9</f>
        <v>0</v>
      </c>
    </row>
    <row r="304" spans="1:13" ht="37.5" x14ac:dyDescent="0.3">
      <c r="A304" s="34" t="s">
        <v>380</v>
      </c>
      <c r="B304" s="5">
        <f>20*$H304</f>
        <v>0</v>
      </c>
      <c r="C304" s="5">
        <f>5*$H304</f>
        <v>0</v>
      </c>
      <c r="D304" s="5">
        <f t="shared" si="36"/>
        <v>0</v>
      </c>
      <c r="E304" s="5">
        <f t="shared" si="36"/>
        <v>0</v>
      </c>
      <c r="F304" s="5">
        <f t="shared" si="36"/>
        <v>0</v>
      </c>
      <c r="G304" s="5">
        <f t="shared" si="36"/>
        <v>0</v>
      </c>
      <c r="J304" s="2">
        <v>11</v>
      </c>
      <c r="L304" s="5">
        <f>Index[[#This Row],[Calories]]-(Index[[#This Row],[Fat Removed]]*Index[[#This Row],[Fat Calories]])</f>
        <v>0</v>
      </c>
      <c r="M304" s="5">
        <f>Index[[#This Row],[Fat ]]*9</f>
        <v>0</v>
      </c>
    </row>
    <row r="305" spans="1:13" x14ac:dyDescent="0.3">
      <c r="A305" s="34" t="s">
        <v>381</v>
      </c>
      <c r="B305" s="5">
        <f>10*$H305</f>
        <v>0</v>
      </c>
      <c r="C305" s="5">
        <f>3*$H305</f>
        <v>0</v>
      </c>
      <c r="D305" s="5">
        <f t="shared" si="36"/>
        <v>0</v>
      </c>
      <c r="E305" s="5">
        <f t="shared" si="36"/>
        <v>0</v>
      </c>
      <c r="F305" s="5">
        <f t="shared" si="36"/>
        <v>0</v>
      </c>
      <c r="G305" s="5">
        <f t="shared" si="36"/>
        <v>0</v>
      </c>
      <c r="J305" s="2">
        <v>11</v>
      </c>
      <c r="L305" s="5">
        <f>Index[[#This Row],[Calories]]-(Index[[#This Row],[Fat Removed]]*Index[[#This Row],[Fat Calories]])</f>
        <v>0</v>
      </c>
      <c r="M305" s="5">
        <f>Index[[#This Row],[Fat ]]*9</f>
        <v>0</v>
      </c>
    </row>
    <row r="306" spans="1:13" x14ac:dyDescent="0.3">
      <c r="A306" s="34" t="s">
        <v>382</v>
      </c>
      <c r="B306" s="5">
        <f>15*$H306</f>
        <v>0</v>
      </c>
      <c r="C306" s="5">
        <f>4*$H306</f>
        <v>0</v>
      </c>
      <c r="D306" s="5">
        <f t="shared" si="36"/>
        <v>0</v>
      </c>
      <c r="E306" s="5">
        <f t="shared" si="36"/>
        <v>0</v>
      </c>
      <c r="F306" s="5">
        <f t="shared" si="36"/>
        <v>0</v>
      </c>
      <c r="G306" s="5">
        <f t="shared" si="36"/>
        <v>0</v>
      </c>
      <c r="J306" s="2">
        <v>11</v>
      </c>
      <c r="L306" s="5">
        <f>Index[[#This Row],[Calories]]-(Index[[#This Row],[Fat Removed]]*Index[[#This Row],[Fat Calories]])</f>
        <v>0</v>
      </c>
      <c r="M306" s="5">
        <f>Index[[#This Row],[Fat ]]*9</f>
        <v>0</v>
      </c>
    </row>
    <row r="307" spans="1:13" x14ac:dyDescent="0.3">
      <c r="A307" s="34" t="s">
        <v>383</v>
      </c>
      <c r="B307" s="5">
        <f>15*$H307</f>
        <v>0</v>
      </c>
      <c r="C307" s="5">
        <f>4*$H307</f>
        <v>0</v>
      </c>
      <c r="D307" s="5">
        <f>0*$H307</f>
        <v>0</v>
      </c>
      <c r="E307" s="5">
        <f>0*$H307</f>
        <v>0</v>
      </c>
      <c r="F307" s="5">
        <f>0*$H307</f>
        <v>0</v>
      </c>
      <c r="G307" s="5">
        <f>0*$H307</f>
        <v>0</v>
      </c>
      <c r="J307" s="2">
        <v>11</v>
      </c>
      <c r="L307" s="5">
        <f>Index[[#This Row],[Calories]]-(Index[[#This Row],[Fat Removed]]*Index[[#This Row],[Fat Calories]])</f>
        <v>0</v>
      </c>
      <c r="M307" s="5">
        <f>Index[[#This Row],[Fat ]]*9</f>
        <v>0</v>
      </c>
    </row>
    <row r="308" spans="1:13" ht="37.5" x14ac:dyDescent="0.3">
      <c r="A308" s="34" t="s">
        <v>384</v>
      </c>
      <c r="B308" s="5">
        <f>390*$H308</f>
        <v>0</v>
      </c>
      <c r="C308" s="5">
        <f>29*$H308</f>
        <v>0</v>
      </c>
      <c r="D308" s="5">
        <f>18*$H308</f>
        <v>0</v>
      </c>
      <c r="E308" s="5">
        <f>30*$H308</f>
        <v>0</v>
      </c>
      <c r="F308" s="5">
        <f>21*$H308</f>
        <v>0</v>
      </c>
      <c r="G308" s="5">
        <f>6*$H308</f>
        <v>0</v>
      </c>
      <c r="J308" s="2">
        <v>11</v>
      </c>
      <c r="L308" s="5">
        <f>Index[[#This Row],[Calories]]-(Index[[#This Row],[Fat Removed]]*Index[[#This Row],[Fat Calories]])</f>
        <v>0</v>
      </c>
      <c r="M308" s="5">
        <f>Index[[#This Row],[Fat ]]*9</f>
        <v>0</v>
      </c>
    </row>
    <row r="309" spans="1:13" ht="56.25" x14ac:dyDescent="0.3">
      <c r="A309" s="34" t="s">
        <v>385</v>
      </c>
      <c r="B309" s="5">
        <f>210*$H309</f>
        <v>0</v>
      </c>
      <c r="C309" s="5">
        <f>16*$H309</f>
        <v>0</v>
      </c>
      <c r="D309" s="5">
        <f>11*$H309</f>
        <v>0</v>
      </c>
      <c r="E309" s="5">
        <f>16*$H309</f>
        <v>0</v>
      </c>
      <c r="F309" s="5">
        <f>9*$H309</f>
        <v>0</v>
      </c>
      <c r="G309" s="5">
        <f>3*$H309</f>
        <v>0</v>
      </c>
      <c r="I309" s="22" t="s">
        <v>386</v>
      </c>
      <c r="J309" s="2">
        <v>11</v>
      </c>
      <c r="L309" s="5">
        <f>Index[[#This Row],[Calories]]-(Index[[#This Row],[Fat Removed]]*Index[[#This Row],[Fat Calories]])</f>
        <v>0</v>
      </c>
      <c r="M309" s="5">
        <f>Index[[#This Row],[Fat ]]*9</f>
        <v>0</v>
      </c>
    </row>
    <row r="310" spans="1:13" ht="37.5" x14ac:dyDescent="0.3">
      <c r="A310" s="34" t="s">
        <v>387</v>
      </c>
      <c r="B310" s="5">
        <f>190*$H310</f>
        <v>0</v>
      </c>
      <c r="C310" s="5">
        <f>14*$H310</f>
        <v>0</v>
      </c>
      <c r="D310" s="5">
        <f t="shared" ref="D310:D312" si="37">8*$H310</f>
        <v>0</v>
      </c>
      <c r="E310" s="5">
        <f>16*$H310</f>
        <v>0</v>
      </c>
      <c r="F310" s="5">
        <f>9*$H310</f>
        <v>0</v>
      </c>
      <c r="G310" s="5">
        <f>3*$H310</f>
        <v>0</v>
      </c>
      <c r="I310" s="22" t="s">
        <v>386</v>
      </c>
      <c r="J310" s="2">
        <v>11</v>
      </c>
      <c r="L310" s="5">
        <f>Index[[#This Row],[Calories]]-(Index[[#This Row],[Fat Removed]]*Index[[#This Row],[Fat Calories]])</f>
        <v>0</v>
      </c>
      <c r="M310" s="5">
        <f>Index[[#This Row],[Fat ]]*9</f>
        <v>0</v>
      </c>
    </row>
    <row r="311" spans="1:13" ht="37.5" x14ac:dyDescent="0.3">
      <c r="A311" s="34" t="s">
        <v>388</v>
      </c>
      <c r="B311" s="5">
        <f>190*$H311</f>
        <v>0</v>
      </c>
      <c r="C311" s="5">
        <f>14*$H311</f>
        <v>0</v>
      </c>
      <c r="D311" s="5">
        <f t="shared" si="37"/>
        <v>0</v>
      </c>
      <c r="E311" s="5">
        <f>16*$H311</f>
        <v>0</v>
      </c>
      <c r="F311" s="5">
        <f>9*$H311</f>
        <v>0</v>
      </c>
      <c r="G311" s="5">
        <f>3*$H311</f>
        <v>0</v>
      </c>
      <c r="I311" s="22" t="s">
        <v>386</v>
      </c>
      <c r="J311" s="2">
        <v>11</v>
      </c>
      <c r="L311" s="5">
        <f>Index[[#This Row],[Calories]]-(Index[[#This Row],[Fat Removed]]*Index[[#This Row],[Fat Calories]])</f>
        <v>0</v>
      </c>
      <c r="M311" s="5">
        <f>Index[[#This Row],[Fat ]]*9</f>
        <v>0</v>
      </c>
    </row>
    <row r="312" spans="1:13" ht="37.5" x14ac:dyDescent="0.3">
      <c r="A312" s="34" t="s">
        <v>389</v>
      </c>
      <c r="B312" s="5">
        <f>190*$H312</f>
        <v>0</v>
      </c>
      <c r="C312" s="5">
        <f>14*$H312</f>
        <v>0</v>
      </c>
      <c r="D312" s="5">
        <f t="shared" si="37"/>
        <v>0</v>
      </c>
      <c r="E312" s="5">
        <f>16*$H312</f>
        <v>0</v>
      </c>
      <c r="F312" s="5">
        <f>9*$H312</f>
        <v>0</v>
      </c>
      <c r="G312" s="5">
        <f>3*$H312</f>
        <v>0</v>
      </c>
      <c r="I312" s="22" t="s">
        <v>386</v>
      </c>
      <c r="J312" s="2">
        <v>11</v>
      </c>
      <c r="L312" s="5">
        <f>Index[[#This Row],[Calories]]-(Index[[#This Row],[Fat Removed]]*Index[[#This Row],[Fat Calories]])</f>
        <v>0</v>
      </c>
      <c r="M312" s="5">
        <f>Index[[#This Row],[Fat ]]*9</f>
        <v>0</v>
      </c>
    </row>
    <row r="313" spans="1:13" ht="37.5" x14ac:dyDescent="0.3">
      <c r="A313" s="34" t="s">
        <v>390</v>
      </c>
      <c r="B313" s="5">
        <f>210*$H313</f>
        <v>0</v>
      </c>
      <c r="C313" s="5">
        <f>13*$H313</f>
        <v>0</v>
      </c>
      <c r="D313" s="5">
        <f>11*$H313</f>
        <v>0</v>
      </c>
      <c r="E313" s="5">
        <f>16*$H313</f>
        <v>0</v>
      </c>
      <c r="F313" s="5">
        <f>11*$H313</f>
        <v>0</v>
      </c>
      <c r="G313" s="5">
        <f>1*$H313</f>
        <v>0</v>
      </c>
      <c r="I313" s="22" t="s">
        <v>386</v>
      </c>
      <c r="J313" s="2">
        <v>11</v>
      </c>
      <c r="L313" s="5">
        <f>Index[[#This Row],[Calories]]-(Index[[#This Row],[Fat Removed]]*Index[[#This Row],[Fat Calories]])</f>
        <v>0</v>
      </c>
      <c r="M313" s="5">
        <f>Index[[#This Row],[Fat ]]*9</f>
        <v>0</v>
      </c>
    </row>
    <row r="314" spans="1:13" ht="37.5" x14ac:dyDescent="0.3">
      <c r="A314" s="34" t="s">
        <v>391</v>
      </c>
      <c r="B314" s="5">
        <f>140*$H314</f>
        <v>0</v>
      </c>
      <c r="C314" s="5">
        <f>26*$H314</f>
        <v>0</v>
      </c>
      <c r="D314" s="5">
        <f>3*$H314</f>
        <v>0</v>
      </c>
      <c r="E314" s="5">
        <f>1*$H314</f>
        <v>0</v>
      </c>
      <c r="F314" s="5">
        <f>2*$H314</f>
        <v>0</v>
      </c>
      <c r="G314" s="5">
        <f>11*$H314</f>
        <v>0</v>
      </c>
      <c r="I314" s="22" t="s">
        <v>386</v>
      </c>
      <c r="J314" s="2">
        <v>11</v>
      </c>
      <c r="L314" s="5">
        <f>Index[[#This Row],[Calories]]-(Index[[#This Row],[Fat Removed]]*Index[[#This Row],[Fat Calories]])</f>
        <v>0</v>
      </c>
      <c r="M314" s="5">
        <f>Index[[#This Row],[Fat ]]*9</f>
        <v>0</v>
      </c>
    </row>
    <row r="315" spans="1:13" ht="37.5" x14ac:dyDescent="0.3">
      <c r="A315" s="34" t="s">
        <v>392</v>
      </c>
      <c r="B315" s="5">
        <f t="shared" ref="B315:B318" si="38">140*$H315</f>
        <v>0</v>
      </c>
      <c r="C315" s="5">
        <f t="shared" ref="C315:C318" si="39">26*$H315</f>
        <v>0</v>
      </c>
      <c r="D315" s="5">
        <f t="shared" ref="D315:D318" si="40">3*$H315</f>
        <v>0</v>
      </c>
      <c r="E315" s="5">
        <f t="shared" ref="E315:E318" si="41">1*$H315</f>
        <v>0</v>
      </c>
      <c r="F315" s="5">
        <f t="shared" ref="F315:F318" si="42">2*$H315</f>
        <v>0</v>
      </c>
      <c r="G315" s="5">
        <f t="shared" ref="G315:G318" si="43">11*$H315</f>
        <v>0</v>
      </c>
      <c r="I315" s="22" t="s">
        <v>386</v>
      </c>
      <c r="J315" s="2">
        <v>11</v>
      </c>
      <c r="L315" s="5">
        <f>Index[[#This Row],[Calories]]-(Index[[#This Row],[Fat Removed]]*Index[[#This Row],[Fat Calories]])</f>
        <v>0</v>
      </c>
      <c r="M315" s="5">
        <f>Index[[#This Row],[Fat ]]*9</f>
        <v>0</v>
      </c>
    </row>
    <row r="316" spans="1:13" ht="37.5" x14ac:dyDescent="0.3">
      <c r="A316" s="34" t="s">
        <v>393</v>
      </c>
      <c r="B316" s="5">
        <f t="shared" si="38"/>
        <v>0</v>
      </c>
      <c r="C316" s="5">
        <f t="shared" si="39"/>
        <v>0</v>
      </c>
      <c r="D316" s="5">
        <f t="shared" si="40"/>
        <v>0</v>
      </c>
      <c r="E316" s="5">
        <f t="shared" si="41"/>
        <v>0</v>
      </c>
      <c r="F316" s="5">
        <f t="shared" si="42"/>
        <v>0</v>
      </c>
      <c r="G316" s="5">
        <f t="shared" si="43"/>
        <v>0</v>
      </c>
      <c r="I316" s="22" t="s">
        <v>386</v>
      </c>
      <c r="J316" s="2">
        <v>11</v>
      </c>
      <c r="L316" s="5">
        <f>Index[[#This Row],[Calories]]-(Index[[#This Row],[Fat Removed]]*Index[[#This Row],[Fat Calories]])</f>
        <v>0</v>
      </c>
      <c r="M316" s="5">
        <f>Index[[#This Row],[Fat ]]*9</f>
        <v>0</v>
      </c>
    </row>
    <row r="317" spans="1:13" ht="37.5" x14ac:dyDescent="0.3">
      <c r="A317" s="34" t="s">
        <v>394</v>
      </c>
      <c r="B317" s="5">
        <f t="shared" si="38"/>
        <v>0</v>
      </c>
      <c r="C317" s="5">
        <f t="shared" si="39"/>
        <v>0</v>
      </c>
      <c r="D317" s="5">
        <f t="shared" si="40"/>
        <v>0</v>
      </c>
      <c r="E317" s="5">
        <f t="shared" si="41"/>
        <v>0</v>
      </c>
      <c r="F317" s="5">
        <f t="shared" si="42"/>
        <v>0</v>
      </c>
      <c r="G317" s="5">
        <f t="shared" si="43"/>
        <v>0</v>
      </c>
      <c r="I317" s="22" t="s">
        <v>386</v>
      </c>
      <c r="J317" s="2">
        <v>11</v>
      </c>
      <c r="L317" s="5">
        <f>Index[[#This Row],[Calories]]-(Index[[#This Row],[Fat Removed]]*Index[[#This Row],[Fat Calories]])</f>
        <v>0</v>
      </c>
      <c r="M317" s="5">
        <f>Index[[#This Row],[Fat ]]*9</f>
        <v>0</v>
      </c>
    </row>
    <row r="318" spans="1:13" ht="37.5" x14ac:dyDescent="0.3">
      <c r="A318" s="34" t="s">
        <v>395</v>
      </c>
      <c r="B318" s="5">
        <f t="shared" si="38"/>
        <v>0</v>
      </c>
      <c r="C318" s="5">
        <f t="shared" si="39"/>
        <v>0</v>
      </c>
      <c r="D318" s="5">
        <f t="shared" si="40"/>
        <v>0</v>
      </c>
      <c r="E318" s="5">
        <f t="shared" si="41"/>
        <v>0</v>
      </c>
      <c r="F318" s="5">
        <f t="shared" si="42"/>
        <v>0</v>
      </c>
      <c r="G318" s="5">
        <f t="shared" si="43"/>
        <v>0</v>
      </c>
      <c r="I318" s="22" t="s">
        <v>386</v>
      </c>
      <c r="J318" s="2">
        <v>11</v>
      </c>
      <c r="L318" s="5">
        <f>Index[[#This Row],[Calories]]-(Index[[#This Row],[Fat Removed]]*Index[[#This Row],[Fat Calories]])</f>
        <v>0</v>
      </c>
      <c r="M318" s="5">
        <f>Index[[#This Row],[Fat ]]*9</f>
        <v>0</v>
      </c>
    </row>
    <row r="319" spans="1:13" ht="37.5" x14ac:dyDescent="0.3">
      <c r="A319" s="34" t="s">
        <v>396</v>
      </c>
      <c r="B319" s="5">
        <f>180*$H319</f>
        <v>0</v>
      </c>
      <c r="C319" s="5">
        <f>14*$H319</f>
        <v>0</v>
      </c>
      <c r="D319" s="5">
        <f>14*$H319</f>
        <v>0</v>
      </c>
      <c r="E319" s="5">
        <f>10*$H319</f>
        <v>0</v>
      </c>
      <c r="F319" s="5">
        <f>3*$H319</f>
        <v>0</v>
      </c>
      <c r="G319" s="5">
        <f>2*$H319</f>
        <v>0</v>
      </c>
      <c r="I319" s="22" t="s">
        <v>397</v>
      </c>
      <c r="J319" s="2">
        <v>11</v>
      </c>
      <c r="L319" s="5">
        <f>Index[[#This Row],[Calories]]-(Index[[#This Row],[Fat Removed]]*Index[[#This Row],[Fat Calories]])</f>
        <v>0</v>
      </c>
      <c r="M319" s="5">
        <f>Index[[#This Row],[Fat ]]*9</f>
        <v>0</v>
      </c>
    </row>
    <row r="320" spans="1:13" ht="37.5" x14ac:dyDescent="0.3">
      <c r="A320" s="34" t="s">
        <v>398</v>
      </c>
      <c r="B320" s="5">
        <f>170*$H320</f>
        <v>0</v>
      </c>
      <c r="C320" s="5">
        <f>9*$H320</f>
        <v>0</v>
      </c>
      <c r="D320" s="5">
        <f>13*$H320</f>
        <v>0</v>
      </c>
      <c r="E320" s="5">
        <f>10*$H320</f>
        <v>0</v>
      </c>
      <c r="F320" s="5">
        <f>6*$H320</f>
        <v>0</v>
      </c>
      <c r="G320" s="5">
        <f>1*$H320</f>
        <v>0</v>
      </c>
      <c r="I320" s="22" t="s">
        <v>397</v>
      </c>
      <c r="J320" s="2">
        <v>11</v>
      </c>
      <c r="L320" s="5">
        <f>Index[[#This Row],[Calories]]-(Index[[#This Row],[Fat Removed]]*Index[[#This Row],[Fat Calories]])</f>
        <v>0</v>
      </c>
      <c r="M320" s="5">
        <f>Index[[#This Row],[Fat ]]*9</f>
        <v>0</v>
      </c>
    </row>
    <row r="321" spans="1:13" ht="37.5" x14ac:dyDescent="0.3">
      <c r="A321" s="34" t="s">
        <v>399</v>
      </c>
      <c r="B321" s="5">
        <f>240*$H321</f>
        <v>0</v>
      </c>
      <c r="C321" s="5">
        <f>23*$H321</f>
        <v>0</v>
      </c>
      <c r="D321" s="5">
        <f>10*$H321</f>
        <v>0</v>
      </c>
      <c r="E321" s="5">
        <f>20*$H321</f>
        <v>0</v>
      </c>
      <c r="F321" s="5">
        <f>11*$H321</f>
        <v>0</v>
      </c>
      <c r="G321" s="5">
        <f>0*$H321</f>
        <v>0</v>
      </c>
      <c r="I321" s="22" t="s">
        <v>397</v>
      </c>
      <c r="J321" s="2">
        <v>11</v>
      </c>
      <c r="L321" s="5">
        <f>Index[[#This Row],[Calories]]-(Index[[#This Row],[Fat Removed]]*Index[[#This Row],[Fat Calories]])</f>
        <v>0</v>
      </c>
      <c r="M321" s="5">
        <f>Index[[#This Row],[Fat ]]*9</f>
        <v>0</v>
      </c>
    </row>
    <row r="322" spans="1:13" ht="37.5" x14ac:dyDescent="0.3">
      <c r="A322" s="34" t="s">
        <v>400</v>
      </c>
      <c r="B322" s="5">
        <f>230*$H322</f>
        <v>0</v>
      </c>
      <c r="C322" s="5">
        <f>23*$H322</f>
        <v>0</v>
      </c>
      <c r="D322" s="5">
        <f t="shared" ref="D322:D323" si="44">8*$H322</f>
        <v>0</v>
      </c>
      <c r="E322" s="5">
        <f>20*$H322</f>
        <v>0</v>
      </c>
      <c r="F322" s="5">
        <f>12*$H322</f>
        <v>0</v>
      </c>
      <c r="G322" s="5">
        <f>0*$H322</f>
        <v>0</v>
      </c>
      <c r="I322" s="22" t="s">
        <v>397</v>
      </c>
      <c r="J322" s="2">
        <v>11</v>
      </c>
      <c r="L322" s="5">
        <f>Index[[#This Row],[Calories]]-(Index[[#This Row],[Fat Removed]]*Index[[#This Row],[Fat Calories]])</f>
        <v>0</v>
      </c>
      <c r="M322" s="5">
        <f>Index[[#This Row],[Fat ]]*9</f>
        <v>0</v>
      </c>
    </row>
    <row r="323" spans="1:13" ht="37.5" x14ac:dyDescent="0.3">
      <c r="A323" s="34" t="s">
        <v>401</v>
      </c>
      <c r="B323" s="5">
        <f>230*$H323</f>
        <v>0</v>
      </c>
      <c r="C323" s="5">
        <f>24*$H323</f>
        <v>0</v>
      </c>
      <c r="D323" s="5">
        <f t="shared" si="44"/>
        <v>0</v>
      </c>
      <c r="E323" s="5">
        <f>20*$H323</f>
        <v>0</v>
      </c>
      <c r="F323" s="5">
        <f>13*$H323</f>
        <v>0</v>
      </c>
      <c r="G323" s="5">
        <f>0*$H323</f>
        <v>0</v>
      </c>
      <c r="I323" s="22" t="s">
        <v>397</v>
      </c>
      <c r="J323" s="2">
        <v>11</v>
      </c>
      <c r="L323" s="5">
        <f>Index[[#This Row],[Calories]]-(Index[[#This Row],[Fat Removed]]*Index[[#This Row],[Fat Calories]])</f>
        <v>0</v>
      </c>
      <c r="M323" s="5">
        <f>Index[[#This Row],[Fat ]]*9</f>
        <v>0</v>
      </c>
    </row>
    <row r="324" spans="1:13" ht="37.5" x14ac:dyDescent="0.3">
      <c r="A324" s="34" t="s">
        <v>402</v>
      </c>
      <c r="B324" s="5">
        <f>180*$H324</f>
        <v>0</v>
      </c>
      <c r="C324" s="5">
        <f>21*$H324</f>
        <v>0</v>
      </c>
      <c r="D324" s="5">
        <f>6*$H324</f>
        <v>0</v>
      </c>
      <c r="E324" s="5">
        <f>12*$H324</f>
        <v>0</v>
      </c>
      <c r="F324" s="5">
        <f>6*$H324</f>
        <v>0</v>
      </c>
      <c r="G324" s="5">
        <f>21*$H324</f>
        <v>0</v>
      </c>
      <c r="J324" s="2">
        <v>11</v>
      </c>
      <c r="L324" s="5">
        <f>Index[[#This Row],[Calories]]-(Index[[#This Row],[Fat Removed]]*Index[[#This Row],[Fat Calories]])</f>
        <v>0</v>
      </c>
      <c r="M324" s="5">
        <f>Index[[#This Row],[Fat ]]*9</f>
        <v>0</v>
      </c>
    </row>
    <row r="325" spans="1:13" ht="37.5" x14ac:dyDescent="0.3">
      <c r="A325" s="34" t="s">
        <v>403</v>
      </c>
      <c r="B325" s="5">
        <f>190*$H325</f>
        <v>0</v>
      </c>
      <c r="C325" s="5">
        <f>18*$H325</f>
        <v>0</v>
      </c>
      <c r="D325" s="5">
        <f>10*$H325</f>
        <v>0</v>
      </c>
      <c r="E325" s="5">
        <f>15*$H325</f>
        <v>0</v>
      </c>
      <c r="F325" s="5">
        <f>15*$H325</f>
        <v>0</v>
      </c>
      <c r="G325" s="5">
        <f>1*$H325</f>
        <v>0</v>
      </c>
      <c r="J325" s="2">
        <v>11</v>
      </c>
      <c r="L325" s="5">
        <f>Index[[#This Row],[Calories]]-(Index[[#This Row],[Fat Removed]]*Index[[#This Row],[Fat Calories]])</f>
        <v>0</v>
      </c>
      <c r="M325" s="5">
        <f>Index[[#This Row],[Fat ]]*9</f>
        <v>0</v>
      </c>
    </row>
    <row r="326" spans="1:13" ht="37.5" x14ac:dyDescent="0.3">
      <c r="A326" s="34" t="s">
        <v>404</v>
      </c>
      <c r="B326" s="5">
        <f>350*$H326</f>
        <v>0</v>
      </c>
      <c r="C326" s="5">
        <f>41*$H326</f>
        <v>0</v>
      </c>
      <c r="D326" s="5">
        <f>13*$H326</f>
        <v>0</v>
      </c>
      <c r="E326" s="5">
        <f>20*$H326</f>
        <v>0</v>
      </c>
      <c r="F326" s="5">
        <f>2*$H326</f>
        <v>0</v>
      </c>
      <c r="G326" s="5">
        <f>29*$H326</f>
        <v>0</v>
      </c>
      <c r="J326" s="2">
        <v>11</v>
      </c>
      <c r="L326" s="5">
        <f>Index[[#This Row],[Calories]]-(Index[[#This Row],[Fat Removed]]*Index[[#This Row],[Fat Calories]])</f>
        <v>0</v>
      </c>
      <c r="M326" s="5">
        <f>Index[[#This Row],[Fat ]]*9</f>
        <v>0</v>
      </c>
    </row>
    <row r="327" spans="1:13" ht="37.5" x14ac:dyDescent="0.3">
      <c r="A327" s="34" t="s">
        <v>405</v>
      </c>
      <c r="B327" s="5">
        <f>170*$H327</f>
        <v>0</v>
      </c>
      <c r="C327" s="5">
        <f>3*$H327</f>
        <v>0</v>
      </c>
      <c r="D327" s="5">
        <f>5*$H327</f>
        <v>0</v>
      </c>
      <c r="E327" s="5">
        <f>27*$H327</f>
        <v>0</v>
      </c>
      <c r="F327" s="5">
        <f>1*$H327</f>
        <v>0</v>
      </c>
      <c r="G327" s="5">
        <f>0.5*$H327</f>
        <v>0</v>
      </c>
      <c r="I327" s="22" t="s">
        <v>406</v>
      </c>
      <c r="J327" s="2">
        <v>11</v>
      </c>
      <c r="L327" s="5">
        <f>Index[[#This Row],[Calories]]-(Index[[#This Row],[Fat Removed]]*Index[[#This Row],[Fat Calories]])</f>
        <v>0</v>
      </c>
      <c r="M327" s="5">
        <f>Index[[#This Row],[Fat ]]*9</f>
        <v>0</v>
      </c>
    </row>
    <row r="328" spans="1:13" ht="37.5" x14ac:dyDescent="0.3">
      <c r="A328" s="34" t="s">
        <v>407</v>
      </c>
      <c r="B328" s="5">
        <f>170*$H328</f>
        <v>0</v>
      </c>
      <c r="C328" s="5">
        <f>3*$H328</f>
        <v>0</v>
      </c>
      <c r="D328" s="5">
        <f>5*$H328</f>
        <v>0</v>
      </c>
      <c r="E328" s="5">
        <f>27*$H328</f>
        <v>0</v>
      </c>
      <c r="F328" s="5">
        <f>1*$H328</f>
        <v>0</v>
      </c>
      <c r="G328" s="5">
        <f>0.5*$H328</f>
        <v>0</v>
      </c>
      <c r="I328" s="22" t="s">
        <v>406</v>
      </c>
      <c r="J328" s="2">
        <v>11</v>
      </c>
      <c r="L328" s="5">
        <f>Index[[#This Row],[Calories]]-(Index[[#This Row],[Fat Removed]]*Index[[#This Row],[Fat Calories]])</f>
        <v>0</v>
      </c>
      <c r="M328" s="5">
        <f>Index[[#This Row],[Fat ]]*9</f>
        <v>0</v>
      </c>
    </row>
    <row r="329" spans="1:13" ht="37.5" x14ac:dyDescent="0.3">
      <c r="A329" s="34" t="s">
        <v>408</v>
      </c>
      <c r="B329" s="5">
        <f>180*$H329</f>
        <v>0</v>
      </c>
      <c r="C329" s="5">
        <f>4*$H329</f>
        <v>0</v>
      </c>
      <c r="D329" s="5">
        <f>5.5*$H329</f>
        <v>0</v>
      </c>
      <c r="E329" s="5">
        <f>27*$H329</f>
        <v>0</v>
      </c>
      <c r="F329" s="5">
        <f>1.5*$H329</f>
        <v>0</v>
      </c>
      <c r="G329" s="5">
        <f>0.5*$H329</f>
        <v>0</v>
      </c>
      <c r="I329" s="22" t="s">
        <v>406</v>
      </c>
      <c r="J329" s="2">
        <v>11</v>
      </c>
      <c r="L329" s="5">
        <f>Index[[#This Row],[Calories]]-(Index[[#This Row],[Fat Removed]]*Index[[#This Row],[Fat Calories]])</f>
        <v>0</v>
      </c>
      <c r="M329" s="5">
        <f>Index[[#This Row],[Fat ]]*9</f>
        <v>0</v>
      </c>
    </row>
    <row r="330" spans="1:13" ht="26.25" x14ac:dyDescent="0.4">
      <c r="B330" s="5"/>
      <c r="C330" s="5"/>
      <c r="D330" s="5"/>
      <c r="E330" s="5"/>
      <c r="F330" s="5"/>
      <c r="G330" s="62" t="s">
        <v>409</v>
      </c>
      <c r="J330" s="2">
        <v>11.01</v>
      </c>
      <c r="L330" s="5"/>
      <c r="M330" s="5"/>
    </row>
    <row r="331" spans="1:13" ht="37.5" x14ac:dyDescent="0.3">
      <c r="A331" s="34" t="s">
        <v>410</v>
      </c>
      <c r="B331" s="5">
        <f>240*$H331</f>
        <v>0</v>
      </c>
      <c r="C331" s="5">
        <f>33*$H331</f>
        <v>0</v>
      </c>
      <c r="D331" s="5">
        <f>12*$H331</f>
        <v>0</v>
      </c>
      <c r="E331" s="5">
        <f>2*$H331</f>
        <v>0</v>
      </c>
      <c r="F331" s="5">
        <f>1*$H331</f>
        <v>0</v>
      </c>
      <c r="G331" s="5">
        <f>19*$H331</f>
        <v>0</v>
      </c>
      <c r="I331" s="22" t="s">
        <v>411</v>
      </c>
      <c r="J331" s="2">
        <v>12</v>
      </c>
      <c r="L331" s="5">
        <f>Index[[#This Row],[Calories]]-(Index[[#This Row],[Fat Removed]]*Index[[#This Row],[Fat Calories]])</f>
        <v>0</v>
      </c>
      <c r="M331" s="5">
        <f>Index[[#This Row],[Fat ]]*9</f>
        <v>0</v>
      </c>
    </row>
    <row r="332" spans="1:13" ht="37.5" x14ac:dyDescent="0.3">
      <c r="A332" s="34" t="s">
        <v>412</v>
      </c>
      <c r="B332" s="5">
        <f>280*$H332</f>
        <v>0</v>
      </c>
      <c r="C332" s="5">
        <f>31*$H332</f>
        <v>0</v>
      </c>
      <c r="D332" s="5">
        <f>17*$H332</f>
        <v>0</v>
      </c>
      <c r="E332" s="5">
        <f>2*$H332</f>
        <v>0</v>
      </c>
      <c r="F332" s="5">
        <f>1*$H332</f>
        <v>0</v>
      </c>
      <c r="G332" s="5">
        <f>18*$H332</f>
        <v>0</v>
      </c>
      <c r="I332" s="22" t="s">
        <v>411</v>
      </c>
      <c r="J332" s="2">
        <v>12</v>
      </c>
      <c r="L332" s="5">
        <f>Index[[#This Row],[Calories]]-(Index[[#This Row],[Fat Removed]]*Index[[#This Row],[Fat Calories]])</f>
        <v>0</v>
      </c>
      <c r="M332" s="5">
        <f>Index[[#This Row],[Fat ]]*9</f>
        <v>0</v>
      </c>
    </row>
    <row r="333" spans="1:13" ht="37.5" x14ac:dyDescent="0.3">
      <c r="A333" s="34" t="s">
        <v>413</v>
      </c>
      <c r="B333" s="5">
        <f>170*$H333</f>
        <v>0</v>
      </c>
      <c r="C333" s="5">
        <f>29*$H333</f>
        <v>0</v>
      </c>
      <c r="D333" s="5">
        <f>6*$H333</f>
        <v>0</v>
      </c>
      <c r="E333" s="5">
        <f>1*$H333</f>
        <v>0</v>
      </c>
      <c r="F333" s="5">
        <f>1*$H333</f>
        <v>0</v>
      </c>
      <c r="G333" s="5">
        <f>19*$H333</f>
        <v>0</v>
      </c>
      <c r="J333" s="2">
        <v>12</v>
      </c>
      <c r="L333" s="5">
        <f>Index[[#This Row],[Calories]]-(Index[[#This Row],[Fat Removed]]*Index[[#This Row],[Fat Calories]])</f>
        <v>0</v>
      </c>
      <c r="M333" s="5">
        <f>Index[[#This Row],[Fat ]]*9</f>
        <v>0</v>
      </c>
    </row>
    <row r="334" spans="1:13" x14ac:dyDescent="0.3">
      <c r="A334" s="34" t="s">
        <v>414</v>
      </c>
      <c r="B334" s="5">
        <f>37*$H334</f>
        <v>0</v>
      </c>
      <c r="C334" s="5">
        <f>5.8*$H334</f>
        <v>0</v>
      </c>
      <c r="D334" s="5">
        <f>1.4*$H334</f>
        <v>0</v>
      </c>
      <c r="E334" s="5">
        <f>0.3*$H334</f>
        <v>0</v>
      </c>
      <c r="F334" s="5">
        <f>0.1*$H334</f>
        <v>0</v>
      </c>
      <c r="G334" s="5">
        <f>4.9*$H334</f>
        <v>0</v>
      </c>
      <c r="J334" s="2">
        <v>12</v>
      </c>
      <c r="L334" s="5">
        <f>Index[[#This Row],[Calories]]-(Index[[#This Row],[Fat Removed]]*Index[[#This Row],[Fat Calories]])</f>
        <v>0</v>
      </c>
      <c r="M334" s="5">
        <f>Index[[#This Row],[Fat ]]*9</f>
        <v>0</v>
      </c>
    </row>
    <row r="335" spans="1:13" x14ac:dyDescent="0.3">
      <c r="A335" s="34" t="s">
        <v>415</v>
      </c>
      <c r="B335" s="5">
        <f>140*$H335</f>
        <v>0</v>
      </c>
      <c r="C335" s="5">
        <f>24*$H335</f>
        <v>0</v>
      </c>
      <c r="D335" s="5">
        <f>4.7*$H335</f>
        <v>0</v>
      </c>
      <c r="E335" s="5">
        <f>0.7*$H335</f>
        <v>0</v>
      </c>
      <c r="F335" s="5">
        <f>0*$H335</f>
        <v>0</v>
      </c>
      <c r="G335" s="5">
        <f>19*$H335</f>
        <v>0</v>
      </c>
      <c r="I335" s="22" t="s">
        <v>416</v>
      </c>
      <c r="J335" s="2">
        <v>12</v>
      </c>
      <c r="L335" s="5">
        <f>Index[[#This Row],[Calories]]-(Index[[#This Row],[Fat Removed]]*Index[[#This Row],[Fat Calories]])</f>
        <v>0</v>
      </c>
      <c r="M335" s="5">
        <f>Index[[#This Row],[Fat ]]*9</f>
        <v>0</v>
      </c>
    </row>
    <row r="336" spans="1:13" x14ac:dyDescent="0.3">
      <c r="A336" s="34" t="s">
        <v>417</v>
      </c>
      <c r="B336" s="5">
        <f>140*$H336</f>
        <v>0</v>
      </c>
      <c r="C336" s="5">
        <f>26*$H336</f>
        <v>0</v>
      </c>
      <c r="D336" s="5">
        <f>3*$H336</f>
        <v>0</v>
      </c>
      <c r="E336" s="5">
        <f>3*$H336</f>
        <v>0</v>
      </c>
      <c r="F336" s="5">
        <f>0*$H336</f>
        <v>0</v>
      </c>
      <c r="G336" s="5">
        <f>12*$H336</f>
        <v>0</v>
      </c>
      <c r="I336" s="22" t="s">
        <v>418</v>
      </c>
      <c r="J336" s="2">
        <v>12</v>
      </c>
      <c r="L336" s="5">
        <f>Index[[#This Row],[Calories]]-(Index[[#This Row],[Fat Removed]]*Index[[#This Row],[Fat Calories]])</f>
        <v>0</v>
      </c>
      <c r="M336" s="5">
        <f>Index[[#This Row],[Fat ]]*9</f>
        <v>0</v>
      </c>
    </row>
    <row r="337" spans="1:13" x14ac:dyDescent="0.3">
      <c r="A337" s="34" t="s">
        <v>419</v>
      </c>
      <c r="B337" s="5">
        <f>92*$H337</f>
        <v>0</v>
      </c>
      <c r="C337" s="5">
        <f>16*$H337</f>
        <v>0</v>
      </c>
      <c r="D337" s="5">
        <f>3.2*$H337</f>
        <v>0</v>
      </c>
      <c r="E337" s="5">
        <f>0.8*$H337</f>
        <v>0</v>
      </c>
      <c r="F337" s="5">
        <f>0.2*$H337</f>
        <v>0</v>
      </c>
      <c r="G337" s="5">
        <f>15*$H337</f>
        <v>0</v>
      </c>
      <c r="I337" s="22" t="s">
        <v>420</v>
      </c>
      <c r="J337" s="2">
        <v>12</v>
      </c>
      <c r="L337" s="5">
        <f>Index[[#This Row],[Calories]]-(Index[[#This Row],[Fat Removed]]*Index[[#This Row],[Fat Calories]])</f>
        <v>0</v>
      </c>
      <c r="M337" s="5">
        <f>Index[[#This Row],[Fat ]]*9</f>
        <v>0</v>
      </c>
    </row>
    <row r="338" spans="1:13" x14ac:dyDescent="0.3">
      <c r="A338" s="34" t="s">
        <v>421</v>
      </c>
      <c r="B338" s="5">
        <f>20*$H338</f>
        <v>0</v>
      </c>
      <c r="C338" s="5">
        <f>4.3*$H338</f>
        <v>0</v>
      </c>
      <c r="D338" s="5">
        <f>0.4*$H338</f>
        <v>0</v>
      </c>
      <c r="E338" s="5">
        <f>0*$H338</f>
        <v>0</v>
      </c>
      <c r="F338" s="5">
        <f>0*$H338</f>
        <v>0</v>
      </c>
      <c r="G338" s="5">
        <f>2.8*$H338</f>
        <v>0</v>
      </c>
      <c r="I338" s="22" t="s">
        <v>422</v>
      </c>
      <c r="J338" s="2">
        <v>12</v>
      </c>
      <c r="L338" s="5">
        <f>Index[[#This Row],[Calories]]-(Index[[#This Row],[Fat Removed]]*Index[[#This Row],[Fat Calories]])</f>
        <v>0</v>
      </c>
      <c r="M338" s="5">
        <f>Index[[#This Row],[Fat ]]*9</f>
        <v>0</v>
      </c>
    </row>
    <row r="339" spans="1:13" x14ac:dyDescent="0.3">
      <c r="A339" s="34" t="s">
        <v>423</v>
      </c>
      <c r="B339" s="5">
        <f>25*$H339</f>
        <v>0</v>
      </c>
      <c r="C339" s="5">
        <f>6*$H339</f>
        <v>0</v>
      </c>
      <c r="D339" s="5">
        <f>0*$H339</f>
        <v>0</v>
      </c>
      <c r="E339" s="5">
        <f>0*$H339</f>
        <v>0</v>
      </c>
      <c r="F339" s="5">
        <f>0*$H339</f>
        <v>0</v>
      </c>
      <c r="G339" s="5">
        <f>6*$H339</f>
        <v>0</v>
      </c>
      <c r="I339" s="22" t="s">
        <v>424</v>
      </c>
      <c r="J339" s="2">
        <v>12</v>
      </c>
      <c r="L339" s="5">
        <f>Index[[#This Row],[Calories]]-(Index[[#This Row],[Fat Removed]]*Index[[#This Row],[Fat Calories]])</f>
        <v>0</v>
      </c>
      <c r="M339" s="5">
        <f>Index[[#This Row],[Fat ]]*9</f>
        <v>0</v>
      </c>
    </row>
    <row r="340" spans="1:13" x14ac:dyDescent="0.3">
      <c r="A340" s="34" t="s">
        <v>425</v>
      </c>
      <c r="B340" s="5">
        <f>140*$H340</f>
        <v>0</v>
      </c>
      <c r="C340" s="5">
        <f>13*$H340</f>
        <v>0</v>
      </c>
      <c r="D340" s="5">
        <f>8*$H340</f>
        <v>0</v>
      </c>
      <c r="E340" s="5">
        <f>3*$H340</f>
        <v>0</v>
      </c>
      <c r="F340" s="5">
        <f>1*$H340</f>
        <v>0</v>
      </c>
      <c r="G340" s="5">
        <f>8*$H340</f>
        <v>0</v>
      </c>
      <c r="I340" s="22" t="s">
        <v>426</v>
      </c>
      <c r="J340" s="2">
        <v>12</v>
      </c>
      <c r="L340" s="5">
        <f>Index[[#This Row],[Calories]]-(Index[[#This Row],[Fat Removed]]*Index[[#This Row],[Fat Calories]])</f>
        <v>0</v>
      </c>
      <c r="M340" s="5">
        <f>Index[[#This Row],[Fat ]]*9</f>
        <v>0</v>
      </c>
    </row>
    <row r="341" spans="1:13" x14ac:dyDescent="0.3">
      <c r="A341" s="34" t="s">
        <v>427</v>
      </c>
      <c r="B341" s="5">
        <f>120*$H341</f>
        <v>0</v>
      </c>
      <c r="C341" s="5">
        <f>11*$H341</f>
        <v>0</v>
      </c>
      <c r="D341" s="5">
        <f>8*$H341</f>
        <v>0</v>
      </c>
      <c r="E341" s="5">
        <f>2*$H341</f>
        <v>0</v>
      </c>
      <c r="F341" s="5">
        <f>0*$H341</f>
        <v>0</v>
      </c>
      <c r="G341" s="5">
        <f>10*$H341</f>
        <v>0</v>
      </c>
      <c r="I341" s="22" t="s">
        <v>397</v>
      </c>
      <c r="J341" s="2">
        <v>12</v>
      </c>
      <c r="L341" s="5">
        <f>Index[[#This Row],[Calories]]-(Index[[#This Row],[Fat Removed]]*Index[[#This Row],[Fat Calories]])</f>
        <v>0</v>
      </c>
      <c r="M341" s="5">
        <f>Index[[#This Row],[Fat ]]*9</f>
        <v>0</v>
      </c>
    </row>
    <row r="342" spans="1:13" ht="37.5" x14ac:dyDescent="0.3">
      <c r="A342" s="34" t="s">
        <v>561</v>
      </c>
      <c r="B342" s="5">
        <f>420*$H342</f>
        <v>0</v>
      </c>
      <c r="C342" s="5">
        <f>54*$H342</f>
        <v>0</v>
      </c>
      <c r="D342" s="5">
        <f>19*$H342</f>
        <v>0</v>
      </c>
      <c r="E342" s="5">
        <f>7*$H342</f>
        <v>0</v>
      </c>
      <c r="F342" s="5">
        <f>2*$H342</f>
        <v>0</v>
      </c>
      <c r="G342" s="5">
        <f>33*$H342</f>
        <v>0</v>
      </c>
      <c r="J342" s="2">
        <v>12</v>
      </c>
      <c r="L342" s="5">
        <f>Index[[#This Row],[Calories]]-(Index[[#This Row],[Fat Removed]]*Index[[#This Row],[Fat Calories]])</f>
        <v>0</v>
      </c>
      <c r="M342" s="5">
        <f>Index[[#This Row],[Fat ]]*9</f>
        <v>0</v>
      </c>
    </row>
    <row r="343" spans="1:13" ht="37.5" x14ac:dyDescent="0.3">
      <c r="A343" s="34" t="s">
        <v>646</v>
      </c>
      <c r="B343" s="5">
        <f>390*$H343</f>
        <v>0</v>
      </c>
      <c r="C343" s="5">
        <f>60*$H343</f>
        <v>0</v>
      </c>
      <c r="D343" s="5">
        <f>15*$H343</f>
        <v>0</v>
      </c>
      <c r="E343" s="5">
        <f>3*$H343</f>
        <v>0</v>
      </c>
      <c r="F343" s="5">
        <f>1*$H343</f>
        <v>0</v>
      </c>
      <c r="G343" s="5">
        <f>36*$H343</f>
        <v>0</v>
      </c>
      <c r="J343" s="2">
        <v>12</v>
      </c>
      <c r="L343" s="5">
        <f>Index[[#This Row],[Calories]]-(Index[[#This Row],[Fat Removed]]*Index[[#This Row],[Fat Calories]])</f>
        <v>0</v>
      </c>
      <c r="M343" s="5">
        <f>Index[[#This Row],[Fat ]]*9</f>
        <v>0</v>
      </c>
    </row>
    <row r="344" spans="1:13" ht="37.5" x14ac:dyDescent="0.3">
      <c r="A344" s="34" t="s">
        <v>562</v>
      </c>
      <c r="B344" s="5">
        <f>450*$H344</f>
        <v>0</v>
      </c>
      <c r="C344" s="5">
        <f>61*$H344</f>
        <v>0</v>
      </c>
      <c r="D344" s="5">
        <f>21*$H344</f>
        <v>0</v>
      </c>
      <c r="E344" s="5">
        <f>5*$H344</f>
        <v>0</v>
      </c>
      <c r="F344" s="5">
        <f>2*$H344</f>
        <v>0</v>
      </c>
      <c r="G344" s="5">
        <f>39*$H344</f>
        <v>0</v>
      </c>
      <c r="J344" s="2">
        <v>12</v>
      </c>
      <c r="L344" s="5">
        <f>Index[[#This Row],[Calories]]-(Index[[#This Row],[Fat Removed]]*Index[[#This Row],[Fat Calories]])</f>
        <v>0</v>
      </c>
      <c r="M344" s="5">
        <f>Index[[#This Row],[Fat ]]*9</f>
        <v>0</v>
      </c>
    </row>
    <row r="345" spans="1:13" x14ac:dyDescent="0.3">
      <c r="A345" s="34" t="s">
        <v>641</v>
      </c>
      <c r="B345" s="5">
        <f>590*$H345</f>
        <v>0</v>
      </c>
      <c r="C345" s="5">
        <f>65*$H345</f>
        <v>0</v>
      </c>
      <c r="D345" s="5">
        <f>32*$H345</f>
        <v>0</v>
      </c>
      <c r="E345" s="5">
        <f>9*$H345</f>
        <v>0</v>
      </c>
      <c r="F345" s="5">
        <f>2*$H345</f>
        <v>0</v>
      </c>
      <c r="G345" s="5">
        <f>23*$H345</f>
        <v>0</v>
      </c>
      <c r="J345" s="2">
        <v>12</v>
      </c>
      <c r="L345" s="5">
        <f>Index[[#This Row],[Calories]]-(Index[[#This Row],[Fat Removed]]*Index[[#This Row],[Fat Calories]])</f>
        <v>0</v>
      </c>
      <c r="M345" s="5">
        <f>Index[[#This Row],[Fat ]]*9</f>
        <v>0</v>
      </c>
    </row>
    <row r="346" spans="1:13" ht="23.25" customHeight="1" x14ac:dyDescent="0.3">
      <c r="A346" s="35" t="s">
        <v>642</v>
      </c>
      <c r="B346" s="5">
        <f>261*$H346</f>
        <v>0</v>
      </c>
      <c r="C346" s="5">
        <f>39*$H346</f>
        <v>0</v>
      </c>
      <c r="D346" s="5">
        <f>11*$H346</f>
        <v>0</v>
      </c>
      <c r="E346" s="5">
        <f>4*$H346</f>
        <v>0</v>
      </c>
      <c r="F346" s="5">
        <f t="shared" ref="F346" si="45">2*$H346</f>
        <v>0</v>
      </c>
      <c r="G346" s="5">
        <f>27*$H346</f>
        <v>0</v>
      </c>
      <c r="J346" s="2">
        <v>12</v>
      </c>
      <c r="L346" s="5">
        <f>Index[[#This Row],[Calories]]-(Index[[#This Row],[Fat Removed]]*Index[[#This Row],[Fat Calories]])</f>
        <v>0</v>
      </c>
      <c r="M346" s="5">
        <f>Index[[#This Row],[Fat ]]*9</f>
        <v>0</v>
      </c>
    </row>
    <row r="347" spans="1:13" ht="21" customHeight="1" x14ac:dyDescent="0.4">
      <c r="B347" s="5"/>
      <c r="C347" s="5"/>
      <c r="D347" s="5"/>
      <c r="E347" s="5"/>
      <c r="F347" s="5"/>
      <c r="G347" s="62" t="s">
        <v>428</v>
      </c>
      <c r="J347" s="2">
        <v>12.01</v>
      </c>
      <c r="L347" s="5"/>
      <c r="M347" s="5"/>
    </row>
    <row r="348" spans="1:13" ht="39" customHeight="1" x14ac:dyDescent="0.3">
      <c r="A348" s="34" t="s">
        <v>599</v>
      </c>
      <c r="B348" s="5">
        <f>265*$H348</f>
        <v>0</v>
      </c>
      <c r="C348" s="5">
        <f>26*$H348</f>
        <v>0</v>
      </c>
      <c r="D348" s="5">
        <f>11*$H348</f>
        <v>0</v>
      </c>
      <c r="E348" s="5">
        <f>14*$H348</f>
        <v>0</v>
      </c>
      <c r="F348" s="5">
        <f>1*$H348</f>
        <v>0</v>
      </c>
      <c r="G348" s="36">
        <f>2*$H348</f>
        <v>0</v>
      </c>
      <c r="I348" s="22" t="s">
        <v>613</v>
      </c>
      <c r="J348" s="2">
        <v>13</v>
      </c>
      <c r="L348" s="5">
        <f>Index[[#This Row],[Calories]]-(Index[[#This Row],[Fat Removed]]*Index[[#This Row],[Fat Calories]])</f>
        <v>0</v>
      </c>
      <c r="M348" s="5">
        <f>Index[[#This Row],[Fat ]]*9</f>
        <v>0</v>
      </c>
    </row>
    <row r="349" spans="1:13" ht="37.5" x14ac:dyDescent="0.3">
      <c r="A349" s="34" t="s">
        <v>600</v>
      </c>
      <c r="B349" s="5">
        <f>160*$H349</f>
        <v>0</v>
      </c>
      <c r="C349" s="5">
        <f>17*$H349</f>
        <v>0</v>
      </c>
      <c r="D349" s="5">
        <f>7*$H349</f>
        <v>0</v>
      </c>
      <c r="E349" s="5">
        <f>7*$H349</f>
        <v>0</v>
      </c>
      <c r="F349" s="5">
        <f>1*$H349</f>
        <v>0</v>
      </c>
      <c r="G349" s="36">
        <f>1*$H349</f>
        <v>0</v>
      </c>
      <c r="I349" s="22" t="s">
        <v>612</v>
      </c>
      <c r="J349" s="2">
        <v>13</v>
      </c>
      <c r="L349" s="5">
        <f>Index[[#This Row],[Calories]]-(Index[[#This Row],[Fat Removed]]*Index[[#This Row],[Fat Calories]])</f>
        <v>0</v>
      </c>
      <c r="M349" s="5">
        <f>Index[[#This Row],[Fat ]]*9</f>
        <v>0</v>
      </c>
    </row>
    <row r="350" spans="1:13" x14ac:dyDescent="0.3">
      <c r="A350" s="34" t="s">
        <v>601</v>
      </c>
      <c r="B350" s="5">
        <f>250*$H350</f>
        <v>0</v>
      </c>
      <c r="C350" s="5">
        <f>0*$H350</f>
        <v>0</v>
      </c>
      <c r="D350" s="5">
        <f>28*$H350</f>
        <v>0</v>
      </c>
      <c r="E350" s="5">
        <f>0*$H350</f>
        <v>0</v>
      </c>
      <c r="F350" s="5">
        <f>0*$H350</f>
        <v>0</v>
      </c>
      <c r="G350" s="36">
        <f>0*$H350</f>
        <v>0</v>
      </c>
      <c r="I350" s="22" t="s">
        <v>443</v>
      </c>
      <c r="J350" s="2">
        <v>13</v>
      </c>
      <c r="L350" s="5">
        <f>Index[[#This Row],[Calories]]-(Index[[#This Row],[Fat Removed]]*Index[[#This Row],[Fat Calories]])</f>
        <v>0</v>
      </c>
      <c r="M350" s="5">
        <f>Index[[#This Row],[Fat ]]*9</f>
        <v>0</v>
      </c>
    </row>
    <row r="351" spans="1:13" x14ac:dyDescent="0.3">
      <c r="A351" s="34" t="s">
        <v>602</v>
      </c>
      <c r="B351" s="5">
        <f>25*$H351</f>
        <v>0</v>
      </c>
      <c r="C351" s="5">
        <f>5*$H351</f>
        <v>0</v>
      </c>
      <c r="D351" s="5">
        <f>0*$H351</f>
        <v>0</v>
      </c>
      <c r="E351" s="5">
        <f>1*$H351</f>
        <v>0</v>
      </c>
      <c r="F351" s="5">
        <f>1*$H351</f>
        <v>0</v>
      </c>
      <c r="G351" s="36">
        <f>4*$H351</f>
        <v>0</v>
      </c>
      <c r="I351" s="22" t="s">
        <v>443</v>
      </c>
      <c r="J351" s="2">
        <v>13</v>
      </c>
      <c r="L351" s="5">
        <f>Index[[#This Row],[Calories]]-(Index[[#This Row],[Fat Removed]]*Index[[#This Row],[Fat Calories]])</f>
        <v>0</v>
      </c>
      <c r="M351" s="5">
        <f>Index[[#This Row],[Fat ]]*9</f>
        <v>0</v>
      </c>
    </row>
    <row r="352" spans="1:13" ht="37.5" x14ac:dyDescent="0.3">
      <c r="A352" s="34" t="s">
        <v>603</v>
      </c>
      <c r="B352" s="5">
        <f>240*$H352</f>
        <v>0</v>
      </c>
      <c r="C352" s="5">
        <f>26*$H352</f>
        <v>0</v>
      </c>
      <c r="D352" s="5">
        <f>11*$H352</f>
        <v>0</v>
      </c>
      <c r="E352" s="5">
        <f>12*$H352</f>
        <v>0</v>
      </c>
      <c r="F352" s="5">
        <f>2*$H352</f>
        <v>0</v>
      </c>
      <c r="G352" s="36">
        <f>2*$H352</f>
        <v>0</v>
      </c>
      <c r="I352" s="22" t="s">
        <v>610</v>
      </c>
      <c r="J352" s="2">
        <v>13</v>
      </c>
      <c r="L352" s="5">
        <f>Index[[#This Row],[Calories]]-(Index[[#This Row],[Fat Removed]]*Index[[#This Row],[Fat Calories]])</f>
        <v>0</v>
      </c>
      <c r="M352" s="5">
        <f>Index[[#This Row],[Fat ]]*9</f>
        <v>0</v>
      </c>
    </row>
    <row r="353" spans="1:13" x14ac:dyDescent="0.3">
      <c r="A353" s="34" t="s">
        <v>609</v>
      </c>
      <c r="B353" s="5">
        <f>100*$H353</f>
        <v>0</v>
      </c>
      <c r="C353" s="5">
        <f>11*$H353</f>
        <v>0</v>
      </c>
      <c r="D353" s="5">
        <f>4*$H353</f>
        <v>0</v>
      </c>
      <c r="E353" s="5">
        <f>5*$H353</f>
        <v>0</v>
      </c>
      <c r="F353" s="5">
        <f>0.5*$H353</f>
        <v>0</v>
      </c>
      <c r="G353" s="36">
        <f>1*$H353</f>
        <v>0</v>
      </c>
      <c r="I353" s="22" t="s">
        <v>608</v>
      </c>
      <c r="J353" s="2">
        <v>13</v>
      </c>
      <c r="L353" s="5">
        <f>Index[[#This Row],[Calories]]-(Index[[#This Row],[Fat Removed]]*Index[[#This Row],[Fat Calories]])</f>
        <v>0</v>
      </c>
      <c r="M353" s="5">
        <f>Index[[#This Row],[Fat ]]*9</f>
        <v>0</v>
      </c>
    </row>
    <row r="354" spans="1:13" x14ac:dyDescent="0.3">
      <c r="A354" s="34" t="s">
        <v>604</v>
      </c>
      <c r="B354" s="5">
        <f>80*$H354</f>
        <v>0</v>
      </c>
      <c r="C354" s="5">
        <f>13*$H354</f>
        <v>0</v>
      </c>
      <c r="D354" s="5">
        <f>2.5*$H354</f>
        <v>0</v>
      </c>
      <c r="E354" s="5">
        <f>2*$H354</f>
        <v>0</v>
      </c>
      <c r="F354" s="5">
        <f>0*$H354</f>
        <v>0</v>
      </c>
      <c r="G354" s="36">
        <f>4*$H354</f>
        <v>0</v>
      </c>
      <c r="I354" s="22" t="s">
        <v>608</v>
      </c>
      <c r="J354" s="2">
        <v>13</v>
      </c>
      <c r="L354" s="5">
        <f>Index[[#This Row],[Calories]]-(Index[[#This Row],[Fat Removed]]*Index[[#This Row],[Fat Calories]])</f>
        <v>0</v>
      </c>
      <c r="M354" s="5">
        <f>Index[[#This Row],[Fat ]]*9</f>
        <v>0</v>
      </c>
    </row>
    <row r="355" spans="1:13" x14ac:dyDescent="0.3">
      <c r="A355" s="34" t="s">
        <v>605</v>
      </c>
      <c r="B355" s="5">
        <f>100*$H355</f>
        <v>0</v>
      </c>
      <c r="C355" s="5">
        <f>3*$H355</f>
        <v>0</v>
      </c>
      <c r="D355" s="5">
        <f>10*$H355</f>
        <v>0</v>
      </c>
      <c r="E355" s="5">
        <f>0*$H355</f>
        <v>0</v>
      </c>
      <c r="F355" s="5">
        <f>0.5*$H355</f>
        <v>0</v>
      </c>
      <c r="G355" s="36">
        <f>0*$H355</f>
        <v>0</v>
      </c>
      <c r="I355" s="22" t="s">
        <v>611</v>
      </c>
      <c r="J355" s="2">
        <v>13</v>
      </c>
      <c r="L355" s="5">
        <f>Index[[#This Row],[Calories]]-(Index[[#This Row],[Fat Removed]]*Index[[#This Row],[Fat Calories]])</f>
        <v>0</v>
      </c>
      <c r="M355" s="5">
        <f>Index[[#This Row],[Fat ]]*9</f>
        <v>0</v>
      </c>
    </row>
    <row r="356" spans="1:13" x14ac:dyDescent="0.3">
      <c r="A356" s="34" t="s">
        <v>606</v>
      </c>
      <c r="B356" s="5">
        <f>45*$H356</f>
        <v>0</v>
      </c>
      <c r="C356" s="5">
        <f>9*$H356</f>
        <v>0</v>
      </c>
      <c r="D356" s="5">
        <f>0*$H356</f>
        <v>0</v>
      </c>
      <c r="E356" s="5">
        <f>1*$H356</f>
        <v>0</v>
      </c>
      <c r="F356" s="5">
        <f t="shared" ref="F356" si="46">2*$H356</f>
        <v>0</v>
      </c>
      <c r="G356" s="36">
        <f>6*$H356</f>
        <v>0</v>
      </c>
      <c r="I356" s="22" t="s">
        <v>443</v>
      </c>
      <c r="J356" s="2">
        <v>13</v>
      </c>
      <c r="L356" s="5">
        <f>Index[[#This Row],[Calories]]-(Index[[#This Row],[Fat Removed]]*Index[[#This Row],[Fat Calories]])</f>
        <v>0</v>
      </c>
      <c r="M356" s="5">
        <f>Index[[#This Row],[Fat ]]*9</f>
        <v>0</v>
      </c>
    </row>
    <row r="357" spans="1:13" x14ac:dyDescent="0.3">
      <c r="A357" s="34" t="s">
        <v>607</v>
      </c>
      <c r="B357" s="5">
        <f>180*$H357</f>
        <v>0</v>
      </c>
      <c r="C357" s="5">
        <f>44*$H357</f>
        <v>0</v>
      </c>
      <c r="D357" s="5">
        <f>0*$H357</f>
        <v>0</v>
      </c>
      <c r="E357" s="5">
        <f t="shared" ref="E357" si="47">0*$H357</f>
        <v>0</v>
      </c>
      <c r="F357" s="5">
        <f>0.5*$H357</f>
        <v>0</v>
      </c>
      <c r="G357" s="36">
        <f>38*$H357</f>
        <v>0</v>
      </c>
      <c r="I357" s="22" t="s">
        <v>443</v>
      </c>
      <c r="J357" s="2">
        <v>13</v>
      </c>
      <c r="L357" s="5">
        <f>Index[[#This Row],[Calories]]-(Index[[#This Row],[Fat Removed]]*Index[[#This Row],[Fat Calories]])</f>
        <v>0</v>
      </c>
      <c r="M357" s="5">
        <f>Index[[#This Row],[Fat ]]*9</f>
        <v>0</v>
      </c>
    </row>
    <row r="358" spans="1:13" ht="37.5" x14ac:dyDescent="0.3">
      <c r="A358" s="34" t="s">
        <v>628</v>
      </c>
      <c r="B358" s="5">
        <f>300*$H358</f>
        <v>0</v>
      </c>
      <c r="C358" s="5">
        <f>34*$H358</f>
        <v>0</v>
      </c>
      <c r="D358" s="5">
        <f>12*$H358</f>
        <v>0</v>
      </c>
      <c r="E358" s="5">
        <f>13*$H358</f>
        <v>0</v>
      </c>
      <c r="F358" s="5">
        <f>3*$H358</f>
        <v>0</v>
      </c>
      <c r="G358" s="36">
        <f>2*$H358</f>
        <v>0</v>
      </c>
      <c r="I358" s="22" t="s">
        <v>422</v>
      </c>
      <c r="J358" s="2">
        <v>13</v>
      </c>
      <c r="L358" s="5">
        <f>Index[[#This Row],[Calories]]-(Index[[#This Row],[Fat Removed]]*Index[[#This Row],[Fat Calories]])</f>
        <v>0</v>
      </c>
      <c r="M358" s="5">
        <f>Index[[#This Row],[Fat ]]*9</f>
        <v>0</v>
      </c>
    </row>
    <row r="359" spans="1:13" x14ac:dyDescent="0.3">
      <c r="A359" s="34" t="s">
        <v>617</v>
      </c>
      <c r="B359" s="5">
        <f>550*$H359</f>
        <v>0</v>
      </c>
      <c r="C359" s="5">
        <f>74*$H359</f>
        <v>0</v>
      </c>
      <c r="D359" s="5">
        <f>21*$H359</f>
        <v>0</v>
      </c>
      <c r="E359" s="5">
        <f>16*$H359</f>
        <v>0</v>
      </c>
      <c r="F359" s="5">
        <f>7*$H359</f>
        <v>0</v>
      </c>
      <c r="G359" s="36">
        <f>6*$H359</f>
        <v>0</v>
      </c>
      <c r="I359" s="22" t="s">
        <v>624</v>
      </c>
      <c r="J359" s="2">
        <v>13</v>
      </c>
      <c r="L359" s="5">
        <f>Index[[#This Row],[Calories]]-(Index[[#This Row],[Fat Removed]]*Index[[#This Row],[Fat Calories]])</f>
        <v>0</v>
      </c>
      <c r="M359" s="5">
        <f>Index[[#This Row],[Fat ]]*9</f>
        <v>0</v>
      </c>
    </row>
    <row r="360" spans="1:13" ht="37.5" x14ac:dyDescent="0.3">
      <c r="A360" s="34" t="s">
        <v>639</v>
      </c>
      <c r="B360" s="5">
        <f>490*$H360</f>
        <v>0</v>
      </c>
      <c r="C360" s="5">
        <f>41*$H360</f>
        <v>0</v>
      </c>
      <c r="D360" s="5">
        <f>28*$H360</f>
        <v>0</v>
      </c>
      <c r="E360" s="5">
        <f>20*$H360</f>
        <v>0</v>
      </c>
      <c r="F360" s="5">
        <f>5*$H360</f>
        <v>0</v>
      </c>
      <c r="G360" s="36">
        <f>5*$H360</f>
        <v>0</v>
      </c>
      <c r="I360" s="22" t="s">
        <v>626</v>
      </c>
      <c r="J360" s="2">
        <v>13</v>
      </c>
      <c r="L360" s="5">
        <f>Index[[#This Row],[Calories]]-(Index[[#This Row],[Fat Removed]]*Index[[#This Row],[Fat Calories]])</f>
        <v>0</v>
      </c>
      <c r="M360" s="5">
        <f>Index[[#This Row],[Fat ]]*9</f>
        <v>0</v>
      </c>
    </row>
    <row r="361" spans="1:13" x14ac:dyDescent="0.3">
      <c r="A361" s="34" t="s">
        <v>618</v>
      </c>
      <c r="B361" s="5">
        <f>490*$H361</f>
        <v>0</v>
      </c>
      <c r="C361" s="5">
        <f>65*$H361</f>
        <v>0</v>
      </c>
      <c r="D361" s="5">
        <f>18*$H361</f>
        <v>0</v>
      </c>
      <c r="E361" s="5">
        <f>8*$H361</f>
        <v>0</v>
      </c>
      <c r="F361" s="5">
        <f>8*$H361</f>
        <v>0</v>
      </c>
      <c r="G361" s="36">
        <f>5*$H361</f>
        <v>0</v>
      </c>
      <c r="I361" s="22" t="s">
        <v>625</v>
      </c>
      <c r="J361" s="2">
        <v>13</v>
      </c>
      <c r="L361" s="5">
        <f>Index[[#This Row],[Calories]]-(Index[[#This Row],[Fat Removed]]*Index[[#This Row],[Fat Calories]])</f>
        <v>0</v>
      </c>
      <c r="M361" s="5">
        <f>Index[[#This Row],[Fat ]]*9</f>
        <v>0</v>
      </c>
    </row>
    <row r="362" spans="1:13" x14ac:dyDescent="0.3">
      <c r="A362" s="34" t="s">
        <v>619</v>
      </c>
      <c r="B362" s="5">
        <f>240*$H362</f>
        <v>0</v>
      </c>
      <c r="C362" s="5">
        <f>28*$H362</f>
        <v>0</v>
      </c>
      <c r="D362" s="5">
        <f>13*$H362</f>
        <v>0</v>
      </c>
      <c r="E362" s="5">
        <f>3*$H362</f>
        <v>0</v>
      </c>
      <c r="F362" s="5">
        <f>3*$H362</f>
        <v>0</v>
      </c>
      <c r="G362" s="36">
        <f>1*$H362</f>
        <v>0</v>
      </c>
      <c r="I362" s="22" t="s">
        <v>443</v>
      </c>
      <c r="J362" s="2">
        <v>13</v>
      </c>
      <c r="L362" s="5">
        <f>Index[[#This Row],[Calories]]-(Index[[#This Row],[Fat Removed]]*Index[[#This Row],[Fat Calories]])</f>
        <v>0</v>
      </c>
      <c r="M362" s="5">
        <f>Index[[#This Row],[Fat ]]*9</f>
        <v>0</v>
      </c>
    </row>
    <row r="363" spans="1:13" x14ac:dyDescent="0.3">
      <c r="A363" s="34" t="s">
        <v>620</v>
      </c>
      <c r="B363" s="5">
        <f>320*$H363</f>
        <v>0</v>
      </c>
      <c r="C363" s="5">
        <f>34*$H363</f>
        <v>0</v>
      </c>
      <c r="D363" s="5">
        <f>16*$H363</f>
        <v>0</v>
      </c>
      <c r="E363" s="5">
        <f>11*$H363</f>
        <v>0</v>
      </c>
      <c r="F363" s="5">
        <f>4*$H363</f>
        <v>0</v>
      </c>
      <c r="G363" s="36">
        <f>2*$H363</f>
        <v>0</v>
      </c>
      <c r="I363" s="22" t="s">
        <v>626</v>
      </c>
      <c r="J363" s="2">
        <v>13</v>
      </c>
      <c r="L363" s="5">
        <f>Index[[#This Row],[Calories]]-(Index[[#This Row],[Fat Removed]]*Index[[#This Row],[Fat Calories]])</f>
        <v>0</v>
      </c>
      <c r="M363" s="5">
        <f>Index[[#This Row],[Fat ]]*9</f>
        <v>0</v>
      </c>
    </row>
    <row r="364" spans="1:13" x14ac:dyDescent="0.3">
      <c r="A364" s="34" t="s">
        <v>621</v>
      </c>
      <c r="B364" s="5">
        <f>400*$H364</f>
        <v>0</v>
      </c>
      <c r="C364" s="5">
        <f>42*$H364</f>
        <v>0</v>
      </c>
      <c r="D364" s="5">
        <f>18*$H364</f>
        <v>0</v>
      </c>
      <c r="E364" s="5">
        <f>17*$H364</f>
        <v>0</v>
      </c>
      <c r="F364" s="5">
        <f>4*$H364</f>
        <v>0</v>
      </c>
      <c r="G364" s="36">
        <f>3*$H364</f>
        <v>0</v>
      </c>
      <c r="I364" s="22" t="s">
        <v>627</v>
      </c>
      <c r="J364" s="2">
        <v>13</v>
      </c>
      <c r="L364" s="5">
        <f>Index[[#This Row],[Calories]]-(Index[[#This Row],[Fat Removed]]*Index[[#This Row],[Fat Calories]])</f>
        <v>0</v>
      </c>
      <c r="M364" s="5">
        <f>Index[[#This Row],[Fat ]]*9</f>
        <v>0</v>
      </c>
    </row>
    <row r="365" spans="1:13" x14ac:dyDescent="0.3">
      <c r="A365" s="34" t="s">
        <v>622</v>
      </c>
      <c r="B365" s="5">
        <f>210*$H365</f>
        <v>0</v>
      </c>
      <c r="C365" s="5">
        <f>2*$H365</f>
        <v>0</v>
      </c>
      <c r="D365" s="5">
        <f>23*$H365</f>
        <v>0</v>
      </c>
      <c r="E365" s="5">
        <f>0.5*$H365</f>
        <v>0</v>
      </c>
      <c r="F365" s="5">
        <f>0*$H365</f>
        <v>0</v>
      </c>
      <c r="G365" s="36">
        <f>1*$H365</f>
        <v>0</v>
      </c>
      <c r="I365" s="22" t="s">
        <v>443</v>
      </c>
      <c r="J365" s="2">
        <v>13</v>
      </c>
      <c r="L365" s="5">
        <f>Index[[#This Row],[Calories]]-(Index[[#This Row],[Fat Removed]]*Index[[#This Row],[Fat Calories]])</f>
        <v>0</v>
      </c>
      <c r="M365" s="5">
        <f>Index[[#This Row],[Fat ]]*9</f>
        <v>0</v>
      </c>
    </row>
    <row r="366" spans="1:13" ht="37.5" x14ac:dyDescent="0.3">
      <c r="A366" s="34" t="s">
        <v>623</v>
      </c>
      <c r="B366" s="5">
        <f>230*$H366</f>
        <v>0</v>
      </c>
      <c r="C366" s="5">
        <f>3*$H366</f>
        <v>0</v>
      </c>
      <c r="D366" s="5">
        <f>19*$H366</f>
        <v>0</v>
      </c>
      <c r="E366" s="5">
        <f>0.5*$H366</f>
        <v>0</v>
      </c>
      <c r="F366" s="5">
        <f t="shared" ref="F366" si="48">0.5*$H366</f>
        <v>0</v>
      </c>
      <c r="G366" s="36">
        <f>1*$H366</f>
        <v>0</v>
      </c>
      <c r="I366" s="22" t="s">
        <v>443</v>
      </c>
      <c r="J366" s="2">
        <v>13</v>
      </c>
      <c r="L366" s="5">
        <f>Index[[#This Row],[Calories]]-(Index[[#This Row],[Fat Removed]]*Index[[#This Row],[Fat Calories]])</f>
        <v>0</v>
      </c>
      <c r="M366" s="5">
        <f>Index[[#This Row],[Fat ]]*9</f>
        <v>0</v>
      </c>
    </row>
    <row r="367" spans="1:13" ht="37.5" x14ac:dyDescent="0.3">
      <c r="A367" s="34" t="s">
        <v>640</v>
      </c>
      <c r="B367" s="5">
        <f>120*$H367</f>
        <v>0</v>
      </c>
      <c r="C367" s="5">
        <f>3*$H367</f>
        <v>0</v>
      </c>
      <c r="D367" s="5">
        <f>11*$H367</f>
        <v>0</v>
      </c>
      <c r="E367" s="5">
        <f>0.5*$H367</f>
        <v>0</v>
      </c>
      <c r="F367" s="5">
        <f>0*$H367</f>
        <v>0</v>
      </c>
      <c r="G367" s="36">
        <f>1*$H367</f>
        <v>0</v>
      </c>
      <c r="I367" s="22" t="s">
        <v>443</v>
      </c>
      <c r="J367" s="2">
        <v>13</v>
      </c>
      <c r="L367" s="5">
        <f>Index[[#This Row],[Calories]]-(Index[[#This Row],[Fat Removed]]*Index[[#This Row],[Fat Calories]])</f>
        <v>0</v>
      </c>
      <c r="M367" s="5">
        <f>Index[[#This Row],[Fat ]]*9</f>
        <v>0</v>
      </c>
    </row>
    <row r="368" spans="1:13" x14ac:dyDescent="0.3">
      <c r="A368" s="34" t="s">
        <v>429</v>
      </c>
      <c r="B368" s="5">
        <f>400*$H368</f>
        <v>0</v>
      </c>
      <c r="C368" s="5">
        <f>33*$H368</f>
        <v>0</v>
      </c>
      <c r="D368" s="5">
        <f>20*$H368</f>
        <v>0</v>
      </c>
      <c r="E368" s="5">
        <f>22*$H368</f>
        <v>0</v>
      </c>
      <c r="F368" s="5">
        <f>2*$H368</f>
        <v>0</v>
      </c>
      <c r="G368" s="5">
        <f>7*$H368</f>
        <v>0</v>
      </c>
      <c r="I368" s="22" t="s">
        <v>430</v>
      </c>
      <c r="J368" s="2">
        <v>13</v>
      </c>
      <c r="L368" s="5">
        <f>Index[[#This Row],[Calories]]-(Index[[#This Row],[Fat Removed]]*Index[[#This Row],[Fat Calories]])</f>
        <v>0</v>
      </c>
      <c r="M368" s="5">
        <f>Index[[#This Row],[Fat ]]*9</f>
        <v>0</v>
      </c>
    </row>
    <row r="369" spans="1:13" x14ac:dyDescent="0.3">
      <c r="A369" s="34" t="s">
        <v>431</v>
      </c>
      <c r="B369" s="5">
        <f>400*$H369</f>
        <v>0</v>
      </c>
      <c r="C369" s="5">
        <f>39*$H369</f>
        <v>0</v>
      </c>
      <c r="D369" s="5">
        <f>21*$H369</f>
        <v>0</v>
      </c>
      <c r="E369" s="5">
        <f>14*$H369</f>
        <v>0</v>
      </c>
      <c r="F369" s="5">
        <f>1*$H369</f>
        <v>0</v>
      </c>
      <c r="G369" s="5">
        <f>5*$H369</f>
        <v>0</v>
      </c>
      <c r="I369" s="22" t="s">
        <v>430</v>
      </c>
      <c r="J369" s="2">
        <v>13</v>
      </c>
      <c r="L369" s="5">
        <f>Index[[#This Row],[Calories]]-(Index[[#This Row],[Fat Removed]]*Index[[#This Row],[Fat Calories]])</f>
        <v>0</v>
      </c>
      <c r="M369" s="5">
        <f>Index[[#This Row],[Fat ]]*9</f>
        <v>0</v>
      </c>
    </row>
    <row r="370" spans="1:13" x14ac:dyDescent="0.3">
      <c r="A370" s="34" t="s">
        <v>432</v>
      </c>
      <c r="B370" s="5">
        <f>290*$H370</f>
        <v>0</v>
      </c>
      <c r="C370" s="5">
        <f>77*$H370</f>
        <v>0</v>
      </c>
      <c r="D370" s="5">
        <f>0*$H370</f>
        <v>0</v>
      </c>
      <c r="E370" s="5">
        <f>0*$H370</f>
        <v>0</v>
      </c>
      <c r="F370" s="5">
        <f>0*$H370</f>
        <v>0</v>
      </c>
      <c r="G370" s="5">
        <f>77*$H370</f>
        <v>0</v>
      </c>
      <c r="I370" s="22" t="s">
        <v>433</v>
      </c>
      <c r="J370" s="2">
        <v>13</v>
      </c>
      <c r="L370" s="5">
        <f>Index[[#This Row],[Calories]]-(Index[[#This Row],[Fat Removed]]*Index[[#This Row],[Fat Calories]])</f>
        <v>0</v>
      </c>
      <c r="M370" s="5">
        <f>Index[[#This Row],[Fat ]]*9</f>
        <v>0</v>
      </c>
    </row>
    <row r="371" spans="1:13" x14ac:dyDescent="0.3">
      <c r="A371" s="34" t="s">
        <v>434</v>
      </c>
      <c r="B371" s="5">
        <f>740*$H371</f>
        <v>0</v>
      </c>
      <c r="C371" s="5">
        <f>50*$H371</f>
        <v>0</v>
      </c>
      <c r="D371" s="5">
        <f>46*$H371</f>
        <v>0</v>
      </c>
      <c r="E371" s="5">
        <f>32*$H371</f>
        <v>0</v>
      </c>
      <c r="F371" s="5">
        <f>2*$H371</f>
        <v>0</v>
      </c>
      <c r="G371" s="5">
        <f>11*$H371</f>
        <v>0</v>
      </c>
      <c r="J371" s="2">
        <v>13</v>
      </c>
      <c r="L371" s="5">
        <f>Index[[#This Row],[Calories]]-(Index[[#This Row],[Fat Removed]]*Index[[#This Row],[Fat Calories]])</f>
        <v>0</v>
      </c>
      <c r="M371" s="5">
        <f>Index[[#This Row],[Fat ]]*9</f>
        <v>0</v>
      </c>
    </row>
    <row r="372" spans="1:13" x14ac:dyDescent="0.3">
      <c r="A372" s="34" t="s">
        <v>435</v>
      </c>
      <c r="B372" s="5">
        <f>510*$H372</f>
        <v>0</v>
      </c>
      <c r="C372" s="5">
        <f>138*$H372</f>
        <v>0</v>
      </c>
      <c r="D372" s="5">
        <f>0*$H372</f>
        <v>0</v>
      </c>
      <c r="E372" s="5">
        <f>0*$H372</f>
        <v>0</v>
      </c>
      <c r="F372" s="5">
        <f>0*$H372</f>
        <v>0</v>
      </c>
      <c r="G372" s="5">
        <f>138*$H372</f>
        <v>0</v>
      </c>
      <c r="J372" s="2">
        <v>13</v>
      </c>
      <c r="L372" s="5">
        <f>Index[[#This Row],[Calories]]-(Index[[#This Row],[Fat Removed]]*Index[[#This Row],[Fat Calories]])</f>
        <v>0</v>
      </c>
      <c r="M372" s="5">
        <f>Index[[#This Row],[Fat ]]*9</f>
        <v>0</v>
      </c>
    </row>
    <row r="373" spans="1:13" ht="37.5" x14ac:dyDescent="0.3">
      <c r="A373" s="34" t="s">
        <v>436</v>
      </c>
      <c r="B373" s="5">
        <f>190*$H373</f>
        <v>0</v>
      </c>
      <c r="C373" s="5">
        <f>7*$H373</f>
        <v>0</v>
      </c>
      <c r="D373" s="5">
        <f>11*$H373</f>
        <v>0</v>
      </c>
      <c r="E373" s="5">
        <f>15*$H373</f>
        <v>0</v>
      </c>
      <c r="F373" s="5">
        <f>0*$H373</f>
        <v>0</v>
      </c>
      <c r="G373" s="5">
        <f>0*$H373</f>
        <v>0</v>
      </c>
      <c r="J373" s="2">
        <v>13</v>
      </c>
      <c r="L373" s="5">
        <f>Index[[#This Row],[Calories]]-(Index[[#This Row],[Fat Removed]]*Index[[#This Row],[Fat Calories]])</f>
        <v>0</v>
      </c>
      <c r="M373" s="5">
        <f>Index[[#This Row],[Fat ]]*9</f>
        <v>0</v>
      </c>
    </row>
    <row r="374" spans="1:13" x14ac:dyDescent="0.3">
      <c r="A374" s="34" t="s">
        <v>437</v>
      </c>
      <c r="B374" s="5">
        <f>60*$H374</f>
        <v>0</v>
      </c>
      <c r="C374" s="5">
        <f>12*$H374</f>
        <v>0</v>
      </c>
      <c r="D374" s="5">
        <f>1*$H374</f>
        <v>0</v>
      </c>
      <c r="E374" s="5">
        <f>0*$H374</f>
        <v>0</v>
      </c>
      <c r="F374" s="5">
        <f>0*$H374</f>
        <v>0</v>
      </c>
      <c r="G374" s="5">
        <f>10*$H374</f>
        <v>0</v>
      </c>
      <c r="J374" s="2">
        <v>13</v>
      </c>
      <c r="L374" s="5">
        <f>Index[[#This Row],[Calories]]-(Index[[#This Row],[Fat Removed]]*Index[[#This Row],[Fat Calories]])</f>
        <v>0</v>
      </c>
      <c r="M374" s="5">
        <f>Index[[#This Row],[Fat ]]*9</f>
        <v>0</v>
      </c>
    </row>
    <row r="375" spans="1:13" ht="37.5" x14ac:dyDescent="0.3">
      <c r="A375" s="34" t="s">
        <v>438</v>
      </c>
      <c r="B375" s="5">
        <f>220*$H375</f>
        <v>0</v>
      </c>
      <c r="C375" s="5">
        <f>5*$H375</f>
        <v>0</v>
      </c>
      <c r="D375" s="5">
        <f>22*$H375</f>
        <v>0</v>
      </c>
      <c r="E375" s="5">
        <f>0*$H375</f>
        <v>0</v>
      </c>
      <c r="F375" s="5">
        <f>0*$H375</f>
        <v>0</v>
      </c>
      <c r="G375" s="5">
        <f>5*$H375</f>
        <v>0</v>
      </c>
      <c r="J375" s="2">
        <v>13</v>
      </c>
      <c r="L375" s="5">
        <f>Index[[#This Row],[Calories]]-(Index[[#This Row],[Fat Removed]]*Index[[#This Row],[Fat Calories]])</f>
        <v>0</v>
      </c>
      <c r="M375" s="5">
        <f>Index[[#This Row],[Fat ]]*9</f>
        <v>0</v>
      </c>
    </row>
    <row r="376" spans="1:13" x14ac:dyDescent="0.3">
      <c r="A376" s="34" t="s">
        <v>439</v>
      </c>
      <c r="B376" s="5">
        <f>800*$H376</f>
        <v>0</v>
      </c>
      <c r="C376" s="5">
        <f>77*$H376</f>
        <v>0</v>
      </c>
      <c r="D376" s="5">
        <f>35*$H376</f>
        <v>0</v>
      </c>
      <c r="E376" s="5">
        <f>40*$H376</f>
        <v>0</v>
      </c>
      <c r="F376" s="5">
        <f>4*$H376</f>
        <v>0</v>
      </c>
      <c r="G376" s="5">
        <f>10*$H376</f>
        <v>0</v>
      </c>
      <c r="I376" s="22" t="s">
        <v>440</v>
      </c>
      <c r="J376" s="2">
        <v>13</v>
      </c>
      <c r="L376" s="5">
        <f>Index[[#This Row],[Calories]]-(Index[[#This Row],[Fat Removed]]*Index[[#This Row],[Fat Calories]])</f>
        <v>0</v>
      </c>
      <c r="M376" s="5">
        <f>Index[[#This Row],[Fat ]]*9</f>
        <v>0</v>
      </c>
    </row>
    <row r="377" spans="1:13" ht="37.5" x14ac:dyDescent="0.3">
      <c r="A377" s="34" t="s">
        <v>441</v>
      </c>
      <c r="B377" s="5">
        <f>990*$H377</f>
        <v>0</v>
      </c>
      <c r="C377" s="5">
        <f>80*$H377</f>
        <v>0</v>
      </c>
      <c r="D377" s="5">
        <f>51*$H377</f>
        <v>0</v>
      </c>
      <c r="E377" s="5">
        <f>50*$H377</f>
        <v>0</v>
      </c>
      <c r="F377" s="5">
        <f>5*$H377</f>
        <v>0</v>
      </c>
      <c r="G377" s="5">
        <f>8*$H377</f>
        <v>0</v>
      </c>
      <c r="I377" s="22" t="s">
        <v>440</v>
      </c>
      <c r="J377" s="2">
        <v>13</v>
      </c>
      <c r="L377" s="5">
        <f>Index[[#This Row],[Calories]]-(Index[[#This Row],[Fat Removed]]*Index[[#This Row],[Fat Calories]])</f>
        <v>0</v>
      </c>
      <c r="M377" s="5">
        <f>Index[[#This Row],[Fat ]]*9</f>
        <v>0</v>
      </c>
    </row>
    <row r="378" spans="1:13" ht="37.5" x14ac:dyDescent="0.3">
      <c r="A378" s="34" t="s">
        <v>442</v>
      </c>
      <c r="B378" s="5">
        <f>150*$H378</f>
        <v>0</v>
      </c>
      <c r="C378" s="5">
        <f>0*$H378</f>
        <v>0</v>
      </c>
      <c r="D378" s="5">
        <f>17*$H378</f>
        <v>0</v>
      </c>
      <c r="E378" s="5">
        <f>0*$H378</f>
        <v>0</v>
      </c>
      <c r="F378" s="5">
        <f>0*$H378</f>
        <v>0</v>
      </c>
      <c r="G378" s="5">
        <f>0*$H378</f>
        <v>0</v>
      </c>
      <c r="I378" s="22" t="s">
        <v>443</v>
      </c>
      <c r="J378" s="2">
        <v>13</v>
      </c>
      <c r="L378" s="5">
        <f>Index[[#This Row],[Calories]]-(Index[[#This Row],[Fat Removed]]*Index[[#This Row],[Fat Calories]])</f>
        <v>0</v>
      </c>
      <c r="M378" s="5">
        <f>Index[[#This Row],[Fat ]]*9</f>
        <v>0</v>
      </c>
    </row>
    <row r="379" spans="1:13" ht="37.5" x14ac:dyDescent="0.3">
      <c r="A379" s="34" t="s">
        <v>444</v>
      </c>
      <c r="B379" s="5">
        <f>20*$H379</f>
        <v>0</v>
      </c>
      <c r="C379" s="5">
        <f>3*$H379</f>
        <v>0</v>
      </c>
      <c r="D379" s="5">
        <f>1*$H379</f>
        <v>0</v>
      </c>
      <c r="E379" s="5">
        <f>0*$H379</f>
        <v>0</v>
      </c>
      <c r="F379" s="5">
        <f>0*$H379</f>
        <v>0</v>
      </c>
      <c r="G379" s="5">
        <f>1*$H379</f>
        <v>0</v>
      </c>
      <c r="I379" s="22" t="s">
        <v>443</v>
      </c>
      <c r="J379" s="2">
        <v>13</v>
      </c>
      <c r="L379" s="5">
        <f>Index[[#This Row],[Calories]]-(Index[[#This Row],[Fat Removed]]*Index[[#This Row],[Fat Calories]])</f>
        <v>0</v>
      </c>
      <c r="M379" s="5">
        <f>Index[[#This Row],[Fat ]]*9</f>
        <v>0</v>
      </c>
    </row>
    <row r="380" spans="1:13" x14ac:dyDescent="0.3">
      <c r="A380" s="34" t="s">
        <v>445</v>
      </c>
      <c r="B380" s="5">
        <f>2410*$H380</f>
        <v>0</v>
      </c>
      <c r="C380" s="5">
        <f>258*$H380</f>
        <v>0</v>
      </c>
      <c r="D380" s="5">
        <f>104*$H380</f>
        <v>0</v>
      </c>
      <c r="E380" s="5">
        <f>114*$H380</f>
        <v>0</v>
      </c>
      <c r="F380" s="5">
        <f>15*$H380</f>
        <v>0</v>
      </c>
      <c r="G380" s="5">
        <f>17*$H380</f>
        <v>0</v>
      </c>
      <c r="J380" s="2">
        <v>13</v>
      </c>
      <c r="L380" s="5">
        <f>Index[[#This Row],[Calories]]-(Index[[#This Row],[Fat Removed]]*Index[[#This Row],[Fat Calories]])</f>
        <v>0</v>
      </c>
      <c r="M380" s="5">
        <f>Index[[#This Row],[Fat ]]*9</f>
        <v>0</v>
      </c>
    </row>
    <row r="381" spans="1:13" ht="56.25" x14ac:dyDescent="0.3">
      <c r="A381" s="34" t="s">
        <v>446</v>
      </c>
      <c r="B381" s="5">
        <f>300*$H381</f>
        <v>0</v>
      </c>
      <c r="C381" s="5">
        <f>37*$H381</f>
        <v>0</v>
      </c>
      <c r="D381" s="5">
        <f>11*$H381</f>
        <v>0</v>
      </c>
      <c r="E381" s="5">
        <f>13*$H381</f>
        <v>0</v>
      </c>
      <c r="F381" s="5">
        <f>4*$H381</f>
        <v>0</v>
      </c>
      <c r="G381" s="5">
        <f>9*$H381</f>
        <v>0</v>
      </c>
      <c r="I381" s="22" t="s">
        <v>447</v>
      </c>
      <c r="J381" s="2">
        <v>13</v>
      </c>
      <c r="L381" s="5">
        <f>Index[[#This Row],[Calories]]-(Index[[#This Row],[Fat Removed]]*Index[[#This Row],[Fat Calories]])</f>
        <v>0</v>
      </c>
      <c r="M381" s="5">
        <f>Index[[#This Row],[Fat ]]*9</f>
        <v>0</v>
      </c>
    </row>
    <row r="382" spans="1:13" x14ac:dyDescent="0.3">
      <c r="A382" s="34" t="s">
        <v>448</v>
      </c>
      <c r="B382" s="5">
        <f>530*$H382</f>
        <v>0</v>
      </c>
      <c r="C382" s="5">
        <f>55*$H382</f>
        <v>0</v>
      </c>
      <c r="D382" s="5">
        <f>20*$H382</f>
        <v>0</v>
      </c>
      <c r="E382" s="5">
        <f>30*$H382</f>
        <v>0</v>
      </c>
      <c r="F382" s="5">
        <f>3*$H382</f>
        <v>0</v>
      </c>
      <c r="G382" s="5">
        <f>3*$H382</f>
        <v>0</v>
      </c>
      <c r="J382" s="2">
        <v>13</v>
      </c>
      <c r="L382" s="5">
        <f>Index[[#This Row],[Calories]]-(Index[[#This Row],[Fat Removed]]*Index[[#This Row],[Fat Calories]])</f>
        <v>0</v>
      </c>
      <c r="M382" s="5">
        <f>Index[[#This Row],[Fat ]]*9</f>
        <v>0</v>
      </c>
    </row>
    <row r="383" spans="1:13" x14ac:dyDescent="0.3">
      <c r="A383" s="34" t="s">
        <v>449</v>
      </c>
      <c r="B383" s="5">
        <f>350*$H383</f>
        <v>0</v>
      </c>
      <c r="C383" s="5">
        <f>24*$H383</f>
        <v>0</v>
      </c>
      <c r="D383" s="5">
        <f>21*$H383</f>
        <v>0</v>
      </c>
      <c r="E383" s="5">
        <f>16*$H383</f>
        <v>0</v>
      </c>
      <c r="F383" s="5">
        <f>2.5*$H383</f>
        <v>0</v>
      </c>
      <c r="G383" s="5">
        <f>1*$H383</f>
        <v>0</v>
      </c>
      <c r="I383" s="22" t="s">
        <v>450</v>
      </c>
      <c r="J383" s="2">
        <v>13</v>
      </c>
      <c r="L383" s="5">
        <f>Index[[#This Row],[Calories]]-(Index[[#This Row],[Fat Removed]]*Index[[#This Row],[Fat Calories]])</f>
        <v>0</v>
      </c>
      <c r="M383" s="5">
        <f>Index[[#This Row],[Fat ]]*9</f>
        <v>0</v>
      </c>
    </row>
    <row r="384" spans="1:13" x14ac:dyDescent="0.3">
      <c r="A384" s="34" t="s">
        <v>451</v>
      </c>
      <c r="B384" s="5">
        <f>115*$H384</f>
        <v>0</v>
      </c>
      <c r="C384" s="5">
        <f>9*$H384</f>
        <v>0</v>
      </c>
      <c r="D384" s="5">
        <f>5.5*$H384</f>
        <v>0</v>
      </c>
      <c r="E384" s="5">
        <f>7.5*$H384</f>
        <v>0</v>
      </c>
      <c r="F384" s="5">
        <f>0.5*$H384</f>
        <v>0</v>
      </c>
      <c r="G384" s="5">
        <f>0.5*$H384</f>
        <v>0</v>
      </c>
      <c r="I384" s="22" t="s">
        <v>452</v>
      </c>
      <c r="J384" s="2">
        <v>13</v>
      </c>
      <c r="L384" s="5">
        <f>Index[[#This Row],[Calories]]-(Index[[#This Row],[Fat Removed]]*Index[[#This Row],[Fat Calories]])</f>
        <v>0</v>
      </c>
      <c r="M384" s="5">
        <f>Index[[#This Row],[Fat ]]*9</f>
        <v>0</v>
      </c>
    </row>
    <row r="385" spans="1:13" ht="37.5" x14ac:dyDescent="0.3">
      <c r="A385" s="34" t="s">
        <v>453</v>
      </c>
      <c r="B385" s="5">
        <f>603.7*$H385</f>
        <v>0</v>
      </c>
      <c r="C385" s="5">
        <f>75.7*$H385</f>
        <v>0</v>
      </c>
      <c r="D385" s="5">
        <f>19.5*$H385</f>
        <v>0</v>
      </c>
      <c r="E385" s="5">
        <f>33*$H385</f>
        <v>0</v>
      </c>
      <c r="F385" s="5">
        <f>5.7*$H385</f>
        <v>0</v>
      </c>
      <c r="G385" s="5">
        <f>9.8*$H385</f>
        <v>0</v>
      </c>
      <c r="J385" s="2">
        <v>13</v>
      </c>
      <c r="L385" s="5">
        <f>Index[[#This Row],[Calories]]-(Index[[#This Row],[Fat Removed]]*Index[[#This Row],[Fat Calories]])</f>
        <v>0</v>
      </c>
      <c r="M385" s="5">
        <f>Index[[#This Row],[Fat ]]*9</f>
        <v>0</v>
      </c>
    </row>
    <row r="386" spans="1:13" ht="37.5" x14ac:dyDescent="0.3">
      <c r="A386" s="34" t="s">
        <v>454</v>
      </c>
      <c r="B386" s="5">
        <f>160*$H386</f>
        <v>0</v>
      </c>
      <c r="C386" s="5">
        <f>24*$H386</f>
        <v>0</v>
      </c>
      <c r="D386" s="5">
        <f>5*$H386</f>
        <v>0</v>
      </c>
      <c r="E386" s="5">
        <f>5*$H386</f>
        <v>0</v>
      </c>
      <c r="F386" s="5">
        <f>1*$H386</f>
        <v>0</v>
      </c>
      <c r="G386" s="5">
        <f>1*$H386</f>
        <v>0</v>
      </c>
      <c r="I386" s="22" t="s">
        <v>455</v>
      </c>
      <c r="J386" s="2">
        <v>13</v>
      </c>
      <c r="L386" s="5">
        <f>Index[[#This Row],[Calories]]-(Index[[#This Row],[Fat Removed]]*Index[[#This Row],[Fat Calories]])</f>
        <v>0</v>
      </c>
      <c r="M386" s="5">
        <f>Index[[#This Row],[Fat ]]*9</f>
        <v>0</v>
      </c>
    </row>
    <row r="387" spans="1:13" ht="37.5" x14ac:dyDescent="0.3">
      <c r="A387" s="34" t="s">
        <v>456</v>
      </c>
      <c r="B387" s="5">
        <f>150*$H387</f>
        <v>0</v>
      </c>
      <c r="C387" s="5">
        <f>23*$H387</f>
        <v>0</v>
      </c>
      <c r="D387" s="5">
        <f>4.5*$H387</f>
        <v>0</v>
      </c>
      <c r="E387" s="5">
        <f>4*$H387</f>
        <v>0</v>
      </c>
      <c r="F387" s="5">
        <f>1*$H387</f>
        <v>0</v>
      </c>
      <c r="G387" s="5">
        <f>1*$H387</f>
        <v>0</v>
      </c>
      <c r="I387" s="22" t="s">
        <v>455</v>
      </c>
      <c r="J387" s="2">
        <v>13</v>
      </c>
      <c r="L387" s="5">
        <f>Index[[#This Row],[Calories]]-(Index[[#This Row],[Fat Removed]]*Index[[#This Row],[Fat Calories]])</f>
        <v>0</v>
      </c>
      <c r="M387" s="5">
        <f>Index[[#This Row],[Fat ]]*9</f>
        <v>0</v>
      </c>
    </row>
    <row r="388" spans="1:13" x14ac:dyDescent="0.3">
      <c r="A388" s="34" t="s">
        <v>457</v>
      </c>
      <c r="B388" s="5">
        <f>532*$H388</f>
        <v>0</v>
      </c>
      <c r="C388" s="5">
        <f>30*$H388</f>
        <v>0</v>
      </c>
      <c r="D388" s="5">
        <f>35*$H388</f>
        <v>0</v>
      </c>
      <c r="E388" s="5">
        <f>25*$H388</f>
        <v>0</v>
      </c>
      <c r="F388" s="5">
        <f>3.1*$H388</f>
        <v>0</v>
      </c>
      <c r="G388" s="5">
        <f>4*$H388</f>
        <v>0</v>
      </c>
      <c r="J388" s="2">
        <v>13</v>
      </c>
      <c r="L388" s="5">
        <f>Index[[#This Row],[Calories]]-(Index[[#This Row],[Fat Removed]]*Index[[#This Row],[Fat Calories]])</f>
        <v>0</v>
      </c>
      <c r="M388" s="5">
        <f>Index[[#This Row],[Fat ]]*9</f>
        <v>0</v>
      </c>
    </row>
    <row r="389" spans="1:13" x14ac:dyDescent="0.3">
      <c r="A389" s="34" t="s">
        <v>647</v>
      </c>
      <c r="B389" s="5">
        <f>1210*$H389</f>
        <v>0</v>
      </c>
      <c r="C389" s="5">
        <f>117*$H389</f>
        <v>0</v>
      </c>
      <c r="D389" s="5">
        <f>60*$H389</f>
        <v>0</v>
      </c>
      <c r="E389" s="5">
        <f>44*$H389</f>
        <v>0</v>
      </c>
      <c r="F389" s="5">
        <f>2*$H389</f>
        <v>0</v>
      </c>
      <c r="G389" s="5">
        <f>11*$H389</f>
        <v>0</v>
      </c>
      <c r="J389" s="2">
        <v>13</v>
      </c>
      <c r="L389" s="5">
        <f>Index[[#This Row],[Calories]]-(Index[[#This Row],[Fat Removed]]*Index[[#This Row],[Fat Calories]])</f>
        <v>0</v>
      </c>
      <c r="M389" s="5">
        <f>Index[[#This Row],[Fat ]]*9</f>
        <v>0</v>
      </c>
    </row>
    <row r="390" spans="1:13" ht="26.25" x14ac:dyDescent="0.4">
      <c r="B390" s="5"/>
      <c r="C390" s="5"/>
      <c r="D390" s="5"/>
      <c r="E390" s="5"/>
      <c r="F390" s="5"/>
      <c r="G390" s="62" t="s">
        <v>458</v>
      </c>
      <c r="J390" s="2">
        <v>13.01</v>
      </c>
      <c r="L390" s="5"/>
      <c r="M390" s="5"/>
    </row>
    <row r="391" spans="1:13" x14ac:dyDescent="0.3">
      <c r="A391" s="34" t="s">
        <v>459</v>
      </c>
      <c r="B391" s="5">
        <f>140*$H391</f>
        <v>0</v>
      </c>
      <c r="C391" s="5">
        <f>33*$H391</f>
        <v>0</v>
      </c>
      <c r="D391" s="5">
        <f t="shared" ref="D391:F406" si="49">0*$H391</f>
        <v>0</v>
      </c>
      <c r="E391" s="5">
        <f t="shared" si="49"/>
        <v>0</v>
      </c>
      <c r="F391" s="5">
        <f t="shared" si="49"/>
        <v>0</v>
      </c>
      <c r="G391" s="5">
        <f>33*$H391</f>
        <v>0</v>
      </c>
      <c r="I391" s="22" t="s">
        <v>460</v>
      </c>
      <c r="J391" s="2">
        <v>14</v>
      </c>
      <c r="L391" s="5">
        <f>Index[[#This Row],[Calories]]-(Index[[#This Row],[Fat Removed]]*Index[[#This Row],[Fat Calories]])</f>
        <v>0</v>
      </c>
      <c r="M391" s="5">
        <f>Index[[#This Row],[Fat ]]*9</f>
        <v>0</v>
      </c>
    </row>
    <row r="392" spans="1:13" x14ac:dyDescent="0.3">
      <c r="A392" s="34" t="s">
        <v>461</v>
      </c>
      <c r="B392" s="5">
        <f>145*$H392</f>
        <v>0</v>
      </c>
      <c r="C392" s="5">
        <f>37*$H392</f>
        <v>0</v>
      </c>
      <c r="D392" s="5">
        <f t="shared" si="49"/>
        <v>0</v>
      </c>
      <c r="E392" s="5">
        <f t="shared" si="49"/>
        <v>0</v>
      </c>
      <c r="F392" s="5">
        <f t="shared" si="49"/>
        <v>0</v>
      </c>
      <c r="G392" s="5">
        <f>37*$H392</f>
        <v>0</v>
      </c>
      <c r="I392" s="22" t="s">
        <v>460</v>
      </c>
      <c r="J392" s="2">
        <v>14</v>
      </c>
      <c r="L392" s="5">
        <f>Index[[#This Row],[Calories]]-(Index[[#This Row],[Fat Removed]]*Index[[#This Row],[Fat Calories]])</f>
        <v>0</v>
      </c>
      <c r="M392" s="5">
        <f>Index[[#This Row],[Fat ]]*9</f>
        <v>0</v>
      </c>
    </row>
    <row r="393" spans="1:13" x14ac:dyDescent="0.3">
      <c r="A393" s="34" t="s">
        <v>462</v>
      </c>
      <c r="B393" s="5">
        <f>270*$H393</f>
        <v>0</v>
      </c>
      <c r="C393" s="5">
        <f>72*$H393</f>
        <v>0</v>
      </c>
      <c r="D393" s="5">
        <f t="shared" si="49"/>
        <v>0</v>
      </c>
      <c r="E393" s="5">
        <f t="shared" si="49"/>
        <v>0</v>
      </c>
      <c r="F393" s="5">
        <f t="shared" si="49"/>
        <v>0</v>
      </c>
      <c r="G393" s="5">
        <f>71*$H393</f>
        <v>0</v>
      </c>
      <c r="I393" s="22" t="s">
        <v>463</v>
      </c>
      <c r="J393" s="2">
        <v>14</v>
      </c>
      <c r="L393" s="5">
        <f>Index[[#This Row],[Calories]]-(Index[[#This Row],[Fat Removed]]*Index[[#This Row],[Fat Calories]])</f>
        <v>0</v>
      </c>
      <c r="M393" s="5">
        <f>Index[[#This Row],[Fat ]]*9</f>
        <v>0</v>
      </c>
    </row>
    <row r="394" spans="1:13" x14ac:dyDescent="0.3">
      <c r="A394" s="34" t="s">
        <v>464</v>
      </c>
      <c r="B394" s="5">
        <f>120*$H394</f>
        <v>0</v>
      </c>
      <c r="C394" s="5">
        <f>30*$H394</f>
        <v>0</v>
      </c>
      <c r="D394" s="5">
        <f t="shared" si="49"/>
        <v>0</v>
      </c>
      <c r="E394" s="5">
        <f t="shared" si="49"/>
        <v>0</v>
      </c>
      <c r="F394" s="5">
        <f t="shared" si="49"/>
        <v>0</v>
      </c>
      <c r="G394" s="5">
        <f>30*$H394</f>
        <v>0</v>
      </c>
      <c r="I394" s="22" t="s">
        <v>460</v>
      </c>
      <c r="J394" s="2">
        <v>14</v>
      </c>
      <c r="L394" s="5">
        <f>Index[[#This Row],[Calories]]-(Index[[#This Row],[Fat Removed]]*Index[[#This Row],[Fat Calories]])</f>
        <v>0</v>
      </c>
      <c r="M394" s="5">
        <f>Index[[#This Row],[Fat ]]*9</f>
        <v>0</v>
      </c>
    </row>
    <row r="395" spans="1:13" x14ac:dyDescent="0.3">
      <c r="A395" s="34" t="s">
        <v>465</v>
      </c>
      <c r="B395" s="5">
        <f>200*$H395</f>
        <v>0</v>
      </c>
      <c r="C395" s="5">
        <f>50*$H395</f>
        <v>0</v>
      </c>
      <c r="D395" s="5">
        <f t="shared" si="49"/>
        <v>0</v>
      </c>
      <c r="E395" s="5">
        <f t="shared" si="49"/>
        <v>0</v>
      </c>
      <c r="F395" s="5">
        <f t="shared" si="49"/>
        <v>0</v>
      </c>
      <c r="G395" s="5">
        <f>50*$H395</f>
        <v>0</v>
      </c>
      <c r="I395" s="22" t="s">
        <v>463</v>
      </c>
      <c r="J395" s="2">
        <v>14</v>
      </c>
      <c r="L395" s="5">
        <f>Index[[#This Row],[Calories]]-(Index[[#This Row],[Fat Removed]]*Index[[#This Row],[Fat Calories]])</f>
        <v>0</v>
      </c>
      <c r="M395" s="5">
        <f>Index[[#This Row],[Fat ]]*9</f>
        <v>0</v>
      </c>
    </row>
    <row r="396" spans="1:13" x14ac:dyDescent="0.3">
      <c r="A396" s="34" t="s">
        <v>466</v>
      </c>
      <c r="B396" s="5">
        <f>310*$H396</f>
        <v>0</v>
      </c>
      <c r="C396" s="5">
        <f>78*$H396</f>
        <v>0</v>
      </c>
      <c r="D396" s="5">
        <f t="shared" si="49"/>
        <v>0</v>
      </c>
      <c r="E396" s="5">
        <f t="shared" si="49"/>
        <v>0</v>
      </c>
      <c r="F396" s="5">
        <f t="shared" si="49"/>
        <v>0</v>
      </c>
      <c r="G396" s="5">
        <f>77*$H396</f>
        <v>0</v>
      </c>
      <c r="I396" s="22" t="s">
        <v>463</v>
      </c>
      <c r="J396" s="2">
        <v>14</v>
      </c>
      <c r="L396" s="5">
        <f>Index[[#This Row],[Calories]]-(Index[[#This Row],[Fat Removed]]*Index[[#This Row],[Fat Calories]])</f>
        <v>0</v>
      </c>
      <c r="M396" s="5">
        <f>Index[[#This Row],[Fat ]]*9</f>
        <v>0</v>
      </c>
    </row>
    <row r="397" spans="1:13" x14ac:dyDescent="0.3">
      <c r="A397" s="34" t="s">
        <v>467</v>
      </c>
      <c r="B397" s="5">
        <f>140*$H397</f>
        <v>0</v>
      </c>
      <c r="C397" s="5">
        <f>29*$H397</f>
        <v>0</v>
      </c>
      <c r="D397" s="5">
        <f t="shared" si="49"/>
        <v>0</v>
      </c>
      <c r="E397" s="5">
        <f t="shared" si="49"/>
        <v>0</v>
      </c>
      <c r="F397" s="5">
        <f t="shared" si="49"/>
        <v>0</v>
      </c>
      <c r="G397" s="5">
        <f>38*$H397</f>
        <v>0</v>
      </c>
      <c r="I397" s="22" t="s">
        <v>460</v>
      </c>
      <c r="J397" s="2">
        <v>14</v>
      </c>
      <c r="L397" s="5">
        <f>Index[[#This Row],[Calories]]-(Index[[#This Row],[Fat Removed]]*Index[[#This Row],[Fat Calories]])</f>
        <v>0</v>
      </c>
      <c r="M397" s="5">
        <f>Index[[#This Row],[Fat ]]*9</f>
        <v>0</v>
      </c>
    </row>
    <row r="398" spans="1:13" x14ac:dyDescent="0.3">
      <c r="A398" s="34" t="s">
        <v>468</v>
      </c>
      <c r="B398" s="5">
        <f>250*$H398</f>
        <v>0</v>
      </c>
      <c r="C398" s="5">
        <f>69*$H398</f>
        <v>0</v>
      </c>
      <c r="D398" s="5">
        <f t="shared" si="49"/>
        <v>0</v>
      </c>
      <c r="E398" s="5">
        <f t="shared" si="49"/>
        <v>0</v>
      </c>
      <c r="F398" s="5">
        <f t="shared" si="49"/>
        <v>0</v>
      </c>
      <c r="G398" s="5">
        <f>69*$H398</f>
        <v>0</v>
      </c>
      <c r="I398" s="22" t="s">
        <v>463</v>
      </c>
      <c r="J398" s="2">
        <v>14</v>
      </c>
      <c r="L398" s="5">
        <f>Index[[#This Row],[Calories]]-(Index[[#This Row],[Fat Removed]]*Index[[#This Row],[Fat Calories]])</f>
        <v>0</v>
      </c>
      <c r="M398" s="5">
        <f>Index[[#This Row],[Fat ]]*9</f>
        <v>0</v>
      </c>
    </row>
    <row r="399" spans="1:13" x14ac:dyDescent="0.3">
      <c r="A399" s="34" t="s">
        <v>469</v>
      </c>
      <c r="B399" s="5">
        <f>270*$H399</f>
        <v>0</v>
      </c>
      <c r="C399" s="5">
        <f>73*$H399</f>
        <v>0</v>
      </c>
      <c r="D399" s="5">
        <f t="shared" si="49"/>
        <v>0</v>
      </c>
      <c r="E399" s="5">
        <f t="shared" si="49"/>
        <v>0</v>
      </c>
      <c r="F399" s="5">
        <f t="shared" si="49"/>
        <v>0</v>
      </c>
      <c r="G399" s="5">
        <f>72*$H399</f>
        <v>0</v>
      </c>
      <c r="I399" s="22" t="s">
        <v>463</v>
      </c>
      <c r="J399" s="2">
        <v>13</v>
      </c>
      <c r="L399" s="5">
        <f>Index[[#This Row],[Calories]]-(Index[[#This Row],[Fat Removed]]*Index[[#This Row],[Fat Calories]])</f>
        <v>0</v>
      </c>
      <c r="M399" s="5">
        <f>Index[[#This Row],[Fat ]]*9</f>
        <v>0</v>
      </c>
    </row>
    <row r="400" spans="1:13" ht="37.5" x14ac:dyDescent="0.3">
      <c r="A400" s="34" t="s">
        <v>615</v>
      </c>
      <c r="B400" s="5">
        <f>420*$H400</f>
        <v>0</v>
      </c>
      <c r="C400" s="5">
        <f>111*$H400</f>
        <v>0</v>
      </c>
      <c r="D400" s="5">
        <f>0*$H400</f>
        <v>0</v>
      </c>
      <c r="E400" s="5">
        <f t="shared" si="49"/>
        <v>0</v>
      </c>
      <c r="F400" s="5">
        <f t="shared" si="49"/>
        <v>0</v>
      </c>
      <c r="G400" s="5">
        <f>111*$H400</f>
        <v>0</v>
      </c>
      <c r="I400" s="22" t="s">
        <v>616</v>
      </c>
      <c r="J400" s="2">
        <v>13</v>
      </c>
      <c r="L400" s="5">
        <f>Index[[#This Row],[Calories]]-(Index[[#This Row],[Fat Removed]]*Index[[#This Row],[Fat Calories]])</f>
        <v>0</v>
      </c>
      <c r="M400" s="5">
        <f>Index[[#This Row],[Fat ]]*9</f>
        <v>0</v>
      </c>
    </row>
    <row r="401" spans="1:13" x14ac:dyDescent="0.3">
      <c r="A401" s="34" t="s">
        <v>470</v>
      </c>
      <c r="B401" s="5">
        <f>13*$H401</f>
        <v>0</v>
      </c>
      <c r="C401" s="5">
        <f>3.2*$H401</f>
        <v>0</v>
      </c>
      <c r="D401" s="5">
        <f>0.1*$H401</f>
        <v>0</v>
      </c>
      <c r="E401" s="5">
        <f t="shared" si="49"/>
        <v>0</v>
      </c>
      <c r="F401" s="5">
        <f t="shared" si="49"/>
        <v>0</v>
      </c>
      <c r="G401" s="5">
        <f>3.1*$H401</f>
        <v>0</v>
      </c>
      <c r="I401" s="22" t="s">
        <v>207</v>
      </c>
      <c r="J401" s="2">
        <v>14</v>
      </c>
      <c r="L401" s="5">
        <f>Index[[#This Row],[Calories]]-(Index[[#This Row],[Fat Removed]]*Index[[#This Row],[Fat Calories]])</f>
        <v>0</v>
      </c>
      <c r="M401" s="5">
        <f>Index[[#This Row],[Fat ]]*9</f>
        <v>0</v>
      </c>
    </row>
    <row r="402" spans="1:13" x14ac:dyDescent="0.3">
      <c r="A402" s="34" t="s">
        <v>471</v>
      </c>
      <c r="B402" s="5">
        <f>14*$H402</f>
        <v>0</v>
      </c>
      <c r="C402" s="5">
        <f>3.8*$H402</f>
        <v>0</v>
      </c>
      <c r="D402" s="5">
        <f>0*$H402</f>
        <v>0</v>
      </c>
      <c r="E402" s="5">
        <f t="shared" si="49"/>
        <v>0</v>
      </c>
      <c r="F402" s="5">
        <f t="shared" si="49"/>
        <v>0</v>
      </c>
      <c r="G402" s="5">
        <f>3.8*$H402</f>
        <v>0</v>
      </c>
      <c r="I402" s="22" t="s">
        <v>207</v>
      </c>
      <c r="J402" s="2">
        <v>14</v>
      </c>
      <c r="L402" s="5">
        <f>Index[[#This Row],[Calories]]-(Index[[#This Row],[Fat Removed]]*Index[[#This Row],[Fat Calories]])</f>
        <v>0</v>
      </c>
      <c r="M402" s="5">
        <f>Index[[#This Row],[Fat ]]*9</f>
        <v>0</v>
      </c>
    </row>
    <row r="403" spans="1:13" x14ac:dyDescent="0.3">
      <c r="A403" s="34" t="s">
        <v>472</v>
      </c>
      <c r="B403" s="5">
        <f>13*$H403</f>
        <v>0</v>
      </c>
      <c r="C403" s="5">
        <f>3.2*$H403</f>
        <v>0</v>
      </c>
      <c r="D403" s="5">
        <f>0*$H403</f>
        <v>0</v>
      </c>
      <c r="E403" s="5">
        <f t="shared" si="49"/>
        <v>0</v>
      </c>
      <c r="F403" s="5">
        <f t="shared" si="49"/>
        <v>0</v>
      </c>
      <c r="G403" s="5">
        <f>3.1*$H403</f>
        <v>0</v>
      </c>
      <c r="I403" s="22" t="s">
        <v>207</v>
      </c>
      <c r="J403" s="2">
        <v>14</v>
      </c>
      <c r="L403" s="5">
        <f>Index[[#This Row],[Calories]]-(Index[[#This Row],[Fat Removed]]*Index[[#This Row],[Fat Calories]])</f>
        <v>0</v>
      </c>
      <c r="M403" s="5">
        <f>Index[[#This Row],[Fat ]]*9</f>
        <v>0</v>
      </c>
    </row>
    <row r="404" spans="1:13" x14ac:dyDescent="0.3">
      <c r="A404" s="34" t="s">
        <v>473</v>
      </c>
      <c r="B404" s="5">
        <f>13*$H404</f>
        <v>0</v>
      </c>
      <c r="C404" s="5">
        <f>3.2*$H404</f>
        <v>0</v>
      </c>
      <c r="D404" s="5">
        <f>0*$H404</f>
        <v>0</v>
      </c>
      <c r="E404" s="5">
        <f t="shared" si="49"/>
        <v>0</v>
      </c>
      <c r="F404" s="5">
        <f t="shared" si="49"/>
        <v>0</v>
      </c>
      <c r="G404" s="5">
        <f>3.2*$H404</f>
        <v>0</v>
      </c>
      <c r="I404" s="22" t="s">
        <v>207</v>
      </c>
      <c r="J404" s="2">
        <v>14</v>
      </c>
      <c r="L404" s="5">
        <f>Index[[#This Row],[Calories]]-(Index[[#This Row],[Fat Removed]]*Index[[#This Row],[Fat Calories]])</f>
        <v>0</v>
      </c>
      <c r="M404" s="5">
        <f>Index[[#This Row],[Fat ]]*9</f>
        <v>0</v>
      </c>
    </row>
    <row r="405" spans="1:13" ht="37.5" x14ac:dyDescent="0.3">
      <c r="A405" s="34" t="s">
        <v>474</v>
      </c>
      <c r="B405" s="5">
        <f>11*$H405</f>
        <v>0</v>
      </c>
      <c r="C405" s="5">
        <f>3*$H405</f>
        <v>0</v>
      </c>
      <c r="D405" s="5">
        <f>0*$H405</f>
        <v>0</v>
      </c>
      <c r="E405" s="5">
        <f t="shared" si="49"/>
        <v>0</v>
      </c>
      <c r="F405" s="5">
        <f t="shared" si="49"/>
        <v>0</v>
      </c>
      <c r="G405" s="5">
        <f>3*$H405</f>
        <v>0</v>
      </c>
      <c r="I405" s="22" t="s">
        <v>207</v>
      </c>
      <c r="J405" s="2">
        <v>14</v>
      </c>
      <c r="L405" s="5">
        <f>Index[[#This Row],[Calories]]-(Index[[#This Row],[Fat Removed]]*Index[[#This Row],[Fat Calories]])</f>
        <v>0</v>
      </c>
      <c r="M405" s="5">
        <f>Index[[#This Row],[Fat ]]*9</f>
        <v>0</v>
      </c>
    </row>
    <row r="406" spans="1:13" x14ac:dyDescent="0.3">
      <c r="A406" s="34" t="s">
        <v>475</v>
      </c>
      <c r="B406" s="5">
        <f>290*$H406</f>
        <v>0</v>
      </c>
      <c r="C406" s="5">
        <f>77*$H406</f>
        <v>0</v>
      </c>
      <c r="D406" s="5">
        <f t="shared" si="49"/>
        <v>0</v>
      </c>
      <c r="E406" s="5">
        <f t="shared" si="49"/>
        <v>0</v>
      </c>
      <c r="F406" s="5">
        <f t="shared" si="49"/>
        <v>0</v>
      </c>
      <c r="G406" s="5">
        <f>77*$H406</f>
        <v>0</v>
      </c>
      <c r="I406" s="22" t="s">
        <v>463</v>
      </c>
      <c r="J406" s="2">
        <v>14</v>
      </c>
      <c r="L406" s="5">
        <f>Index[[#This Row],[Calories]]-(Index[[#This Row],[Fat Removed]]*Index[[#This Row],[Fat Calories]])</f>
        <v>0</v>
      </c>
      <c r="M406" s="5">
        <f>Index[[#This Row],[Fat ]]*9</f>
        <v>0</v>
      </c>
    </row>
    <row r="407" spans="1:13" x14ac:dyDescent="0.3">
      <c r="A407" s="34" t="s">
        <v>476</v>
      </c>
      <c r="B407" s="5">
        <f>240*$H407</f>
        <v>0</v>
      </c>
      <c r="C407" s="5">
        <f>65*$H407</f>
        <v>0</v>
      </c>
      <c r="D407" s="5">
        <f>0*$H407</f>
        <v>0</v>
      </c>
      <c r="E407" s="5">
        <f>0*$H407</f>
        <v>0</v>
      </c>
      <c r="F407" s="5">
        <f>0*$H407</f>
        <v>0</v>
      </c>
      <c r="G407" s="5">
        <f>65*$H407</f>
        <v>0</v>
      </c>
      <c r="I407" s="22" t="s">
        <v>463</v>
      </c>
      <c r="J407" s="2">
        <v>14</v>
      </c>
      <c r="L407" s="5">
        <f>Index[[#This Row],[Calories]]-(Index[[#This Row],[Fat Removed]]*Index[[#This Row],[Fat Calories]])</f>
        <v>0</v>
      </c>
      <c r="M407" s="5">
        <f>Index[[#This Row],[Fat ]]*9</f>
        <v>0</v>
      </c>
    </row>
    <row r="408" spans="1:13" x14ac:dyDescent="0.3">
      <c r="A408" s="34" t="s">
        <v>477</v>
      </c>
      <c r="B408" s="5">
        <f>100*$H408</f>
        <v>0</v>
      </c>
      <c r="C408" s="5">
        <f>27*$H408</f>
        <v>0</v>
      </c>
      <c r="D408" s="5">
        <f t="shared" ref="D408:F408" si="50">0*$H408</f>
        <v>0</v>
      </c>
      <c r="E408" s="5">
        <f t="shared" si="50"/>
        <v>0</v>
      </c>
      <c r="F408" s="5">
        <f t="shared" si="50"/>
        <v>0</v>
      </c>
      <c r="G408" s="5">
        <f>26*$H408</f>
        <v>0</v>
      </c>
      <c r="I408" s="22" t="s">
        <v>463</v>
      </c>
      <c r="J408" s="2">
        <v>14</v>
      </c>
      <c r="L408" s="5">
        <f>Index[[#This Row],[Calories]]-(Index[[#This Row],[Fat Removed]]*Index[[#This Row],[Fat Calories]])</f>
        <v>0</v>
      </c>
      <c r="M408" s="5">
        <f>Index[[#This Row],[Fat ]]*9</f>
        <v>0</v>
      </c>
    </row>
    <row r="409" spans="1:13" ht="56.25" x14ac:dyDescent="0.3">
      <c r="A409" s="34" t="s">
        <v>478</v>
      </c>
      <c r="B409" s="5">
        <f>630*$H409</f>
        <v>0</v>
      </c>
      <c r="C409" s="5">
        <f>73.5*$H409</f>
        <v>0</v>
      </c>
      <c r="D409" s="5">
        <f>30*$H409</f>
        <v>0</v>
      </c>
      <c r="E409" s="5">
        <f>16.5*$H409</f>
        <v>0</v>
      </c>
      <c r="F409" s="5">
        <f>0*$H409</f>
        <v>0</v>
      </c>
      <c r="G409" s="5">
        <f>72*$H409</f>
        <v>0</v>
      </c>
      <c r="I409" s="22" t="s">
        <v>479</v>
      </c>
      <c r="J409" s="2">
        <v>14.01</v>
      </c>
      <c r="L409" s="5">
        <f>Index[[#This Row],[Calories]]-(Index[[#This Row],[Fat Removed]]*Index[[#This Row],[Fat Calories]])</f>
        <v>0</v>
      </c>
      <c r="M409" s="5">
        <f>Index[[#This Row],[Fat ]]*9</f>
        <v>0</v>
      </c>
    </row>
    <row r="410" spans="1:13" ht="26.25" x14ac:dyDescent="0.4">
      <c r="B410" s="5"/>
      <c r="C410" s="5"/>
      <c r="D410" s="5"/>
      <c r="E410" s="5"/>
      <c r="F410" s="5"/>
      <c r="G410" s="62" t="s">
        <v>480</v>
      </c>
      <c r="J410" s="2">
        <v>15</v>
      </c>
      <c r="L410" s="5"/>
      <c r="M410" s="5"/>
    </row>
    <row r="411" spans="1:13" x14ac:dyDescent="0.3">
      <c r="A411" s="34" t="s">
        <v>541</v>
      </c>
      <c r="B411" s="5"/>
      <c r="C411" s="5"/>
      <c r="D411" s="5"/>
      <c r="E411" s="5"/>
      <c r="F411" s="5"/>
      <c r="G411" s="36"/>
      <c r="J411" s="2">
        <v>15</v>
      </c>
      <c r="L411" s="5">
        <f>Index[[#This Row],[Calories]]-(Index[[#This Row],[Fat Removed]]*Index[[#This Row],[Fat Calories]])</f>
        <v>0</v>
      </c>
      <c r="M411" s="5">
        <f>Index[[#This Row],[Fat ]]*9</f>
        <v>0</v>
      </c>
    </row>
    <row r="412" spans="1:13" x14ac:dyDescent="0.3">
      <c r="A412" s="34" t="s">
        <v>598</v>
      </c>
      <c r="B412" s="5">
        <f>24*$H412</f>
        <v>0</v>
      </c>
      <c r="C412" s="5">
        <f>4.6*$H412</f>
        <v>0</v>
      </c>
      <c r="D412" s="5">
        <f>0.5*$H412</f>
        <v>0</v>
      </c>
      <c r="E412" s="5">
        <f t="shared" ref="E412" si="51">0*$H412</f>
        <v>0</v>
      </c>
      <c r="F412" s="5">
        <f>0*$H412</f>
        <v>0</v>
      </c>
      <c r="G412" s="36">
        <f>3.4*$H412</f>
        <v>0</v>
      </c>
      <c r="I412" s="22" t="s">
        <v>422</v>
      </c>
      <c r="J412" s="2">
        <v>15</v>
      </c>
      <c r="L412" s="5">
        <f>Index[[#This Row],[Calories]]-(Index[[#This Row],[Fat Removed]]*Index[[#This Row],[Fat Calories]])</f>
        <v>0</v>
      </c>
      <c r="M412" s="5">
        <f>Index[[#This Row],[Fat ]]*9</f>
        <v>0</v>
      </c>
    </row>
    <row r="413" spans="1:13" x14ac:dyDescent="0.3">
      <c r="A413" s="34" t="s">
        <v>481</v>
      </c>
      <c r="B413" s="5">
        <f>Spice[[#Totals],[Calories]]*$H413</f>
        <v>0</v>
      </c>
      <c r="C413" s="5">
        <f>Spice[[#Totals],[Carbs]]*$H413</f>
        <v>0</v>
      </c>
      <c r="D413" s="5">
        <f>Spice[[#Totals],[Fat]]*$H413</f>
        <v>0</v>
      </c>
      <c r="E413" s="5">
        <f>Spice[[#Totals],[Protein]]*$H413</f>
        <v>0</v>
      </c>
      <c r="F413" s="5">
        <f>Spice[[#Totals],[Fiber]]*$H413</f>
        <v>0</v>
      </c>
      <c r="G413" s="5">
        <f>Spice[[#Totals],[Sugar]]*$H413</f>
        <v>0</v>
      </c>
      <c r="I413" s="22" t="s">
        <v>482</v>
      </c>
      <c r="J413" s="2">
        <v>15</v>
      </c>
      <c r="L413" s="5">
        <f>Index[[#This Row],[Calories]]-(Index[[#This Row],[Fat Removed]]*Index[[#This Row],[Fat Calories]])</f>
        <v>0</v>
      </c>
      <c r="M413" s="5">
        <f>Index[[#This Row],[Fat ]]*9</f>
        <v>0</v>
      </c>
    </row>
    <row r="414" spans="1:13" x14ac:dyDescent="0.3">
      <c r="A414" s="34" t="s">
        <v>483</v>
      </c>
      <c r="B414" s="5">
        <f>2.5*$H414</f>
        <v>0</v>
      </c>
      <c r="C414" s="5">
        <f>0*$H414</f>
        <v>0</v>
      </c>
      <c r="D414" s="5">
        <f t="shared" ref="D414:G414" si="52">0*$H414</f>
        <v>0</v>
      </c>
      <c r="E414" s="5">
        <f t="shared" si="52"/>
        <v>0</v>
      </c>
      <c r="F414" s="5">
        <f t="shared" si="52"/>
        <v>0</v>
      </c>
      <c r="G414" s="5">
        <f t="shared" si="52"/>
        <v>0</v>
      </c>
      <c r="I414" s="22" t="s">
        <v>484</v>
      </c>
      <c r="J414" s="2">
        <v>15</v>
      </c>
      <c r="L414" s="5">
        <f>Index[[#This Row],[Calories]]-(Index[[#This Row],[Fat Removed]]*Index[[#This Row],[Fat Calories]])</f>
        <v>0</v>
      </c>
      <c r="M414" s="5">
        <f>Index[[#This Row],[Fat ]]*9</f>
        <v>0</v>
      </c>
    </row>
    <row r="415" spans="1:13" x14ac:dyDescent="0.3">
      <c r="A415" s="34" t="s">
        <v>34</v>
      </c>
      <c r="B415" s="5">
        <f>SUBTOTAL(109,Index[Calories])</f>
        <v>0</v>
      </c>
      <c r="C415" s="5">
        <f>SUBTOTAL(109,Index[Carbs])</f>
        <v>0</v>
      </c>
      <c r="D415" s="5">
        <f>SUBTOTAL(109,Index[[Fat ]])</f>
        <v>0</v>
      </c>
      <c r="E415" s="5">
        <f>SUBTOTAL(109,Index[Protein])</f>
        <v>0</v>
      </c>
      <c r="F415" s="5">
        <f>SUBTOTAL(109,Index[Fiber])</f>
        <v>0</v>
      </c>
      <c r="G415" s="5">
        <f>SUBTOTAL(109,Index[Sugar])</f>
        <v>0</v>
      </c>
      <c r="H415" s="5">
        <f>SUBTOTAL(109,Index[Carbs])</f>
        <v>0</v>
      </c>
      <c r="K415" s="5">
        <f>SUBTOTAL(109,Index[Fat Removed])</f>
        <v>0</v>
      </c>
      <c r="L415" s="5">
        <f>SUBTOTAL(109,Index[Calorie Prediction])</f>
        <v>0</v>
      </c>
      <c r="M415" s="5">
        <f>SUBTOTAL(109,Index[Fat Calories])</f>
        <v>0</v>
      </c>
    </row>
    <row r="417" spans="1:9" x14ac:dyDescent="0.3">
      <c r="H417" s="2" t="s">
        <v>485</v>
      </c>
      <c r="I417" s="22" t="s">
        <v>486</v>
      </c>
    </row>
    <row r="418" spans="1:9" x14ac:dyDescent="0.3">
      <c r="A418" s="34" t="s">
        <v>487</v>
      </c>
      <c r="B418" s="5" t="s">
        <v>488</v>
      </c>
      <c r="H418" s="2">
        <v>1</v>
      </c>
      <c r="I418" s="22" t="s">
        <v>489</v>
      </c>
    </row>
    <row r="419" spans="1:9" x14ac:dyDescent="0.3">
      <c r="A419" s="34" t="s">
        <v>490</v>
      </c>
      <c r="B419" s="5">
        <f>Index[[#Totals],[Calories]]-Index[[#Totals],[Calorie Prediction]]</f>
        <v>0</v>
      </c>
      <c r="H419" s="2">
        <v>2</v>
      </c>
      <c r="I419" s="22" t="s">
        <v>60</v>
      </c>
    </row>
    <row r="420" spans="1:9" x14ac:dyDescent="0.3">
      <c r="A420" s="34" t="s">
        <v>491</v>
      </c>
      <c r="B420" s="5">
        <f>Index[[#Totals],[Calorie Prediction]]</f>
        <v>0</v>
      </c>
      <c r="H420" s="2">
        <v>3</v>
      </c>
      <c r="I420" s="22" t="s">
        <v>78</v>
      </c>
    </row>
    <row r="421" spans="1:9" x14ac:dyDescent="0.3">
      <c r="A421" s="34" t="s">
        <v>492</v>
      </c>
      <c r="B421" s="5">
        <f>Index[[#Totals],[Fat ]]-(Index[[#Totals],[Fat Calories]]/9)</f>
        <v>0</v>
      </c>
      <c r="H421" s="2">
        <v>4</v>
      </c>
      <c r="I421" s="22" t="s">
        <v>92</v>
      </c>
    </row>
    <row r="422" spans="1:9" x14ac:dyDescent="0.3">
      <c r="A422" s="34" t="s">
        <v>493</v>
      </c>
      <c r="B422" s="5">
        <f>(Index[[#Totals],[Fat Calories]]/9)</f>
        <v>0</v>
      </c>
      <c r="H422" s="2">
        <v>5</v>
      </c>
      <c r="I422" s="22" t="s">
        <v>148</v>
      </c>
    </row>
    <row r="423" spans="1:9" x14ac:dyDescent="0.3">
      <c r="A423" s="34" t="s">
        <v>494</v>
      </c>
      <c r="B423" s="5">
        <f>Index[[#Totals],[Calories]]*0.8</f>
        <v>0</v>
      </c>
      <c r="C423" s="2" t="s">
        <v>495</v>
      </c>
      <c r="H423" s="2">
        <v>6</v>
      </c>
      <c r="I423" s="22" t="s">
        <v>166</v>
      </c>
    </row>
    <row r="424" spans="1:9" ht="37.5" x14ac:dyDescent="0.3">
      <c r="A424" s="34" t="s">
        <v>496</v>
      </c>
      <c r="B424" s="5">
        <f>Index[[#Totals],[Calorie Prediction]]*0.8</f>
        <v>0</v>
      </c>
      <c r="H424" s="2">
        <v>7</v>
      </c>
      <c r="I424" s="22" t="s">
        <v>497</v>
      </c>
    </row>
    <row r="425" spans="1:9" x14ac:dyDescent="0.3">
      <c r="A425" s="34" t="s">
        <v>498</v>
      </c>
      <c r="B425" s="5">
        <f>Index[[#Totals],[Carbs]]-Index[[#Totals],[Fiber]]</f>
        <v>0</v>
      </c>
      <c r="H425" s="2">
        <v>8</v>
      </c>
      <c r="I425" s="22" t="s">
        <v>499</v>
      </c>
    </row>
    <row r="426" spans="1:9" x14ac:dyDescent="0.3">
      <c r="B426" s="5"/>
      <c r="H426" s="2">
        <v>9</v>
      </c>
      <c r="I426" s="22" t="s">
        <v>346</v>
      </c>
    </row>
    <row r="427" spans="1:9" x14ac:dyDescent="0.3">
      <c r="A427" s="35" t="s">
        <v>500</v>
      </c>
      <c r="B427" s="5">
        <f>(16*B428)/12</f>
        <v>20</v>
      </c>
      <c r="H427" s="2">
        <v>10</v>
      </c>
      <c r="I427" s="22" t="s">
        <v>360</v>
      </c>
    </row>
    <row r="428" spans="1:9" x14ac:dyDescent="0.3">
      <c r="A428" s="35" t="s">
        <v>501</v>
      </c>
      <c r="B428" s="5">
        <v>15</v>
      </c>
      <c r="H428" s="2">
        <v>11</v>
      </c>
      <c r="I428" s="22" t="s">
        <v>375</v>
      </c>
    </row>
    <row r="429" spans="1:9" x14ac:dyDescent="0.3">
      <c r="H429" s="2">
        <v>12</v>
      </c>
      <c r="I429" s="22" t="s">
        <v>409</v>
      </c>
    </row>
    <row r="430" spans="1:9" x14ac:dyDescent="0.3">
      <c r="H430" s="2">
        <v>13</v>
      </c>
      <c r="I430" s="22" t="s">
        <v>428</v>
      </c>
    </row>
    <row r="431" spans="1:9" x14ac:dyDescent="0.3">
      <c r="H431" s="2">
        <v>14</v>
      </c>
      <c r="I431" s="22" t="s">
        <v>458</v>
      </c>
    </row>
    <row r="432" spans="1:9" x14ac:dyDescent="0.3">
      <c r="H432" s="2">
        <v>15</v>
      </c>
      <c r="I432" s="22" t="s">
        <v>480</v>
      </c>
    </row>
  </sheetData>
  <phoneticPr fontId="4" type="noConversion"/>
  <pageMargins left="0.7" right="0.7" top="0.75" bottom="0.75" header="0.3" footer="0.3"/>
  <ignoredErrors>
    <ignoredError sqref="I240 I248 I228:I233 I235:I238 I245 I242:I243 I3:I6 I7:I23" calculatedColumn="1"/>
  </ignoredErrors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A1C8-8035-4680-840D-63A385BBC8FA}">
  <sheetPr codeName="Sheet15"/>
  <dimension ref="A1:N264"/>
  <sheetViews>
    <sheetView tabSelected="1" workbookViewId="0">
      <selection activeCell="H5" sqref="H5"/>
    </sheetView>
  </sheetViews>
  <sheetFormatPr defaultColWidth="9.140625" defaultRowHeight="18.75" x14ac:dyDescent="0.3"/>
  <cols>
    <col min="1" max="1" width="30.7109375" style="34" customWidth="1"/>
    <col min="2" max="2" width="13.85546875" style="2" customWidth="1"/>
    <col min="3" max="3" width="10.85546875" style="2" customWidth="1"/>
    <col min="4" max="4" width="12.7109375" style="2" customWidth="1"/>
    <col min="5" max="5" width="12.28515625" style="2" customWidth="1"/>
    <col min="6" max="6" width="10" style="2" customWidth="1"/>
    <col min="7" max="7" width="24.28515625" style="2" customWidth="1"/>
    <col min="8" max="8" width="17.42578125" style="2" customWidth="1"/>
    <col min="9" max="9" width="42.5703125" style="22" customWidth="1"/>
    <col min="10" max="10" width="8.140625" style="2" customWidth="1"/>
    <col min="11" max="11" width="20.140625" style="2" customWidth="1"/>
    <col min="12" max="12" width="25.7109375" style="2" customWidth="1"/>
    <col min="13" max="13" width="17.42578125" style="2" customWidth="1"/>
    <col min="14" max="16384" width="9.140625" style="2"/>
  </cols>
  <sheetData>
    <row r="1" spans="1:14" ht="18.75" customHeight="1" x14ac:dyDescent="0.3">
      <c r="A1" s="34" t="s">
        <v>35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39</v>
      </c>
      <c r="K1" s="2" t="s">
        <v>40</v>
      </c>
      <c r="L1" s="2" t="s">
        <v>41</v>
      </c>
      <c r="M1" s="2" t="s">
        <v>42</v>
      </c>
      <c r="N1" s="2" t="s">
        <v>536</v>
      </c>
    </row>
    <row r="2" spans="1:14" ht="26.25" x14ac:dyDescent="0.4">
      <c r="B2" s="5"/>
      <c r="C2" s="5"/>
      <c r="D2" s="5"/>
      <c r="E2" s="5"/>
      <c r="F2" s="5"/>
      <c r="G2" s="63" t="s">
        <v>43</v>
      </c>
      <c r="J2" s="2">
        <v>0.01</v>
      </c>
      <c r="K2" s="35" t="s">
        <v>537</v>
      </c>
      <c r="N2" s="74"/>
    </row>
    <row r="3" spans="1:14" x14ac:dyDescent="0.3">
      <c r="A3" s="34" t="s">
        <v>44</v>
      </c>
      <c r="B3" s="5">
        <f>(Mexican!$B$60)*$H$3</f>
        <v>0</v>
      </c>
      <c r="C3" s="5">
        <f>(Mexican!$C$60)*$H$3</f>
        <v>0</v>
      </c>
      <c r="D3" s="5">
        <f>(Mexican!$D$60)*$H$3</f>
        <v>0</v>
      </c>
      <c r="E3" s="5">
        <f>(Mexican!$E$60)*$H$3</f>
        <v>0</v>
      </c>
      <c r="F3" s="5">
        <f>(Mexican!$F$60)*$H$3</f>
        <v>0</v>
      </c>
      <c r="G3" s="5">
        <f>(Mexican!$G$60)*$H$3</f>
        <v>0</v>
      </c>
      <c r="I3" s="22" t="str">
        <f>_xlfn.CONCAT("1 of ", Mexican!$I$60)</f>
        <v>1 of 6</v>
      </c>
      <c r="J3" s="2">
        <v>0.01</v>
      </c>
      <c r="L3" s="23">
        <f>Log[[#This Row],[Calories]]-(9*(Log[[#This Row],[Fat Removed]]/Mexican!$I$60))</f>
        <v>0</v>
      </c>
      <c r="M3" s="5">
        <f>Log[[#This Row],[Fat]]*9</f>
        <v>0</v>
      </c>
      <c r="N3" s="74" t="b">
        <f>NOT(ISERROR(MATCH(A3,Index[Item],0)))</f>
        <v>1</v>
      </c>
    </row>
    <row r="4" spans="1:14" x14ac:dyDescent="0.3">
      <c r="A4" s="34" t="s">
        <v>45</v>
      </c>
      <c r="B4" s="5">
        <f>(Mexican!B23)*$H$4</f>
        <v>0</v>
      </c>
      <c r="C4" s="5">
        <f>(Mexican!C23)*$H$4</f>
        <v>0</v>
      </c>
      <c r="D4" s="5">
        <f>(Mexican!D23)*$H$4</f>
        <v>0</v>
      </c>
      <c r="E4" s="5">
        <f>(Mexican!E23)*$H$4</f>
        <v>0</v>
      </c>
      <c r="F4" s="5">
        <f>(Mexican!F23)*$H$4</f>
        <v>0</v>
      </c>
      <c r="G4" s="5">
        <f>(Mexican!G23)*$H$4</f>
        <v>0</v>
      </c>
      <c r="I4" s="22" t="str">
        <f>_xlfn.CONCAT("1 of ", BeefMexican[[#Totals],[Measurement]])</f>
        <v>1 of 4</v>
      </c>
      <c r="J4" s="2">
        <v>0.01</v>
      </c>
      <c r="L4" s="5">
        <f>Log[[#This Row],[Calories]]-(9*(Log[[#This Row],[Fat Removed]]/Mexican!I23))</f>
        <v>0</v>
      </c>
      <c r="M4" s="5">
        <f>Log[[#This Row],[Fat]]*9</f>
        <v>0</v>
      </c>
      <c r="N4" s="74" t="b">
        <f>NOT(ISERROR(MATCH(A4,Index[Item],0)))</f>
        <v>1</v>
      </c>
    </row>
    <row r="5" spans="1:14" x14ac:dyDescent="0.3">
      <c r="A5" s="34" t="s">
        <v>656</v>
      </c>
      <c r="B5" s="5">
        <f>'Pasta Dish'!B40*$H5</f>
        <v>599.19999999999993</v>
      </c>
      <c r="C5" s="5">
        <f>'Pasta Dish'!C40*$H5</f>
        <v>60.624999999999993</v>
      </c>
      <c r="D5" s="5">
        <f>'Pasta Dish'!D40*$H5</f>
        <v>26.250000000000004</v>
      </c>
      <c r="E5" s="5">
        <f>'Pasta Dish'!E40*$H5</f>
        <v>25.625000000000004</v>
      </c>
      <c r="F5" s="5">
        <f>'Pasta Dish'!F40*$H5</f>
        <v>6.5875000000000004</v>
      </c>
      <c r="G5" s="5">
        <f>'Pasta Dish'!G40*$H5</f>
        <v>11.2125</v>
      </c>
      <c r="H5" s="2">
        <v>1</v>
      </c>
      <c r="I5" s="22" t="str">
        <f>_xlfn.CONCAT("1 of ", Pasta[[#Totals],[Measurement]])</f>
        <v>1 of 8</v>
      </c>
      <c r="J5" s="2">
        <v>0.01</v>
      </c>
      <c r="L5" s="5">
        <f>Log[[#This Row],[Calories]]-(9*(Log[[#This Row],[Fat Removed]]/Pasta[[#Totals],[Measurement]]))</f>
        <v>599.19999999999993</v>
      </c>
      <c r="M5" s="5">
        <f>Log[[#This Row],[Fat]]*9</f>
        <v>236.25000000000003</v>
      </c>
      <c r="N5" s="74" t="b">
        <f>NOT(ISERROR(MATCH(A5,Index[Item],0)))</f>
        <v>1</v>
      </c>
    </row>
    <row r="6" spans="1:14" x14ac:dyDescent="0.3">
      <c r="A6" s="34" t="s">
        <v>593</v>
      </c>
      <c r="B6" s="5">
        <f>('Chicken Casserole'!B39)*$H$6</f>
        <v>0</v>
      </c>
      <c r="C6" s="5">
        <f>('Chicken Casserole'!C39)*$H$6</f>
        <v>0</v>
      </c>
      <c r="D6" s="5">
        <f>('Chicken Casserole'!D39)*$H$6</f>
        <v>0</v>
      </c>
      <c r="E6" s="5">
        <f>('Chicken Casserole'!E39)*$H$6</f>
        <v>0</v>
      </c>
      <c r="F6" s="5">
        <f>('Chicken Casserole'!F39)*$H$6</f>
        <v>0</v>
      </c>
      <c r="G6" s="5">
        <f>('Chicken Casserole'!G39)*$H$6</f>
        <v>0</v>
      </c>
      <c r="I6" s="22" t="str">
        <f>_xlfn.CONCAT("1 of ", ChickenCasserole[[#Totals],[Measurement]])</f>
        <v>1 of 6</v>
      </c>
      <c r="J6" s="2">
        <v>0.01</v>
      </c>
      <c r="L6" s="5">
        <f>Log[[#This Row],[Calories]]-(9*(Log[[#This Row],[Fat Removed]]/ChickenCasserole[[#Totals],[Measurement]]))</f>
        <v>0</v>
      </c>
      <c r="M6" s="5">
        <f>Log[[#This Row],[Fat]]*9</f>
        <v>0</v>
      </c>
      <c r="N6" s="74" t="b">
        <f>NOT(ISERROR(MATCH(A6,Index[Item],0)))</f>
        <v>1</v>
      </c>
    </row>
    <row r="7" spans="1:14" x14ac:dyDescent="0.3">
      <c r="A7" s="34" t="s">
        <v>631</v>
      </c>
      <c r="B7" s="5">
        <f>('Roman Chicken'!B36)*$H$7</f>
        <v>480.1583333333333</v>
      </c>
      <c r="C7" s="5">
        <f>('Roman Chicken'!C36)*$H$7</f>
        <v>18.780555555555555</v>
      </c>
      <c r="D7" s="5">
        <f>('Roman Chicken'!D36)*$H$7</f>
        <v>23.25</v>
      </c>
      <c r="E7" s="5">
        <f>('Roman Chicken'!E36)*$H$7</f>
        <v>54.461111111111116</v>
      </c>
      <c r="F7" s="5">
        <f>('Roman Chicken'!F36)*$H$7</f>
        <v>4.447222222222222</v>
      </c>
      <c r="G7" s="5">
        <f>('Roman Chicken'!G36)*$H$7</f>
        <v>8.2416666666666671</v>
      </c>
      <c r="H7" s="2">
        <v>1</v>
      </c>
      <c r="I7" s="22" t="str">
        <f>_xlfn.CONCAT("1 of ", RomanChicken[[#Totals],[Measurement]])</f>
        <v>1 of 6</v>
      </c>
      <c r="J7" s="2">
        <v>0.01</v>
      </c>
      <c r="L7" s="5">
        <f>Log[[#This Row],[Calories]]-(9*(Log[[#This Row],[Fat Removed]]/RomanChicken[[#Totals],[Measurement]]))</f>
        <v>480.1583333333333</v>
      </c>
      <c r="M7" s="2">
        <f>Log[[#This Row],[Fat]]*9</f>
        <v>209.25</v>
      </c>
      <c r="N7" s="74" t="b">
        <f>NOT(ISERROR(MATCH(A7,Index[Item],0)))</f>
        <v>1</v>
      </c>
    </row>
    <row r="8" spans="1:14" x14ac:dyDescent="0.3">
      <c r="A8" s="34" t="s">
        <v>57</v>
      </c>
      <c r="B8" s="5">
        <f>('Buffalo Chicken'!B34)*$H$8</f>
        <v>0</v>
      </c>
      <c r="C8" s="5">
        <f>('Buffalo Chicken'!C34)*$H$8</f>
        <v>0</v>
      </c>
      <c r="D8" s="5">
        <f>('Buffalo Chicken'!D34)*$H$8</f>
        <v>0</v>
      </c>
      <c r="E8" s="5">
        <f>('Buffalo Chicken'!E34)*$H$8</f>
        <v>0</v>
      </c>
      <c r="F8" s="5">
        <f>('Buffalo Chicken'!F34)*$H$8</f>
        <v>0</v>
      </c>
      <c r="G8" s="5">
        <f>('Buffalo Chicken'!G34)*$H$8</f>
        <v>0</v>
      </c>
      <c r="I8" s="22" t="str">
        <f>_xlfn.CONCAT("1 of ", Buffalo[[#Totals],[Measurement]])</f>
        <v>1 of 6</v>
      </c>
      <c r="J8" s="2">
        <v>0.01</v>
      </c>
      <c r="L8" s="5">
        <f>Log[[#This Row],[Calories]]-(9*(Log[[#This Row],[Fat Removed]]/'Buffalo Chicken'!I34))</f>
        <v>0</v>
      </c>
      <c r="M8" s="5">
        <f>Log[[#This Row],[Fat]]*9</f>
        <v>0</v>
      </c>
      <c r="N8" s="74" t="b">
        <f>NOT(ISERROR(MATCH(A8,Index[Item],0)))</f>
        <v>1</v>
      </c>
    </row>
    <row r="9" spans="1:14" x14ac:dyDescent="0.3">
      <c r="A9" s="34" t="s">
        <v>46</v>
      </c>
      <c r="B9" s="5">
        <f>('Kung Poa'!B46)*$H$9</f>
        <v>0</v>
      </c>
      <c r="C9" s="5">
        <f>('Kung Poa'!C46)*$H$9</f>
        <v>0</v>
      </c>
      <c r="D9" s="5">
        <f>('Kung Poa'!D46)*$H$9</f>
        <v>0</v>
      </c>
      <c r="E9" s="5">
        <f>('Kung Poa'!E46)*$H$9</f>
        <v>0</v>
      </c>
      <c r="F9" s="5">
        <f>('Kung Poa'!F46)*$H$9</f>
        <v>0</v>
      </c>
      <c r="G9" s="5">
        <f>('Kung Poa'!G46)*$H$9</f>
        <v>0</v>
      </c>
      <c r="I9" s="22" t="str">
        <f>_xlfn.CONCAT("1 of ", FriedRice33[[#Totals],[Measurement]])</f>
        <v>1 of 6</v>
      </c>
      <c r="J9" s="2">
        <v>0.01</v>
      </c>
      <c r="L9" s="5">
        <f>Log[[#This Row],[Calories]]-(9*(Log[[#This Row],[Fat Removed]]/'Kung Poa'!I46))</f>
        <v>0</v>
      </c>
      <c r="M9" s="5">
        <f>Log[[#This Row],[Fat]]*9</f>
        <v>0</v>
      </c>
      <c r="N9" s="74" t="b">
        <f>NOT(ISERROR(MATCH(A9,Index[Item],0)))</f>
        <v>1</v>
      </c>
    </row>
    <row r="10" spans="1:14" x14ac:dyDescent="0.3">
      <c r="A10" s="34" t="s">
        <v>47</v>
      </c>
      <c r="B10" s="5">
        <f>('General Tso'!B48)*$H$10</f>
        <v>0</v>
      </c>
      <c r="C10" s="5">
        <f>('General Tso'!C48)*$H$10</f>
        <v>0</v>
      </c>
      <c r="D10" s="5">
        <f>('General Tso'!D48)*$H$10</f>
        <v>0</v>
      </c>
      <c r="E10" s="5">
        <f>('General Tso'!E48)*$H$10</f>
        <v>0</v>
      </c>
      <c r="F10" s="5">
        <f>('General Tso'!F48)*$H$10</f>
        <v>0</v>
      </c>
      <c r="G10" s="5">
        <f>('General Tso'!G48)*$H$10</f>
        <v>0</v>
      </c>
      <c r="I10" s="22" t="str">
        <f>_xlfn.CONCAT("1 of ", FriedRice33[[#Totals],[Measurement]])</f>
        <v>1 of 6</v>
      </c>
      <c r="J10" s="2">
        <v>0.01</v>
      </c>
      <c r="L10" s="5">
        <f>Log[[#This Row],[Calories]]-(9*(Log[[#This Row],[Fat Removed]]/'General Tso'!I48))</f>
        <v>0</v>
      </c>
      <c r="M10" s="5">
        <f>Log[[#This Row],[Fat]]*9</f>
        <v>0</v>
      </c>
      <c r="N10" s="74" t="b">
        <f>NOT(ISERROR(MATCH(A10,Index[Item],0)))</f>
        <v>1</v>
      </c>
    </row>
    <row r="11" spans="1:14" x14ac:dyDescent="0.3">
      <c r="A11" s="34" t="s">
        <v>48</v>
      </c>
      <c r="B11" s="5">
        <f>(Soba!B40)*$H$11</f>
        <v>0</v>
      </c>
      <c r="C11" s="5">
        <f>(Soba!C40)*$H$11</f>
        <v>0</v>
      </c>
      <c r="D11" s="5">
        <f>(Soba!D40)*$H$11</f>
        <v>0</v>
      </c>
      <c r="E11" s="5">
        <f>(Soba!E40)*$H$11</f>
        <v>0</v>
      </c>
      <c r="F11" s="5">
        <f>(Soba!F40)*$H$11</f>
        <v>0</v>
      </c>
      <c r="G11" s="5">
        <f>(Soba!G40)*$H$11</f>
        <v>0</v>
      </c>
      <c r="I11" s="22" t="str">
        <f>_xlfn.CONCAT("1 of ", Soba[[#Totals],[Measurement]])</f>
        <v>1 of 1</v>
      </c>
      <c r="J11" s="2">
        <v>0.01</v>
      </c>
      <c r="L11" s="5">
        <f>Log[[#This Row],[Calories]]-(9*(Log[[#This Row],[Fat Removed]]/Soba!I40))</f>
        <v>0</v>
      </c>
      <c r="M11" s="5">
        <f>Log[[#This Row],[Fat]]*9</f>
        <v>0</v>
      </c>
      <c r="N11" s="74" t="b">
        <f>NOT(ISERROR(MATCH(A11,Index[Item],0)))</f>
        <v>1</v>
      </c>
    </row>
    <row r="12" spans="1:14" x14ac:dyDescent="0.3">
      <c r="A12" s="34" t="s">
        <v>49</v>
      </c>
      <c r="B12" s="5">
        <f>('Black Pepper Chicken'!B55)*$H$12</f>
        <v>0</v>
      </c>
      <c r="C12" s="5">
        <f>('Black Pepper Chicken'!C55)*$H$12</f>
        <v>0</v>
      </c>
      <c r="D12" s="5">
        <f>('Black Pepper Chicken'!D55)*$H$12</f>
        <v>0</v>
      </c>
      <c r="E12" s="5">
        <f>('Black Pepper Chicken'!E55)*$H$12</f>
        <v>0</v>
      </c>
      <c r="F12" s="5">
        <f>('Black Pepper Chicken'!F55)*$H$12</f>
        <v>0</v>
      </c>
      <c r="G12" s="5">
        <f>('Black Pepper Chicken'!G55)*$H$12</f>
        <v>0</v>
      </c>
      <c r="I12" s="22" t="str">
        <f>_xlfn.CONCAT("1 of ", HoneyChicken[[#Totals],[Measurement]])</f>
        <v>1 of 6</v>
      </c>
      <c r="J12" s="2">
        <v>0.01</v>
      </c>
      <c r="L12" s="5">
        <f>Log[[#This Row],[Calories]]-(9*(Log[[#This Row],[Fat Removed]]/'Black Pepper Chicken'!I55))</f>
        <v>0</v>
      </c>
      <c r="M12" s="5">
        <f>Log[[#This Row],[Fat]]*9</f>
        <v>0</v>
      </c>
      <c r="N12" s="74" t="b">
        <f>NOT(ISERROR(MATCH(A12,Index[Item],0)))</f>
        <v>1</v>
      </c>
    </row>
    <row r="13" spans="1:14" x14ac:dyDescent="0.3">
      <c r="A13" s="34" t="s">
        <v>50</v>
      </c>
      <c r="B13" s="5">
        <f>('Sesame Chicken'!B59)*$H$13</f>
        <v>0</v>
      </c>
      <c r="C13" s="5">
        <f>('Sesame Chicken'!C59)*$H$13</f>
        <v>0</v>
      </c>
      <c r="D13" s="5">
        <f>('Sesame Chicken'!D59)*$H$13</f>
        <v>0</v>
      </c>
      <c r="E13" s="5">
        <f>('Sesame Chicken'!E59)*$H$13</f>
        <v>0</v>
      </c>
      <c r="F13" s="5">
        <f>('Sesame Chicken'!F59)*$H$13</f>
        <v>0</v>
      </c>
      <c r="G13" s="5">
        <f>('Sesame Chicken'!G59)*$H$13</f>
        <v>0</v>
      </c>
      <c r="I13" s="22" t="str">
        <f>_xlfn.CONCAT("1 of ", HoneyChicken[[#Totals],[Measurement]])</f>
        <v>1 of 6</v>
      </c>
      <c r="J13" s="2">
        <v>0.01</v>
      </c>
      <c r="L13" s="5">
        <f>Log[[#This Row],[Calories]]-(9*(Log[[#This Row],[Fat Removed]]/'Sesame Chicken'!I59))</f>
        <v>0</v>
      </c>
      <c r="M13" s="5">
        <f>Log[[#This Row],[Fat]]*9</f>
        <v>0</v>
      </c>
      <c r="N13" s="74" t="b">
        <f>NOT(ISERROR(MATCH(A13,Index[Item],0)))</f>
        <v>1</v>
      </c>
    </row>
    <row r="14" spans="1:14" x14ac:dyDescent="0.3">
      <c r="A14" s="34" t="s">
        <v>51</v>
      </c>
      <c r="B14" s="5">
        <f>('Chow Mein'!B48)*$H$14</f>
        <v>0</v>
      </c>
      <c r="C14" s="5">
        <f>('Chow Mein'!C48)*$H$14</f>
        <v>0</v>
      </c>
      <c r="D14" s="5">
        <f>('Chow Mein'!D48)*$H$14</f>
        <v>0</v>
      </c>
      <c r="E14" s="5">
        <f>('Chow Mein'!E48)*$H$14</f>
        <v>0</v>
      </c>
      <c r="F14" s="5">
        <f>('Chow Mein'!F48)*$H$14</f>
        <v>0</v>
      </c>
      <c r="G14" s="5">
        <f>('Chow Mein'!G48)*$H$14</f>
        <v>0</v>
      </c>
      <c r="I14" s="22" t="str">
        <f>_xlfn.CONCAT("1 of ", FriedRice3358[[#Totals],[Measurement]])</f>
        <v>1 of 8</v>
      </c>
      <c r="J14" s="2">
        <v>0.01</v>
      </c>
      <c r="L14" s="5">
        <f>Log[[#This Row],[Calories]]-(9*(Log[[#This Row],[Fat Removed]]/'Chow Mein'!I48))</f>
        <v>0</v>
      </c>
      <c r="M14" s="5">
        <f>Log[[#This Row],[Fat]]*9</f>
        <v>0</v>
      </c>
      <c r="N14" s="74" t="b">
        <f>NOT(ISERROR(MATCH(A14,Index[Item],0)))</f>
        <v>1</v>
      </c>
    </row>
    <row r="15" spans="1:14" x14ac:dyDescent="0.3">
      <c r="A15" s="34" t="s">
        <v>52</v>
      </c>
      <c r="B15" s="5">
        <f>('Char Siu'!B37)*$H$15</f>
        <v>0</v>
      </c>
      <c r="C15" s="5">
        <f>('Char Siu'!C37)*$H$15</f>
        <v>0</v>
      </c>
      <c r="D15" s="5">
        <f>('Char Siu'!D37)*$H$15</f>
        <v>0</v>
      </c>
      <c r="E15" s="5">
        <f>('Char Siu'!E37)*$H$15</f>
        <v>0</v>
      </c>
      <c r="F15" s="5">
        <f>('Char Siu'!F37)*$H$15</f>
        <v>0</v>
      </c>
      <c r="G15" s="5">
        <f>('Char Siu'!G37)*$H$15</f>
        <v>0</v>
      </c>
      <c r="I15" s="22" t="str">
        <f>_xlfn.CONCAT("1 of ",CharSiu[[#Totals],[Measurement]])</f>
        <v>1 of 6</v>
      </c>
      <c r="J15" s="2">
        <v>0.01</v>
      </c>
      <c r="L15" s="5">
        <f>Log[[#This Row],[Calories]]-(9*(Log[[#This Row],[Fat Removed]]/'Char Siu'!I37))</f>
        <v>0</v>
      </c>
      <c r="M15" s="5">
        <f>Log[[#This Row],[Fat]]*9</f>
        <v>0</v>
      </c>
      <c r="N15" s="74" t="b">
        <f>NOT(ISERROR(MATCH(A15,Index[Item],0)))</f>
        <v>1</v>
      </c>
    </row>
    <row r="16" spans="1:14" x14ac:dyDescent="0.3">
      <c r="A16" s="34" t="s">
        <v>53</v>
      </c>
      <c r="B16" s="5">
        <f>('Fried Rice'!B41)*$H$16</f>
        <v>0</v>
      </c>
      <c r="C16" s="5">
        <f>('Fried Rice'!C41)*$H$16</f>
        <v>0</v>
      </c>
      <c r="D16" s="5">
        <f>('Fried Rice'!D41)*$H$16</f>
        <v>0</v>
      </c>
      <c r="E16" s="5">
        <f>('Fried Rice'!E41)*$H$16</f>
        <v>0</v>
      </c>
      <c r="F16" s="5">
        <f>('Fried Rice'!F41)*$H$16</f>
        <v>0</v>
      </c>
      <c r="G16" s="5">
        <f>('Fried Rice'!G41)*$H$16</f>
        <v>0</v>
      </c>
      <c r="I16" s="22" t="str">
        <f>_xlfn.CONCAT("1 of ", FriedRice[[#Totals],[Measurement]])</f>
        <v>1 of 6</v>
      </c>
      <c r="J16" s="2">
        <v>0.01</v>
      </c>
      <c r="L16" s="5">
        <f>Log[[#This Row],[Calories]]-(9*(Log[[#This Row],[Fat Removed]]/'Fried Rice'!I41))</f>
        <v>0</v>
      </c>
      <c r="M16" s="5">
        <f>Log[[#This Row],[Fat]]*9</f>
        <v>0</v>
      </c>
      <c r="N16" s="74" t="b">
        <f>NOT(ISERROR(MATCH(A16,Index[Item],0)))</f>
        <v>1</v>
      </c>
    </row>
    <row r="17" spans="1:14" x14ac:dyDescent="0.3">
      <c r="A17" s="34" t="s">
        <v>54</v>
      </c>
      <c r="B17" s="5">
        <f>Pizza[[#Totals],[Calories]]*$H$17</f>
        <v>0</v>
      </c>
      <c r="C17" s="5">
        <f>Pizza[[#Totals],[Carbs]]*$H$17</f>
        <v>0</v>
      </c>
      <c r="D17" s="5">
        <f>Pizza[[#Totals],[Fat ]]*$H$17</f>
        <v>0</v>
      </c>
      <c r="E17" s="5">
        <f>Pizza[[#Totals],[Protein]]*$H$17</f>
        <v>0</v>
      </c>
      <c r="F17" s="5">
        <f>Pizza[[#Totals],[Fiber]]*$H$17</f>
        <v>0</v>
      </c>
      <c r="G17" s="5">
        <f>Pizza[[#Totals],[Sugar]]*$H$17</f>
        <v>0</v>
      </c>
      <c r="I17" s="22" t="str">
        <f>_xlfn.CONCAT("1 of ", Pizza[[#Totals],[Measurement]])</f>
        <v>1 of 4</v>
      </c>
      <c r="J17" s="2">
        <v>0.01</v>
      </c>
      <c r="L17" s="5">
        <f>Log[[#This Row],[Calories]]-(9*(Log[[#This Row],[Fat Removed]]/Pizza!I55))</f>
        <v>0</v>
      </c>
      <c r="M17" s="5">
        <f>Log[[#This Row],[Fat]]*9</f>
        <v>0</v>
      </c>
      <c r="N17" s="74" t="b">
        <f>NOT(ISERROR(MATCH(A17,Index[Item],0)))</f>
        <v>1</v>
      </c>
    </row>
    <row r="18" spans="1:14" x14ac:dyDescent="0.3">
      <c r="A18" s="34" t="s">
        <v>568</v>
      </c>
      <c r="B18" s="5">
        <f>BBQPizza[[#Totals],[Calories]]*$H$18</f>
        <v>0</v>
      </c>
      <c r="C18" s="5">
        <f>BBQPizza[[#Totals],[Carbs]]*$H$18</f>
        <v>0</v>
      </c>
      <c r="D18" s="5">
        <f>BBQPizza[[#Totals],[Fat ]]*$H$18</f>
        <v>0</v>
      </c>
      <c r="E18" s="5">
        <f>BBQPizza[[#Totals],[Protein]]*$H$18</f>
        <v>0</v>
      </c>
      <c r="F18" s="5">
        <f>BBQPizza[[#Totals],[Fiber]]*$H$18</f>
        <v>0</v>
      </c>
      <c r="G18" s="5">
        <f>BBQPizza[[#Totals],[Sugar]]*$H$18</f>
        <v>0</v>
      </c>
      <c r="I18" s="22" t="str">
        <f>_xlfn.CONCAT("1 of ", BBQPizza[[#Totals],[Measurement]])</f>
        <v>1 of 4</v>
      </c>
      <c r="J18" s="2">
        <v>0.01</v>
      </c>
      <c r="L18" s="23">
        <f>Log[[#This Row],[Calories]]-(9*(Log[[#This Row],[Fat Removed]]/'BBQ Pizza'!I56))</f>
        <v>0</v>
      </c>
      <c r="M18" s="23">
        <f>Log[[#This Row],[Fat]]*9</f>
        <v>0</v>
      </c>
      <c r="N18" s="74" t="b">
        <f>NOT(ISERROR(MATCH(A18,Index[Item],0)))</f>
        <v>1</v>
      </c>
    </row>
    <row r="19" spans="1:14" x14ac:dyDescent="0.3">
      <c r="A19" s="34" t="s">
        <v>564</v>
      </c>
      <c r="B19" s="5">
        <f>'Pasta Sauce'!B43*$H19</f>
        <v>0</v>
      </c>
      <c r="C19" s="5">
        <f>'Pasta Sauce'!C43*$H19</f>
        <v>0</v>
      </c>
      <c r="D19" s="5">
        <f>'Pasta Sauce'!D43*$H19</f>
        <v>0</v>
      </c>
      <c r="E19" s="5">
        <f>'Pasta Sauce'!E43*$H19</f>
        <v>0</v>
      </c>
      <c r="F19" s="5">
        <f>'Pasta Sauce'!F43*$H19</f>
        <v>0</v>
      </c>
      <c r="G19" s="5">
        <f>'Pasta Sauce'!G43*$H19</f>
        <v>0</v>
      </c>
      <c r="I19" s="22" t="str">
        <f>_xlfn.CONCAT("1 of ", Sauce[[#Totals],[Measurement]])</f>
        <v>1 of 1</v>
      </c>
      <c r="J19" s="2">
        <v>0.01</v>
      </c>
      <c r="L19" s="23">
        <f>Log[[#This Row],[Calories]]-(9*(Log[[#This Row],[Fat Removed]]/'Pasta Sauce'!I34))</f>
        <v>0</v>
      </c>
      <c r="M19" s="23">
        <f>Log[[#This Row],[Fat]]*9</f>
        <v>0</v>
      </c>
      <c r="N19" s="74" t="b">
        <f>NOT(ISERROR(MATCH(A19,Index[Item],0)))</f>
        <v>1</v>
      </c>
    </row>
    <row r="20" spans="1:14" x14ac:dyDescent="0.3">
      <c r="A20" s="34" t="s">
        <v>55</v>
      </c>
      <c r="B20" s="5">
        <f>('Roast'!B24)*$H$20</f>
        <v>0</v>
      </c>
      <c r="C20" s="5">
        <f>('Roast'!C24)*$H$20</f>
        <v>0</v>
      </c>
      <c r="D20" s="5">
        <f>('Roast'!D24)*$H$20</f>
        <v>0</v>
      </c>
      <c r="E20" s="5">
        <f>('Roast'!E24)*$H$20</f>
        <v>0</v>
      </c>
      <c r="F20" s="5">
        <f>('Roast'!F24)*$H$20</f>
        <v>0</v>
      </c>
      <c r="G20" s="5">
        <f>('Roast'!G24)*$H$20</f>
        <v>0</v>
      </c>
      <c r="I20" s="22" t="str">
        <f>_xlfn.CONCAT("1 of ", Roast[[#Totals],[Measurement]])</f>
        <v>1 of 6</v>
      </c>
      <c r="J20" s="2">
        <v>0.01</v>
      </c>
      <c r="L20" s="5">
        <f>Log[[#This Row],[Calories]]-(9*(Log[[#This Row],[Fat Removed]]/'Roast'!I24))</f>
        <v>0</v>
      </c>
      <c r="M20" s="5">
        <f>Log[[#This Row],[Fat]]*9</f>
        <v>0</v>
      </c>
      <c r="N20" s="74" t="b">
        <f>NOT(ISERROR(MATCH(A20,Index[Item],0)))</f>
        <v>1</v>
      </c>
    </row>
    <row r="21" spans="1:14" x14ac:dyDescent="0.3">
      <c r="A21" s="34" t="s">
        <v>56</v>
      </c>
      <c r="B21" s="5">
        <f>(Salad!B23)*$H$21</f>
        <v>0</v>
      </c>
      <c r="C21" s="5">
        <f>(Salad!C23)*$H$21</f>
        <v>0</v>
      </c>
      <c r="D21" s="5">
        <f>(Salad!D23)*$H$21</f>
        <v>0</v>
      </c>
      <c r="E21" s="5">
        <f>(Salad!E23)*$H$21</f>
        <v>0</v>
      </c>
      <c r="F21" s="5">
        <f>(Salad!F23)*$H$21</f>
        <v>0</v>
      </c>
      <c r="G21" s="5">
        <f>(Salad!G23)*$H$21</f>
        <v>0</v>
      </c>
      <c r="I21" s="22" t="str">
        <f>_xlfn.CONCAT("1 of ", Salad[[#Totals],[Measurement]])</f>
        <v>1 of 1</v>
      </c>
      <c r="J21" s="2">
        <v>0.01</v>
      </c>
      <c r="L21" s="5">
        <f>Log[[#This Row],[Calories]]-(9*(Log[[#This Row],[Fat Removed]]/Salad!I23))</f>
        <v>0</v>
      </c>
      <c r="M21" s="5">
        <f>Log[[#This Row],[Fat]]*9</f>
        <v>0</v>
      </c>
      <c r="N21" s="74" t="b">
        <f>NOT(ISERROR(MATCH(A21,Index[Item],0)))</f>
        <v>1</v>
      </c>
    </row>
    <row r="22" spans="1:14" x14ac:dyDescent="0.3">
      <c r="A22" s="34" t="s">
        <v>58</v>
      </c>
      <c r="B22" s="5">
        <f>(Burgers!B24)*$H$22</f>
        <v>0</v>
      </c>
      <c r="C22" s="5">
        <f>(Burgers!C24)*$H$22</f>
        <v>0</v>
      </c>
      <c r="D22" s="5">
        <f>(Burgers!D24)*$H$22</f>
        <v>0</v>
      </c>
      <c r="E22" s="5">
        <f>(Burgers!E24)*$H$22</f>
        <v>0</v>
      </c>
      <c r="F22" s="5">
        <f>(Burgers!F24)*$H$22</f>
        <v>0</v>
      </c>
      <c r="G22" s="5">
        <f>(Burgers!G24)*$H$22</f>
        <v>0</v>
      </c>
      <c r="I22" s="22" t="str">
        <f>_xlfn.CONCAT("1 of ", Burgers[[#Totals],[Measurement]])</f>
        <v>1 of 1</v>
      </c>
      <c r="J22" s="2">
        <v>0.01</v>
      </c>
      <c r="L22" s="5">
        <f>Log[[#This Row],[Calories]]-(9*(Log[[#This Row],[Fat Removed]]/Burgers!I24))</f>
        <v>0</v>
      </c>
      <c r="M22" s="5">
        <f>Log[[#This Row],[Fat]]*9</f>
        <v>0</v>
      </c>
      <c r="N22" s="74" t="b">
        <f>NOT(ISERROR(MATCH(A22,Index[Item],0)))</f>
        <v>1</v>
      </c>
    </row>
    <row r="23" spans="1:14" x14ac:dyDescent="0.3">
      <c r="A23" s="34" t="s">
        <v>59</v>
      </c>
      <c r="B23" s="5">
        <f>('Roast'!B36)*$H$23</f>
        <v>0</v>
      </c>
      <c r="C23" s="5">
        <f>('Roast'!C36)*$H$23</f>
        <v>0</v>
      </c>
      <c r="D23" s="5">
        <f>('Roast'!D36)*$H$23</f>
        <v>0</v>
      </c>
      <c r="E23" s="5">
        <f>('Roast'!E36)*$H$23</f>
        <v>0</v>
      </c>
      <c r="F23" s="5">
        <f>('Roast'!F36)*$H$23</f>
        <v>0</v>
      </c>
      <c r="G23" s="5">
        <f>('Roast'!G36)*$H$23</f>
        <v>0</v>
      </c>
      <c r="I23" s="22" t="str">
        <f>_xlfn.CONCAT("1 of ", Potatoes[[#Totals],[Measurement]])</f>
        <v>1 of 4</v>
      </c>
      <c r="J23" s="2">
        <v>0.01</v>
      </c>
      <c r="L23" s="5">
        <f>Log[[#This Row],[Calories]]-(9*(Log[[#This Row],[Fat Removed]]/'Roast'!I36))</f>
        <v>0</v>
      </c>
      <c r="M23" s="5">
        <f>Log[[#This Row],[Fat]]*9</f>
        <v>0</v>
      </c>
      <c r="N23" s="74" t="b">
        <f>NOT(ISERROR(MATCH(A23,Index[Item],0)))</f>
        <v>1</v>
      </c>
    </row>
    <row r="24" spans="1:14" ht="26.25" x14ac:dyDescent="0.4">
      <c r="B24" s="5"/>
      <c r="C24" s="5"/>
      <c r="D24" s="5"/>
      <c r="E24" s="5"/>
      <c r="F24" s="5"/>
      <c r="G24" s="62" t="s">
        <v>60</v>
      </c>
      <c r="J24" s="2">
        <v>1.01</v>
      </c>
      <c r="K24" s="66" t="s">
        <v>538</v>
      </c>
      <c r="L24" s="5"/>
      <c r="M24" s="5"/>
      <c r="N24" s="74" t="b">
        <f>NOT(ISERROR(MATCH(A24,Index[Item],0)))</f>
        <v>0</v>
      </c>
    </row>
    <row r="25" spans="1:14" x14ac:dyDescent="0.3">
      <c r="A25" s="34" t="s">
        <v>61</v>
      </c>
      <c r="B25" s="5">
        <f>10*$H25</f>
        <v>0</v>
      </c>
      <c r="C25" s="5">
        <f>2*$H25</f>
        <v>0</v>
      </c>
      <c r="D25" s="5">
        <f t="shared" ref="D25:F26" si="0">0*$H25</f>
        <v>0</v>
      </c>
      <c r="E25" s="5">
        <f t="shared" si="0"/>
        <v>0</v>
      </c>
      <c r="F25" s="5">
        <f t="shared" si="0"/>
        <v>0</v>
      </c>
      <c r="G25" s="5">
        <f>1*$H25</f>
        <v>0</v>
      </c>
      <c r="J25" s="2">
        <v>2</v>
      </c>
      <c r="L25" s="5">
        <f>Log[[#This Row],[Calories]]-(Log[[#This Row],[Fat Removed]]*Log[[#This Row],[Fat Calories]])</f>
        <v>0</v>
      </c>
      <c r="M25" s="5">
        <f>Log[[#This Row],[Fat]]*9</f>
        <v>0</v>
      </c>
      <c r="N25" s="74" t="b">
        <f>NOT(ISERROR(MATCH(A25,Index[Item],0)))</f>
        <v>1</v>
      </c>
    </row>
    <row r="26" spans="1:14" x14ac:dyDescent="0.3">
      <c r="A26" s="34" t="s">
        <v>62</v>
      </c>
      <c r="B26" s="5">
        <f>0*$H26</f>
        <v>0</v>
      </c>
      <c r="C26" s="5">
        <f>0*$H26</f>
        <v>0</v>
      </c>
      <c r="D26" s="5">
        <f t="shared" si="0"/>
        <v>0</v>
      </c>
      <c r="E26" s="5">
        <f t="shared" si="0"/>
        <v>0</v>
      </c>
      <c r="F26" s="5">
        <f t="shared" si="0"/>
        <v>0</v>
      </c>
      <c r="G26" s="5">
        <f>0*$H26</f>
        <v>0</v>
      </c>
      <c r="J26" s="2">
        <v>2</v>
      </c>
      <c r="K26" s="64"/>
      <c r="L26" s="5">
        <f>Log[[#This Row],[Calories]]-(Log[[#This Row],[Fat Removed]]*Log[[#This Row],[Fat Calories]])</f>
        <v>0</v>
      </c>
      <c r="M26" s="5">
        <f>Log[[#This Row],[Fat]]*9</f>
        <v>0</v>
      </c>
      <c r="N26" s="74" t="b">
        <f>NOT(ISERROR(MATCH(A26,Index[Item],0)))</f>
        <v>1</v>
      </c>
    </row>
    <row r="27" spans="1:14" x14ac:dyDescent="0.3">
      <c r="A27" s="34" t="s">
        <v>63</v>
      </c>
      <c r="B27" s="5">
        <f>10*$H27</f>
        <v>0</v>
      </c>
      <c r="C27" s="5">
        <f>2*$H27</f>
        <v>0</v>
      </c>
      <c r="D27" s="5">
        <f>0*$H27</f>
        <v>0</v>
      </c>
      <c r="E27" s="5">
        <f>0*$H27</f>
        <v>0</v>
      </c>
      <c r="F27" s="5">
        <f>0.5*$H27</f>
        <v>0</v>
      </c>
      <c r="G27" s="5">
        <f>1*$H27</f>
        <v>0</v>
      </c>
      <c r="J27" s="2">
        <v>2</v>
      </c>
      <c r="K27" s="64"/>
      <c r="L27" s="5">
        <f>Log[[#This Row],[Calories]]-(Log[[#This Row],[Fat Removed]]*Log[[#This Row],[Fat Calories]])</f>
        <v>0</v>
      </c>
      <c r="M27" s="5">
        <f>Log[[#This Row],[Fat]]*9</f>
        <v>0</v>
      </c>
      <c r="N27" s="74" t="b">
        <f>NOT(ISERROR(MATCH(A27,Index[Item],0)))</f>
        <v>1</v>
      </c>
    </row>
    <row r="28" spans="1:14" x14ac:dyDescent="0.3">
      <c r="A28" s="34" t="s">
        <v>65</v>
      </c>
      <c r="B28" s="5">
        <f>60*$H28</f>
        <v>0</v>
      </c>
      <c r="C28" s="5">
        <f>1*$H28</f>
        <v>0</v>
      </c>
      <c r="D28" s="5">
        <f>3.5*$H28</f>
        <v>0</v>
      </c>
      <c r="E28" s="5">
        <f>0.5*$H28</f>
        <v>0</v>
      </c>
      <c r="F28" s="5">
        <f>0*$H28</f>
        <v>0</v>
      </c>
      <c r="G28" s="5">
        <f>1*$H28</f>
        <v>0</v>
      </c>
      <c r="I28" s="22" t="s">
        <v>66</v>
      </c>
      <c r="J28" s="2">
        <v>2</v>
      </c>
      <c r="K28" s="64"/>
      <c r="L28" s="5">
        <f>Log[[#This Row],[Calories]]-(Log[[#This Row],[Fat Removed]]*Log[[#This Row],[Fat Calories]])</f>
        <v>0</v>
      </c>
      <c r="M28" s="5">
        <f>Log[[#This Row],[Fat]]*9</f>
        <v>0</v>
      </c>
      <c r="N28" s="74" t="b">
        <f>NOT(ISERROR(MATCH(A28,Index[Item],0)))</f>
        <v>1</v>
      </c>
    </row>
    <row r="29" spans="1:14" x14ac:dyDescent="0.3">
      <c r="A29" s="34" t="s">
        <v>67</v>
      </c>
      <c r="B29" s="5">
        <f>10*$H29</f>
        <v>0</v>
      </c>
      <c r="C29" s="5">
        <f>1*$H29</f>
        <v>0</v>
      </c>
      <c r="D29" s="5">
        <f>0*$H29</f>
        <v>0</v>
      </c>
      <c r="E29" s="5">
        <f>0*$H29</f>
        <v>0</v>
      </c>
      <c r="F29" s="5">
        <f>0*$H29</f>
        <v>0</v>
      </c>
      <c r="G29" s="5">
        <f>0.5*$H29</f>
        <v>0</v>
      </c>
      <c r="J29" s="2">
        <v>2</v>
      </c>
      <c r="K29" s="64"/>
      <c r="L29" s="5">
        <f>Log[[#This Row],[Calories]]-(Log[[#This Row],[Fat Removed]]*Log[[#This Row],[Fat Calories]])</f>
        <v>0</v>
      </c>
      <c r="M29" s="5">
        <f>Log[[#This Row],[Fat]]*9</f>
        <v>0</v>
      </c>
      <c r="N29" s="74" t="b">
        <f>NOT(ISERROR(MATCH(A29,Index[Item],0)))</f>
        <v>1</v>
      </c>
    </row>
    <row r="30" spans="1:14" x14ac:dyDescent="0.3">
      <c r="A30" s="34" t="s">
        <v>68</v>
      </c>
      <c r="B30" s="5">
        <f>9*$H30</f>
        <v>0</v>
      </c>
      <c r="C30" s="5">
        <f>0.9*$H30</f>
        <v>0</v>
      </c>
      <c r="D30" s="5">
        <f>0.5*$H30</f>
        <v>0</v>
      </c>
      <c r="E30" s="5">
        <f>0.6*$H30</f>
        <v>0</v>
      </c>
      <c r="F30" s="5">
        <f>0.6*$H30</f>
        <v>0</v>
      </c>
      <c r="G30" s="5">
        <f>0.2*$H30</f>
        <v>0</v>
      </c>
      <c r="J30" s="2">
        <v>2</v>
      </c>
      <c r="K30" s="64"/>
      <c r="L30" s="5">
        <f>Log[[#This Row],[Calories]]-(Log[[#This Row],[Fat Removed]]*Log[[#This Row],[Fat Calories]])</f>
        <v>0</v>
      </c>
      <c r="M30" s="5">
        <f>Log[[#This Row],[Fat]]*9</f>
        <v>0</v>
      </c>
      <c r="N30" s="74" t="b">
        <f>NOT(ISERROR(MATCH(A30,Index[Item],0)))</f>
        <v>1</v>
      </c>
    </row>
    <row r="31" spans="1:14" x14ac:dyDescent="0.3">
      <c r="A31" s="34" t="s">
        <v>69</v>
      </c>
      <c r="B31" s="5">
        <f>60*$H31</f>
        <v>0</v>
      </c>
      <c r="C31" s="5">
        <f>3*$H31</f>
        <v>0</v>
      </c>
      <c r="D31" s="5">
        <f>5*$H31</f>
        <v>0</v>
      </c>
      <c r="E31" s="5">
        <f t="shared" ref="E31:F33" si="1">0*$H31</f>
        <v>0</v>
      </c>
      <c r="F31" s="5">
        <f t="shared" si="1"/>
        <v>0</v>
      </c>
      <c r="G31" s="5">
        <f>2*$H31</f>
        <v>0</v>
      </c>
      <c r="I31" s="22" t="s">
        <v>70</v>
      </c>
      <c r="J31" s="2">
        <v>2</v>
      </c>
      <c r="K31" s="64"/>
      <c r="L31" s="5">
        <f>Log[[#This Row],[Calories]]-(Log[[#This Row],[Fat Removed]]*Log[[#This Row],[Fat Calories]])</f>
        <v>0</v>
      </c>
      <c r="M31" s="5">
        <f>Log[[#This Row],[Fat]]*9</f>
        <v>0</v>
      </c>
      <c r="N31" s="74" t="b">
        <f>NOT(ISERROR(MATCH(A31,Index[Item],0)))</f>
        <v>1</v>
      </c>
    </row>
    <row r="32" spans="1:14" x14ac:dyDescent="0.3">
      <c r="A32" s="34" t="s">
        <v>71</v>
      </c>
      <c r="B32" s="5">
        <f>100*$H32</f>
        <v>0</v>
      </c>
      <c r="C32" s="5">
        <f>2*$H32</f>
        <v>0</v>
      </c>
      <c r="D32" s="5">
        <f>11*$H32</f>
        <v>0</v>
      </c>
      <c r="E32" s="5">
        <f t="shared" si="1"/>
        <v>0</v>
      </c>
      <c r="F32" s="5">
        <f t="shared" si="1"/>
        <v>0</v>
      </c>
      <c r="G32" s="5">
        <f>1*$H32</f>
        <v>0</v>
      </c>
      <c r="I32" s="22" t="s">
        <v>66</v>
      </c>
      <c r="J32" s="2">
        <v>2</v>
      </c>
      <c r="K32" s="64"/>
      <c r="L32" s="5">
        <f>Log[[#This Row],[Calories]]-(Log[[#This Row],[Fat Removed]]*Log[[#This Row],[Fat Calories]])</f>
        <v>0</v>
      </c>
      <c r="M32" s="5">
        <f>Log[[#This Row],[Fat]]*9</f>
        <v>0</v>
      </c>
      <c r="N32" s="74" t="b">
        <f>NOT(ISERROR(MATCH(A32,Index[Item],0)))</f>
        <v>1</v>
      </c>
    </row>
    <row r="33" spans="1:14" x14ac:dyDescent="0.3">
      <c r="A33" s="34" t="s">
        <v>72</v>
      </c>
      <c r="B33" s="5">
        <f>0*$H33</f>
        <v>0</v>
      </c>
      <c r="C33" s="5">
        <f>0.5*$H33</f>
        <v>0</v>
      </c>
      <c r="D33" s="5">
        <f>0*$H33</f>
        <v>0</v>
      </c>
      <c r="E33" s="5">
        <f t="shared" si="1"/>
        <v>0</v>
      </c>
      <c r="F33" s="5">
        <f t="shared" si="1"/>
        <v>0</v>
      </c>
      <c r="G33" s="5">
        <f>0.5*$H33</f>
        <v>0</v>
      </c>
      <c r="I33" s="22" t="s">
        <v>73</v>
      </c>
      <c r="J33" s="2">
        <v>2</v>
      </c>
      <c r="K33" s="64"/>
      <c r="L33" s="5">
        <f>Log[[#This Row],[Calories]]-(Log[[#This Row],[Fat Removed]]*Log[[#This Row],[Fat Calories]])</f>
        <v>0</v>
      </c>
      <c r="M33" s="5">
        <f>Log[[#This Row],[Fat]]*9</f>
        <v>0</v>
      </c>
      <c r="N33" s="74" t="b">
        <f>NOT(ISERROR(MATCH(A33,Index[Item],0)))</f>
        <v>1</v>
      </c>
    </row>
    <row r="34" spans="1:14" ht="26.25" x14ac:dyDescent="0.4">
      <c r="B34" s="5"/>
      <c r="C34" s="5"/>
      <c r="D34" s="5"/>
      <c r="E34" s="5"/>
      <c r="F34" s="5"/>
      <c r="G34" s="62" t="s">
        <v>78</v>
      </c>
      <c r="J34" s="2">
        <v>2.0099999999999998</v>
      </c>
      <c r="L34" s="5"/>
      <c r="M34" s="5"/>
      <c r="N34" s="74" t="b">
        <f>NOT(ISERROR(MATCH(A34,Index[Item],0)))</f>
        <v>0</v>
      </c>
    </row>
    <row r="35" spans="1:14" x14ac:dyDescent="0.3">
      <c r="A35" s="34" t="s">
        <v>79</v>
      </c>
      <c r="B35" s="5">
        <f>110*$H35</f>
        <v>0</v>
      </c>
      <c r="C35" s="5">
        <f>0.5*$H35</f>
        <v>0</v>
      </c>
      <c r="D35" s="5">
        <f>9*$H35</f>
        <v>0</v>
      </c>
      <c r="E35" s="5">
        <f>7*$H35</f>
        <v>0</v>
      </c>
      <c r="F35" s="5">
        <f>0*$H35</f>
        <v>0</v>
      </c>
      <c r="G35" s="5">
        <f>0*$H35</f>
        <v>0</v>
      </c>
      <c r="I35" s="22" t="s">
        <v>80</v>
      </c>
      <c r="J35" s="2">
        <v>3</v>
      </c>
      <c r="L35" s="5">
        <f>Log[[#This Row],[Calories]]-(Log[[#This Row],[Fat Removed]]*Log[[#This Row],[Fat Calories]])</f>
        <v>0</v>
      </c>
      <c r="M35" s="5">
        <f>Log[[#This Row],[Fat]]*9</f>
        <v>0</v>
      </c>
      <c r="N35" s="74" t="b">
        <f>NOT(ISERROR(MATCH(A35,Index[Item],0)))</f>
        <v>1</v>
      </c>
    </row>
    <row r="36" spans="1:14" x14ac:dyDescent="0.3">
      <c r="A36" s="34" t="s">
        <v>81</v>
      </c>
      <c r="B36" s="5">
        <f>120*$H36</f>
        <v>0</v>
      </c>
      <c r="C36" s="5">
        <f>2*$H36</f>
        <v>0</v>
      </c>
      <c r="D36" s="5">
        <f>9*$H36</f>
        <v>0</v>
      </c>
      <c r="E36" s="5">
        <f>6*$H36</f>
        <v>0</v>
      </c>
      <c r="F36" s="5">
        <f>0*$H36</f>
        <v>0</v>
      </c>
      <c r="G36" s="5">
        <f>0*$H36</f>
        <v>0</v>
      </c>
      <c r="I36" s="22" t="s">
        <v>80</v>
      </c>
      <c r="J36" s="2">
        <v>3</v>
      </c>
      <c r="L36" s="5">
        <f>Log[[#This Row],[Calories]]-(Log[[#This Row],[Fat Removed]]*Log[[#This Row],[Fat Calories]])</f>
        <v>0</v>
      </c>
      <c r="M36" s="5">
        <f>Log[[#This Row],[Fat]]*9</f>
        <v>0</v>
      </c>
      <c r="N36" s="74" t="b">
        <f>NOT(ISERROR(MATCH(A36,Index[Item],0)))</f>
        <v>1</v>
      </c>
    </row>
    <row r="37" spans="1:14" x14ac:dyDescent="0.3">
      <c r="A37" s="34" t="s">
        <v>84</v>
      </c>
      <c r="B37" s="5">
        <f>110*$H37</f>
        <v>0</v>
      </c>
      <c r="C37" s="5">
        <f>0.5*$H37</f>
        <v>0</v>
      </c>
      <c r="D37" s="5">
        <f>9*$H37</f>
        <v>0</v>
      </c>
      <c r="E37" s="5">
        <f>6*$H37</f>
        <v>0</v>
      </c>
      <c r="F37" s="5">
        <f t="shared" ref="F37:F49" si="2">0*$H37</f>
        <v>0</v>
      </c>
      <c r="G37" s="5">
        <f>0.5*$H37</f>
        <v>0</v>
      </c>
      <c r="I37" s="22" t="s">
        <v>80</v>
      </c>
      <c r="J37" s="2">
        <v>3</v>
      </c>
      <c r="L37" s="5">
        <f>Log[[#This Row],[Calories]]-(Log[[#This Row],[Fat Removed]]*Log[[#This Row],[Fat Calories]])</f>
        <v>0</v>
      </c>
      <c r="M37" s="5">
        <f>Log[[#This Row],[Fat]]*9</f>
        <v>0</v>
      </c>
      <c r="N37" s="74" t="b">
        <f>NOT(ISERROR(MATCH(A37,Index[Item],0)))</f>
        <v>1</v>
      </c>
    </row>
    <row r="38" spans="1:14" x14ac:dyDescent="0.3">
      <c r="A38" s="34" t="s">
        <v>85</v>
      </c>
      <c r="B38" s="5">
        <f>80*$H38</f>
        <v>0</v>
      </c>
      <c r="C38" s="5">
        <f>2*$H38</f>
        <v>0</v>
      </c>
      <c r="D38" s="5">
        <f>6*$H38</f>
        <v>0</v>
      </c>
      <c r="E38" s="5">
        <f>7*$H38</f>
        <v>0</v>
      </c>
      <c r="F38" s="5">
        <f t="shared" si="2"/>
        <v>0</v>
      </c>
      <c r="G38" s="5">
        <f>0.5*$H38</f>
        <v>0</v>
      </c>
      <c r="I38" s="22" t="s">
        <v>80</v>
      </c>
      <c r="J38" s="2">
        <v>3</v>
      </c>
      <c r="L38" s="5">
        <f>Log[[#This Row],[Calories]]-(Log[[#This Row],[Fat Removed]]*Log[[#This Row],[Fat Calories]])</f>
        <v>0</v>
      </c>
      <c r="M38" s="5">
        <f>Log[[#This Row],[Fat]]*9</f>
        <v>0</v>
      </c>
      <c r="N38" s="74" t="b">
        <f>NOT(ISERROR(MATCH(A38,Index[Item],0)))</f>
        <v>1</v>
      </c>
    </row>
    <row r="39" spans="1:14" ht="37.5" x14ac:dyDescent="0.3">
      <c r="A39" s="34" t="s">
        <v>86</v>
      </c>
      <c r="B39" s="5">
        <f>90*$H39</f>
        <v>0</v>
      </c>
      <c r="C39" s="5">
        <f>1*$H39</f>
        <v>0</v>
      </c>
      <c r="D39" s="5">
        <f>7*$H39</f>
        <v>0</v>
      </c>
      <c r="E39" s="5">
        <f>6*$H39</f>
        <v>0</v>
      </c>
      <c r="F39" s="5">
        <f t="shared" si="2"/>
        <v>0</v>
      </c>
      <c r="G39" s="5">
        <f>0*$H39</f>
        <v>0</v>
      </c>
      <c r="I39" s="22" t="s">
        <v>80</v>
      </c>
      <c r="J39" s="2">
        <v>3</v>
      </c>
      <c r="L39" s="5">
        <f>Log[[#This Row],[Calories]]-(Log[[#This Row],[Fat Removed]]*Log[[#This Row],[Fat Calories]])</f>
        <v>0</v>
      </c>
      <c r="M39" s="5">
        <f>Log[[#This Row],[Fat]]*9</f>
        <v>0</v>
      </c>
      <c r="N39" s="74" t="b">
        <f>NOT(ISERROR(MATCH(A39,Index[Item],0)))</f>
        <v>1</v>
      </c>
    </row>
    <row r="40" spans="1:14" ht="37.5" x14ac:dyDescent="0.3">
      <c r="A40" s="34" t="s">
        <v>87</v>
      </c>
      <c r="B40" s="5">
        <f>80*$H40</f>
        <v>0</v>
      </c>
      <c r="C40" s="5">
        <f>2*$H40</f>
        <v>0</v>
      </c>
      <c r="D40" s="5">
        <f>6*$H40</f>
        <v>0</v>
      </c>
      <c r="E40" s="5">
        <f>7*$H40</f>
        <v>0</v>
      </c>
      <c r="F40" s="5">
        <f t="shared" si="2"/>
        <v>0</v>
      </c>
      <c r="G40" s="5">
        <f>0.5*$H40</f>
        <v>0</v>
      </c>
      <c r="I40" s="22" t="s">
        <v>80</v>
      </c>
      <c r="J40" s="2">
        <v>3</v>
      </c>
      <c r="L40" s="5">
        <f>Log[[#This Row],[Calories]]-(Log[[#This Row],[Fat Removed]]*Log[[#This Row],[Fat Calories]])</f>
        <v>0</v>
      </c>
      <c r="M40" s="5">
        <f>Log[[#This Row],[Fat]]*9</f>
        <v>0</v>
      </c>
      <c r="N40" s="74" t="b">
        <f>NOT(ISERROR(MATCH(A40,Index[Item],0)))</f>
        <v>1</v>
      </c>
    </row>
    <row r="41" spans="1:14" ht="37.5" x14ac:dyDescent="0.3">
      <c r="A41" s="34" t="s">
        <v>635</v>
      </c>
      <c r="B41" s="5">
        <f>110*$H41</f>
        <v>0</v>
      </c>
      <c r="C41" s="5">
        <f>1*$H41</f>
        <v>0</v>
      </c>
      <c r="D41" s="5">
        <f>9*$H41</f>
        <v>0</v>
      </c>
      <c r="E41" s="5">
        <f>7*$H41</f>
        <v>0</v>
      </c>
      <c r="F41" s="5">
        <f t="shared" si="2"/>
        <v>0</v>
      </c>
      <c r="G41" s="5">
        <f>0*$H41</f>
        <v>0</v>
      </c>
      <c r="I41" s="22" t="s">
        <v>636</v>
      </c>
      <c r="J41" s="2">
        <v>3</v>
      </c>
      <c r="L41" s="5">
        <f>Log[[#This Row],[Calories]]-(Log[[#This Row],[Fat Removed]]*Log[[#This Row],[Fat Calories]])</f>
        <v>0</v>
      </c>
      <c r="M41" s="5">
        <f>Log[[#This Row],[Fat]]*9</f>
        <v>0</v>
      </c>
      <c r="N41" s="74" t="b">
        <f>NOT(ISERROR(MATCH(A41,Index[Item],0)))</f>
        <v>1</v>
      </c>
    </row>
    <row r="42" spans="1:14" x14ac:dyDescent="0.3">
      <c r="A42" s="34" t="s">
        <v>88</v>
      </c>
      <c r="B42" s="5">
        <f>20*$H42</f>
        <v>80</v>
      </c>
      <c r="C42" s="5">
        <f>0*$H42</f>
        <v>0</v>
      </c>
      <c r="D42" s="5">
        <f>1.5*$H42</f>
        <v>6</v>
      </c>
      <c r="E42" s="5">
        <f>2*$H42</f>
        <v>8</v>
      </c>
      <c r="F42" s="5">
        <f t="shared" si="2"/>
        <v>0</v>
      </c>
      <c r="G42" s="5">
        <f t="shared" ref="G42:G47" si="3">0*$H42</f>
        <v>0</v>
      </c>
      <c r="H42" s="2">
        <v>4</v>
      </c>
      <c r="I42" s="22" t="s">
        <v>89</v>
      </c>
      <c r="J42" s="2">
        <v>3</v>
      </c>
      <c r="L42" s="5">
        <f>Log[[#This Row],[Calories]]-(Log[[#This Row],[Fat Removed]]*Log[[#This Row],[Fat Calories]])</f>
        <v>80</v>
      </c>
      <c r="M42" s="5">
        <f>Log[[#This Row],[Fat]]*9</f>
        <v>54</v>
      </c>
      <c r="N42" s="74" t="b">
        <f>NOT(ISERROR(MATCH(A42,Index[Item],0)))</f>
        <v>1</v>
      </c>
    </row>
    <row r="43" spans="1:14" ht="37.5" x14ac:dyDescent="0.3">
      <c r="A43" s="34" t="s">
        <v>577</v>
      </c>
      <c r="B43" s="5">
        <f>60*$H43</f>
        <v>120</v>
      </c>
      <c r="C43" s="5">
        <f>1*$H43</f>
        <v>2</v>
      </c>
      <c r="D43" s="5">
        <f>4*$H43</f>
        <v>8</v>
      </c>
      <c r="E43" s="5">
        <f t="shared" ref="E43:E48" si="4">5*$H43</f>
        <v>10</v>
      </c>
      <c r="F43" s="5">
        <f t="shared" si="2"/>
        <v>0</v>
      </c>
      <c r="G43" s="5">
        <f t="shared" si="3"/>
        <v>0</v>
      </c>
      <c r="H43" s="2">
        <v>2</v>
      </c>
      <c r="I43" s="22" t="s">
        <v>579</v>
      </c>
      <c r="J43" s="2">
        <v>3</v>
      </c>
      <c r="L43" s="5">
        <f>Log[[#This Row],[Calories]]-(Log[[#This Row],[Fat Removed]]*Log[[#This Row],[Fat Calories]])</f>
        <v>120</v>
      </c>
      <c r="M43" s="5">
        <f>Log[[#This Row],[Fat]]*9</f>
        <v>72</v>
      </c>
      <c r="N43" s="74" t="b">
        <f>NOT(ISERROR(MATCH(A43,Index[Item],0)))</f>
        <v>1</v>
      </c>
    </row>
    <row r="44" spans="1:14" ht="37.5" x14ac:dyDescent="0.3">
      <c r="A44" s="34" t="s">
        <v>578</v>
      </c>
      <c r="B44" s="5">
        <f>70*$H44</f>
        <v>140</v>
      </c>
      <c r="C44" s="5">
        <f>0*$H44</f>
        <v>0</v>
      </c>
      <c r="D44" s="5">
        <f>6*$H44</f>
        <v>12</v>
      </c>
      <c r="E44" s="5">
        <f t="shared" si="4"/>
        <v>10</v>
      </c>
      <c r="F44" s="5">
        <f t="shared" si="2"/>
        <v>0</v>
      </c>
      <c r="G44" s="5">
        <f t="shared" si="3"/>
        <v>0</v>
      </c>
      <c r="H44" s="2">
        <v>2</v>
      </c>
      <c r="I44" s="22" t="s">
        <v>579</v>
      </c>
      <c r="J44" s="2">
        <v>3</v>
      </c>
      <c r="L44" s="5">
        <f>Log[[#This Row],[Calories]]-(Log[[#This Row],[Fat Removed]]*Log[[#This Row],[Fat Calories]])</f>
        <v>140</v>
      </c>
      <c r="M44" s="5">
        <f>Log[[#This Row],[Fat]]*9</f>
        <v>108</v>
      </c>
      <c r="N44" s="74" t="b">
        <f>NOT(ISERROR(MATCH(A44,Index[Item],0)))</f>
        <v>1</v>
      </c>
    </row>
    <row r="45" spans="1:14" ht="37.5" x14ac:dyDescent="0.3">
      <c r="A45" s="34" t="s">
        <v>629</v>
      </c>
      <c r="B45" s="5">
        <f>80*$H45</f>
        <v>0</v>
      </c>
      <c r="C45" s="5">
        <f>0*$H45</f>
        <v>0</v>
      </c>
      <c r="D45" s="5">
        <f>7*$H45</f>
        <v>0</v>
      </c>
      <c r="E45" s="5">
        <f t="shared" si="4"/>
        <v>0</v>
      </c>
      <c r="F45" s="5">
        <f t="shared" si="2"/>
        <v>0</v>
      </c>
      <c r="G45" s="5">
        <f t="shared" si="3"/>
        <v>0</v>
      </c>
      <c r="I45" s="22" t="s">
        <v>579</v>
      </c>
      <c r="J45" s="2">
        <v>3</v>
      </c>
      <c r="L45" s="5">
        <f>Log[[#This Row],[Calories]]-(Log[[#This Row],[Fat Removed]]*Log[[#This Row],[Fat Calories]])</f>
        <v>0</v>
      </c>
      <c r="M45" s="5">
        <f>Log[[#This Row],[Fat]]*9</f>
        <v>0</v>
      </c>
      <c r="N45" s="74" t="b">
        <f>NOT(ISERROR(MATCH(A45,Index[Item],0)))</f>
        <v>1</v>
      </c>
    </row>
    <row r="46" spans="1:14" ht="37.5" x14ac:dyDescent="0.3">
      <c r="A46" s="34" t="s">
        <v>594</v>
      </c>
      <c r="B46" s="5">
        <f>80*$H46</f>
        <v>0</v>
      </c>
      <c r="C46" s="5">
        <f>0.5*$H46</f>
        <v>0</v>
      </c>
      <c r="D46" s="5">
        <f>7*$H46</f>
        <v>0</v>
      </c>
      <c r="E46" s="5">
        <f t="shared" si="4"/>
        <v>0</v>
      </c>
      <c r="F46" s="5">
        <f t="shared" si="2"/>
        <v>0</v>
      </c>
      <c r="G46" s="5">
        <f t="shared" si="3"/>
        <v>0</v>
      </c>
      <c r="I46" s="22" t="s">
        <v>579</v>
      </c>
      <c r="J46" s="2">
        <v>3</v>
      </c>
      <c r="L46" s="5">
        <f>Log[[#This Row],[Calories]]-(Log[[#This Row],[Fat Removed]]*Log[[#This Row],[Fat Calories]])</f>
        <v>0</v>
      </c>
      <c r="M46" s="5">
        <f>Log[[#This Row],[Fat]]*9</f>
        <v>0</v>
      </c>
      <c r="N46" s="74" t="b">
        <f>NOT(ISERROR(MATCH(A46,Index[Item],0)))</f>
        <v>1</v>
      </c>
    </row>
    <row r="47" spans="1:14" ht="37.5" x14ac:dyDescent="0.3">
      <c r="A47" s="34" t="s">
        <v>596</v>
      </c>
      <c r="B47" s="5">
        <f>80*$H47</f>
        <v>0</v>
      </c>
      <c r="C47" s="5">
        <f>0.5*$H47</f>
        <v>0</v>
      </c>
      <c r="D47" s="5">
        <f>7*$H47</f>
        <v>0</v>
      </c>
      <c r="E47" s="5">
        <f t="shared" si="4"/>
        <v>0</v>
      </c>
      <c r="F47" s="5">
        <f t="shared" si="2"/>
        <v>0</v>
      </c>
      <c r="G47" s="5">
        <f t="shared" si="3"/>
        <v>0</v>
      </c>
      <c r="I47" s="22" t="s">
        <v>579</v>
      </c>
      <c r="J47" s="2">
        <v>3</v>
      </c>
      <c r="L47" s="5">
        <f>Log[[#This Row],[Calories]]-(Log[[#This Row],[Fat Removed]]*Log[[#This Row],[Fat Calories]])</f>
        <v>0</v>
      </c>
      <c r="M47" s="5">
        <f>Log[[#This Row],[Fat]]*9</f>
        <v>0</v>
      </c>
      <c r="N47" s="74" t="b">
        <f>NOT(ISERROR(MATCH(A47,Index[Item],0)))</f>
        <v>1</v>
      </c>
    </row>
    <row r="48" spans="1:14" ht="37.5" x14ac:dyDescent="0.3">
      <c r="A48" s="34" t="s">
        <v>595</v>
      </c>
      <c r="B48" s="5">
        <f>80*$H48</f>
        <v>0</v>
      </c>
      <c r="C48" s="5">
        <f>0.5*$H48</f>
        <v>0</v>
      </c>
      <c r="D48" s="5">
        <f>7*$H48</f>
        <v>0</v>
      </c>
      <c r="E48" s="5">
        <f t="shared" si="4"/>
        <v>0</v>
      </c>
      <c r="F48" s="5">
        <f t="shared" si="2"/>
        <v>0</v>
      </c>
      <c r="G48" s="5">
        <f>0*$H48</f>
        <v>0</v>
      </c>
      <c r="I48" s="22" t="s">
        <v>579</v>
      </c>
      <c r="J48" s="2">
        <v>3</v>
      </c>
      <c r="L48" s="5">
        <f>Log[[#This Row],[Calories]]-(Log[[#This Row],[Fat Removed]]*Log[[#This Row],[Fat Calories]])</f>
        <v>0</v>
      </c>
      <c r="M48" s="5">
        <f>Log[[#This Row],[Fat]]*9</f>
        <v>0</v>
      </c>
      <c r="N48" s="74" t="b">
        <f>NOT(ISERROR(MATCH(A48,Index[Item],0)))</f>
        <v>1</v>
      </c>
    </row>
    <row r="49" spans="1:14" x14ac:dyDescent="0.3">
      <c r="A49" s="34" t="s">
        <v>90</v>
      </c>
      <c r="B49" s="5">
        <f>70*$H49</f>
        <v>0</v>
      </c>
      <c r="C49" s="5">
        <f>3*$H49</f>
        <v>0</v>
      </c>
      <c r="D49" s="5">
        <f>4*$H49</f>
        <v>0</v>
      </c>
      <c r="E49" s="5">
        <f>4*$H49</f>
        <v>0</v>
      </c>
      <c r="F49" s="5">
        <f t="shared" si="2"/>
        <v>0</v>
      </c>
      <c r="G49" s="5">
        <f>2*$H49</f>
        <v>0</v>
      </c>
      <c r="I49" s="61" t="s">
        <v>91</v>
      </c>
      <c r="J49" s="2">
        <v>3</v>
      </c>
      <c r="L49" s="5">
        <f>Log[[#This Row],[Calories]]-(Log[[#This Row],[Fat Removed]]*Log[[#This Row],[Fat Calories]])</f>
        <v>0</v>
      </c>
      <c r="M49" s="5">
        <f>Log[[#This Row],[Fat]]*9</f>
        <v>0</v>
      </c>
      <c r="N49" s="74" t="b">
        <f>NOT(ISERROR(MATCH(A49,Index[Item],0)))</f>
        <v>1</v>
      </c>
    </row>
    <row r="50" spans="1:14" ht="52.5" x14ac:dyDescent="0.4">
      <c r="B50" s="5"/>
      <c r="C50" s="5"/>
      <c r="D50" s="5"/>
      <c r="E50" s="5"/>
      <c r="F50" s="5"/>
      <c r="G50" s="67" t="s">
        <v>92</v>
      </c>
      <c r="J50" s="2">
        <v>3.01</v>
      </c>
      <c r="L50" s="5"/>
      <c r="M50" s="5"/>
      <c r="N50" s="74" t="b">
        <f>NOT(ISERROR(MATCH(A50,Index[Item],0)))</f>
        <v>0</v>
      </c>
    </row>
    <row r="51" spans="1:14" x14ac:dyDescent="0.3">
      <c r="A51" s="34" t="s">
        <v>93</v>
      </c>
      <c r="B51" s="5">
        <f>5*$H51</f>
        <v>0</v>
      </c>
      <c r="C51" s="5">
        <f>1*$H51</f>
        <v>0</v>
      </c>
      <c r="D51" s="5">
        <f t="shared" ref="D51:F52" si="5">0*$H51</f>
        <v>0</v>
      </c>
      <c r="E51" s="5">
        <f t="shared" si="5"/>
        <v>0</v>
      </c>
      <c r="F51" s="5">
        <f t="shared" si="5"/>
        <v>0</v>
      </c>
      <c r="G51" s="5">
        <f>1*$H51</f>
        <v>0</v>
      </c>
      <c r="J51" s="2">
        <v>4</v>
      </c>
      <c r="L51" s="5">
        <f>Log[[#This Row],[Calories]]-(Log[[#This Row],[Fat Removed]]*Log[[#This Row],[Fat Calories]])</f>
        <v>0</v>
      </c>
      <c r="M51" s="5">
        <f>Log[[#This Row],[Fat]]*9</f>
        <v>0</v>
      </c>
      <c r="N51" s="74" t="b">
        <f>NOT(ISERROR(MATCH(A51,Index[Item],0)))</f>
        <v>1</v>
      </c>
    </row>
    <row r="52" spans="1:14" x14ac:dyDescent="0.3">
      <c r="A52" s="34" t="s">
        <v>94</v>
      </c>
      <c r="B52" s="5">
        <f>5*$H52</f>
        <v>0</v>
      </c>
      <c r="C52" s="5">
        <f>1*$H52</f>
        <v>0</v>
      </c>
      <c r="D52" s="5">
        <f t="shared" si="5"/>
        <v>0</v>
      </c>
      <c r="E52" s="5">
        <f t="shared" si="5"/>
        <v>0</v>
      </c>
      <c r="F52" s="5">
        <f t="shared" si="5"/>
        <v>0</v>
      </c>
      <c r="G52" s="5">
        <f>0*$H52</f>
        <v>0</v>
      </c>
      <c r="J52" s="2">
        <v>4</v>
      </c>
      <c r="L52" s="5">
        <f>Log[[#This Row],[Calories]]-(Log[[#This Row],[Fat Removed]]*Log[[#This Row],[Fat Calories]])</f>
        <v>0</v>
      </c>
      <c r="M52" s="5">
        <f>Log[[#This Row],[Fat]]*9</f>
        <v>0</v>
      </c>
      <c r="N52" s="74" t="b">
        <f>NOT(ISERROR(MATCH(A52,Index[Item],0)))</f>
        <v>1</v>
      </c>
    </row>
    <row r="53" spans="1:14" x14ac:dyDescent="0.3">
      <c r="A53" s="34" t="s">
        <v>97</v>
      </c>
      <c r="B53" s="5">
        <f>28*$H53</f>
        <v>0</v>
      </c>
      <c r="C53" s="5">
        <f>6.7*$H53</f>
        <v>0</v>
      </c>
      <c r="D53" s="5">
        <f>0.2*$H53</f>
        <v>0</v>
      </c>
      <c r="E53" s="5">
        <f>1.9*$H53</f>
        <v>0</v>
      </c>
      <c r="F53" s="5">
        <f>1.2*$H53</f>
        <v>0</v>
      </c>
      <c r="G53" s="5">
        <f>3.2*$H53</f>
        <v>0</v>
      </c>
      <c r="I53" s="22" t="s">
        <v>96</v>
      </c>
      <c r="J53" s="2">
        <v>4</v>
      </c>
      <c r="L53" s="5">
        <f>Log[[#This Row],[Calories]]-(Log[[#This Row],[Fat Removed]]*Log[[#This Row],[Fat Calories]])</f>
        <v>0</v>
      </c>
      <c r="M53" s="5">
        <f>Log[[#This Row],[Fat]]*9</f>
        <v>0</v>
      </c>
      <c r="N53" s="74" t="b">
        <f>NOT(ISERROR(MATCH(A53,Index[Item],0)))</f>
        <v>1</v>
      </c>
    </row>
    <row r="54" spans="1:14" x14ac:dyDescent="0.3">
      <c r="A54" s="34" t="s">
        <v>101</v>
      </c>
      <c r="B54" s="5">
        <f>29*$H54</f>
        <v>0</v>
      </c>
      <c r="C54" s="5">
        <f>6.5*$H54</f>
        <v>0</v>
      </c>
      <c r="D54" s="5">
        <f>0.4*$H54</f>
        <v>0</v>
      </c>
      <c r="E54" s="5">
        <f>0.9*$H54</f>
        <v>0</v>
      </c>
      <c r="F54" s="5">
        <f>2.8*$H54</f>
        <v>0</v>
      </c>
      <c r="G54" s="5">
        <f>4.1*$H54</f>
        <v>0</v>
      </c>
      <c r="I54" s="22" t="s">
        <v>96</v>
      </c>
      <c r="J54" s="2">
        <v>4</v>
      </c>
      <c r="L54" s="5">
        <f>Log[[#This Row],[Calories]]-(Log[[#This Row],[Fat Removed]]*Log[[#This Row],[Fat Calories]])</f>
        <v>0</v>
      </c>
      <c r="M54" s="5">
        <f>Log[[#This Row],[Fat]]*9</f>
        <v>0</v>
      </c>
      <c r="N54" s="74" t="b">
        <f>NOT(ISERROR(MATCH(A54,Index[Item],0)))</f>
        <v>1</v>
      </c>
    </row>
    <row r="55" spans="1:14" x14ac:dyDescent="0.3">
      <c r="A55" s="34" t="s">
        <v>102</v>
      </c>
      <c r="B55" s="5">
        <f>44*$H55</f>
        <v>0</v>
      </c>
      <c r="C55" s="5">
        <f>10*$H55</f>
        <v>0</v>
      </c>
      <c r="D55" s="5">
        <f>0.2*$H55</f>
        <v>0</v>
      </c>
      <c r="E55" s="5">
        <f>1.4*$H55</f>
        <v>0</v>
      </c>
      <c r="F55" s="5">
        <f>1.4*$H55</f>
        <v>0</v>
      </c>
      <c r="G55" s="5">
        <f>4.7*$H55</f>
        <v>0</v>
      </c>
      <c r="I55" s="22" t="s">
        <v>96</v>
      </c>
      <c r="J55" s="2">
        <v>4</v>
      </c>
      <c r="L55" s="5">
        <f>Log[[#This Row],[Calories]]-(Log[[#This Row],[Fat Removed]]*Log[[#This Row],[Fat Calories]])</f>
        <v>0</v>
      </c>
      <c r="M55" s="5">
        <f>Log[[#This Row],[Fat]]*9</f>
        <v>0</v>
      </c>
      <c r="N55" s="74" t="b">
        <f>NOT(ISERROR(MATCH(A55,Index[Item],0)))</f>
        <v>1</v>
      </c>
    </row>
    <row r="56" spans="1:14" x14ac:dyDescent="0.3">
      <c r="A56" s="34" t="s">
        <v>103</v>
      </c>
      <c r="B56" s="5">
        <f>17*$H56</f>
        <v>0</v>
      </c>
      <c r="C56" s="5">
        <f>3.3*$H56</f>
        <v>0</v>
      </c>
      <c r="D56" s="5">
        <f>0.3*$H56</f>
        <v>0</v>
      </c>
      <c r="E56" s="5">
        <f>1.2*$H56</f>
        <v>0</v>
      </c>
      <c r="F56" s="5">
        <f>2.1*$H56</f>
        <v>0</v>
      </c>
      <c r="G56" s="5">
        <f>1.2*$H56</f>
        <v>0</v>
      </c>
      <c r="I56" s="22" t="s">
        <v>96</v>
      </c>
      <c r="J56" s="2">
        <v>4</v>
      </c>
      <c r="L56" s="5">
        <f>Log[[#This Row],[Calories]]-(Log[[#This Row],[Fat Removed]]*Log[[#This Row],[Fat Calories]])</f>
        <v>0</v>
      </c>
      <c r="M56" s="5">
        <f>Log[[#This Row],[Fat]]*9</f>
        <v>0</v>
      </c>
      <c r="N56" s="74" t="b">
        <f>NOT(ISERROR(MATCH(A56,Index[Item],0)))</f>
        <v>1</v>
      </c>
    </row>
    <row r="57" spans="1:14" x14ac:dyDescent="0.3">
      <c r="A57" s="34" t="s">
        <v>104</v>
      </c>
      <c r="B57" s="5">
        <f>18*$H57</f>
        <v>0</v>
      </c>
      <c r="C57" s="5">
        <f>3.9*$H57</f>
        <v>0</v>
      </c>
      <c r="D57" s="5">
        <f>0.2*$H57</f>
        <v>0</v>
      </c>
      <c r="E57" s="5">
        <f>0.9*$H57</f>
        <v>0</v>
      </c>
      <c r="F57" s="5">
        <f>1.2*$H57</f>
        <v>0</v>
      </c>
      <c r="G57" s="5">
        <f>2.6*$H57</f>
        <v>0</v>
      </c>
      <c r="I57" s="22" t="s">
        <v>96</v>
      </c>
      <c r="J57" s="2">
        <v>4</v>
      </c>
      <c r="L57" s="5">
        <f>Log[[#This Row],[Calories]]-(Log[[#This Row],[Fat Removed]]*Log[[#This Row],[Fat Calories]])</f>
        <v>0</v>
      </c>
      <c r="M57" s="5">
        <f>Log[[#This Row],[Fat]]*9</f>
        <v>0</v>
      </c>
      <c r="N57" s="74" t="b">
        <f>NOT(ISERROR(MATCH(A57,Index[Item],0)))</f>
        <v>1</v>
      </c>
    </row>
    <row r="58" spans="1:14" ht="37.5" x14ac:dyDescent="0.3">
      <c r="A58" s="34" t="s">
        <v>124</v>
      </c>
      <c r="B58" s="5">
        <f>0*$H58</f>
        <v>0</v>
      </c>
      <c r="C58" s="5">
        <f>1*$H58</f>
        <v>0</v>
      </c>
      <c r="D58" s="5">
        <f t="shared" ref="D58:G60" si="6">0*$H58</f>
        <v>0</v>
      </c>
      <c r="E58" s="5">
        <f t="shared" si="6"/>
        <v>0</v>
      </c>
      <c r="F58" s="5">
        <f t="shared" si="6"/>
        <v>0</v>
      </c>
      <c r="G58" s="5">
        <f t="shared" si="6"/>
        <v>0</v>
      </c>
      <c r="I58" s="22" t="s">
        <v>125</v>
      </c>
      <c r="J58" s="2">
        <v>4</v>
      </c>
      <c r="L58" s="5">
        <f>Log[[#This Row],[Calories]]-(Log[[#This Row],[Fat Removed]]*Log[[#This Row],[Fat Calories]])</f>
        <v>0</v>
      </c>
      <c r="M58" s="5">
        <f>Log[[#This Row],[Fat]]*9</f>
        <v>0</v>
      </c>
      <c r="N58" s="74" t="b">
        <f>NOT(ISERROR(MATCH(A58,Index[Item],0)))</f>
        <v>1</v>
      </c>
    </row>
    <row r="59" spans="1:14" ht="37.5" x14ac:dyDescent="0.3">
      <c r="A59" s="34" t="s">
        <v>126</v>
      </c>
      <c r="B59" s="5">
        <f>0*$H59</f>
        <v>0</v>
      </c>
      <c r="C59" s="5">
        <f>1*$H59</f>
        <v>0</v>
      </c>
      <c r="D59" s="5">
        <f t="shared" si="6"/>
        <v>0</v>
      </c>
      <c r="E59" s="5">
        <f t="shared" si="6"/>
        <v>0</v>
      </c>
      <c r="F59" s="5">
        <f t="shared" si="6"/>
        <v>0</v>
      </c>
      <c r="G59" s="5">
        <f t="shared" si="6"/>
        <v>0</v>
      </c>
      <c r="I59" s="22" t="s">
        <v>127</v>
      </c>
      <c r="J59" s="2">
        <v>4</v>
      </c>
      <c r="L59" s="5">
        <f>Log[[#This Row],[Calories]]-(Log[[#This Row],[Fat Removed]]*Log[[#This Row],[Fat Calories]])</f>
        <v>0</v>
      </c>
      <c r="M59" s="5">
        <f>Log[[#This Row],[Fat]]*9</f>
        <v>0</v>
      </c>
      <c r="N59" s="74" t="b">
        <f>NOT(ISERROR(MATCH(A59,Index[Item],0)))</f>
        <v>1</v>
      </c>
    </row>
    <row r="60" spans="1:14" ht="37.5" x14ac:dyDescent="0.3">
      <c r="A60" s="34" t="s">
        <v>128</v>
      </c>
      <c r="B60" s="5">
        <f>0*$H60</f>
        <v>0</v>
      </c>
      <c r="C60" s="5">
        <f>1*$H60</f>
        <v>0</v>
      </c>
      <c r="D60" s="5">
        <f t="shared" si="6"/>
        <v>0</v>
      </c>
      <c r="E60" s="5">
        <f t="shared" si="6"/>
        <v>0</v>
      </c>
      <c r="F60" s="5">
        <f t="shared" si="6"/>
        <v>0</v>
      </c>
      <c r="G60" s="5">
        <f t="shared" si="6"/>
        <v>0</v>
      </c>
      <c r="I60" s="22" t="s">
        <v>129</v>
      </c>
      <c r="J60" s="2">
        <v>4</v>
      </c>
      <c r="L60" s="5">
        <f>Log[[#This Row],[Calories]]-(Log[[#This Row],[Fat Removed]]*Log[[#This Row],[Fat Calories]])</f>
        <v>0</v>
      </c>
      <c r="M60" s="5">
        <f>Log[[#This Row],[Fat]]*9</f>
        <v>0</v>
      </c>
      <c r="N60" s="74" t="b">
        <f>NOT(ISERROR(MATCH(A60,Index[Item],0)))</f>
        <v>1</v>
      </c>
    </row>
    <row r="61" spans="1:14" x14ac:dyDescent="0.3">
      <c r="A61" s="34" t="s">
        <v>130</v>
      </c>
      <c r="B61" s="5">
        <f>35*$H61</f>
        <v>0</v>
      </c>
      <c r="C61" s="5">
        <f>8*$H61</f>
        <v>0</v>
      </c>
      <c r="D61" s="5">
        <f t="shared" ref="D61:G64" si="7">0*$H61</f>
        <v>0</v>
      </c>
      <c r="E61" s="5">
        <f t="shared" si="7"/>
        <v>0</v>
      </c>
      <c r="F61" s="5">
        <f t="shared" si="7"/>
        <v>0</v>
      </c>
      <c r="G61" s="5">
        <f>8*$H61</f>
        <v>0</v>
      </c>
      <c r="I61" s="22" t="s">
        <v>131</v>
      </c>
      <c r="J61" s="2">
        <v>4</v>
      </c>
      <c r="L61" s="5">
        <f>Log[[#This Row],[Calories]]-(Log[[#This Row],[Fat Removed]]*Log[[#This Row],[Fat Calories]])</f>
        <v>0</v>
      </c>
      <c r="M61" s="5">
        <f>Log[[#This Row],[Fat]]*9</f>
        <v>0</v>
      </c>
      <c r="N61" s="74" t="b">
        <f>NOT(ISERROR(MATCH(A61,Index[Item],0)))</f>
        <v>1</v>
      </c>
    </row>
    <row r="62" spans="1:14" ht="37.5" x14ac:dyDescent="0.3">
      <c r="A62" s="34" t="s">
        <v>132</v>
      </c>
      <c r="B62" s="5">
        <f>35*$H62</f>
        <v>0</v>
      </c>
      <c r="C62" s="5">
        <f>8*$H62</f>
        <v>0</v>
      </c>
      <c r="D62" s="5">
        <f t="shared" si="7"/>
        <v>0</v>
      </c>
      <c r="E62" s="5">
        <f t="shared" si="7"/>
        <v>0</v>
      </c>
      <c r="F62" s="5">
        <f t="shared" si="7"/>
        <v>0</v>
      </c>
      <c r="G62" s="5">
        <f>8*$H62</f>
        <v>0</v>
      </c>
      <c r="I62" s="22" t="s">
        <v>125</v>
      </c>
      <c r="J62" s="2">
        <v>4</v>
      </c>
      <c r="L62" s="5">
        <f>Log[[#This Row],[Calories]]-(Log[[#This Row],[Fat Removed]]*Log[[#This Row],[Fat Calories]])</f>
        <v>0</v>
      </c>
      <c r="M62" s="5">
        <f>Log[[#This Row],[Fat]]*9</f>
        <v>0</v>
      </c>
      <c r="N62" s="74" t="b">
        <f>NOT(ISERROR(MATCH(A62,Index[Item],0)))</f>
        <v>1</v>
      </c>
    </row>
    <row r="63" spans="1:14" ht="37.5" x14ac:dyDescent="0.3">
      <c r="A63" s="34" t="s">
        <v>133</v>
      </c>
      <c r="B63" s="5">
        <f>35*$H63</f>
        <v>0</v>
      </c>
      <c r="C63" s="5">
        <f>8*$H63</f>
        <v>0</v>
      </c>
      <c r="D63" s="5">
        <f t="shared" si="7"/>
        <v>0</v>
      </c>
      <c r="E63" s="5">
        <f t="shared" si="7"/>
        <v>0</v>
      </c>
      <c r="F63" s="5">
        <f t="shared" si="7"/>
        <v>0</v>
      </c>
      <c r="G63" s="5">
        <f>8*$H63</f>
        <v>0</v>
      </c>
      <c r="I63" s="22" t="s">
        <v>134</v>
      </c>
      <c r="J63" s="2">
        <v>4</v>
      </c>
      <c r="L63" s="5">
        <f>Log[[#This Row],[Calories]]-(Log[[#This Row],[Fat Removed]]*Log[[#This Row],[Fat Calories]])</f>
        <v>0</v>
      </c>
      <c r="M63" s="5">
        <f>Log[[#This Row],[Fat]]*9</f>
        <v>0</v>
      </c>
      <c r="N63" s="74" t="b">
        <f>NOT(ISERROR(MATCH(A63,Index[Item],0)))</f>
        <v>1</v>
      </c>
    </row>
    <row r="64" spans="1:14" x14ac:dyDescent="0.3">
      <c r="A64" s="34" t="s">
        <v>137</v>
      </c>
      <c r="B64" s="5">
        <f>5*$H64</f>
        <v>0</v>
      </c>
      <c r="C64" s="5">
        <f>0.5*$H64</f>
        <v>0</v>
      </c>
      <c r="D64" s="5">
        <f t="shared" si="7"/>
        <v>0</v>
      </c>
      <c r="E64" s="5">
        <f t="shared" si="7"/>
        <v>0</v>
      </c>
      <c r="F64" s="5">
        <f t="shared" si="7"/>
        <v>0</v>
      </c>
      <c r="G64" s="5">
        <f t="shared" si="7"/>
        <v>0</v>
      </c>
      <c r="I64" s="22" t="s">
        <v>138</v>
      </c>
      <c r="J64" s="2">
        <v>4</v>
      </c>
      <c r="L64" s="5">
        <f>Log[[#This Row],[Calories]]-(Log[[#This Row],[Fat Removed]]*Log[[#This Row],[Fat Calories]])</f>
        <v>0</v>
      </c>
      <c r="M64" s="5">
        <f>Log[[#This Row],[Fat]]*9</f>
        <v>0</v>
      </c>
      <c r="N64" s="74" t="b">
        <f>NOT(ISERROR(MATCH(A64,Index[Item],0)))</f>
        <v>1</v>
      </c>
    </row>
    <row r="65" spans="1:14" x14ac:dyDescent="0.3">
      <c r="A65" s="34" t="s">
        <v>139</v>
      </c>
      <c r="B65" s="5">
        <f>89*$H65</f>
        <v>0</v>
      </c>
      <c r="C65" s="5">
        <f>23*$H65</f>
        <v>0</v>
      </c>
      <c r="D65" s="5">
        <f>0.3*$H65</f>
        <v>0</v>
      </c>
      <c r="E65" s="5">
        <f>1.1*$H65</f>
        <v>0</v>
      </c>
      <c r="F65" s="5">
        <f>2.6*$H65</f>
        <v>0</v>
      </c>
      <c r="G65" s="5">
        <f>12*$H65</f>
        <v>0</v>
      </c>
      <c r="I65" s="22" t="s">
        <v>96</v>
      </c>
      <c r="J65" s="2">
        <v>4</v>
      </c>
      <c r="L65" s="5">
        <f>Log[[#This Row],[Calories]]-(Log[[#This Row],[Fat Removed]]*Log[[#This Row],[Fat Calories]])</f>
        <v>0</v>
      </c>
      <c r="M65" s="5">
        <f>Log[[#This Row],[Fat]]*9</f>
        <v>0</v>
      </c>
      <c r="N65" s="74" t="b">
        <f>NOT(ISERROR(MATCH(A65,Index[Item],0)))</f>
        <v>1</v>
      </c>
    </row>
    <row r="66" spans="1:14" x14ac:dyDescent="0.3">
      <c r="A66" s="34" t="s">
        <v>140</v>
      </c>
      <c r="B66" s="5">
        <f>69*$H66</f>
        <v>0</v>
      </c>
      <c r="C66" s="5">
        <f>18*$H66</f>
        <v>0</v>
      </c>
      <c r="D66" s="5">
        <f>0.2*$H66</f>
        <v>0</v>
      </c>
      <c r="E66" s="5">
        <f>0.7*$H66</f>
        <v>0</v>
      </c>
      <c r="F66" s="5">
        <f>0.9*$H66</f>
        <v>0</v>
      </c>
      <c r="G66" s="5">
        <f>15*$H66</f>
        <v>0</v>
      </c>
      <c r="I66" s="22" t="s">
        <v>96</v>
      </c>
      <c r="J66" s="2">
        <v>4</v>
      </c>
      <c r="L66" s="5">
        <f>Log[[#This Row],[Calories]]-(Log[[#This Row],[Fat Removed]]*Log[[#This Row],[Fat Calories]])</f>
        <v>0</v>
      </c>
      <c r="M66" s="5">
        <f>Log[[#This Row],[Fat]]*9</f>
        <v>0</v>
      </c>
      <c r="N66" s="74" t="b">
        <f>NOT(ISERROR(MATCH(A66,Index[Item],0)))</f>
        <v>1</v>
      </c>
    </row>
    <row r="67" spans="1:14" x14ac:dyDescent="0.3">
      <c r="A67" s="34" t="s">
        <v>141</v>
      </c>
      <c r="B67" s="5">
        <f>35*$H67</f>
        <v>0</v>
      </c>
      <c r="C67" s="5">
        <f>8.2*$H67</f>
        <v>0</v>
      </c>
      <c r="D67" s="5">
        <f>0.1*$H67</f>
        <v>0</v>
      </c>
      <c r="E67" s="5">
        <f>0.6*$H67</f>
        <v>0</v>
      </c>
      <c r="F67" s="5">
        <f>2.9*$H67</f>
        <v>0</v>
      </c>
      <c r="G67" s="5">
        <f>4.8*$H67</f>
        <v>0</v>
      </c>
      <c r="I67" s="22" t="s">
        <v>96</v>
      </c>
      <c r="J67" s="2">
        <v>4</v>
      </c>
      <c r="L67" s="5">
        <f>Log[[#This Row],[Calories]]-(Log[[#This Row],[Fat Removed]]*Log[[#This Row],[Fat Calories]])</f>
        <v>0</v>
      </c>
      <c r="M67" s="5">
        <f>Log[[#This Row],[Fat]]*9</f>
        <v>0</v>
      </c>
      <c r="N67" s="74" t="b">
        <f>NOT(ISERROR(MATCH(A67,Index[Item],0)))</f>
        <v>1</v>
      </c>
    </row>
    <row r="68" spans="1:14" x14ac:dyDescent="0.3">
      <c r="A68" s="34" t="s">
        <v>144</v>
      </c>
      <c r="B68" s="5">
        <f>32*$H68</f>
        <v>0</v>
      </c>
      <c r="C68" s="5">
        <f>7.7*$H68</f>
        <v>0</v>
      </c>
      <c r="D68" s="5">
        <f>0.3*$H68</f>
        <v>0</v>
      </c>
      <c r="E68" s="5">
        <f>0.7*$H68</f>
        <v>0</v>
      </c>
      <c r="F68" s="5">
        <f>2*$H68</f>
        <v>0</v>
      </c>
      <c r="G68" s="5">
        <f>4.9*$H68</f>
        <v>0</v>
      </c>
      <c r="I68" s="22" t="s">
        <v>96</v>
      </c>
      <c r="J68" s="2">
        <v>4</v>
      </c>
      <c r="L68" s="5">
        <f>Log[[#This Row],[Calories]]-(Log[[#This Row],[Fat Removed]]*Log[[#This Row],[Fat Calories]])</f>
        <v>0</v>
      </c>
      <c r="M68" s="5">
        <f>Log[[#This Row],[Fat]]*9</f>
        <v>0</v>
      </c>
      <c r="N68" s="74" t="b">
        <f>NOT(ISERROR(MATCH(A68,Index[Item],0)))</f>
        <v>1</v>
      </c>
    </row>
    <row r="69" spans="1:14" ht="26.25" x14ac:dyDescent="0.4">
      <c r="B69" s="5"/>
      <c r="C69" s="5"/>
      <c r="D69" s="5"/>
      <c r="E69" s="5"/>
      <c r="F69" s="5"/>
      <c r="G69" s="62" t="s">
        <v>148</v>
      </c>
      <c r="J69" s="2">
        <v>4.01</v>
      </c>
      <c r="L69" s="5"/>
      <c r="M69" s="5"/>
      <c r="N69" s="74" t="b">
        <f>NOT(ISERROR(MATCH(A69,Index[Item],0)))</f>
        <v>0</v>
      </c>
    </row>
    <row r="70" spans="1:14" ht="37.5" x14ac:dyDescent="0.3">
      <c r="A70" s="34" t="s">
        <v>149</v>
      </c>
      <c r="B70" s="5">
        <f>50*$H70</f>
        <v>0</v>
      </c>
      <c r="C70" s="5">
        <f>15*$H70</f>
        <v>0</v>
      </c>
      <c r="D70" s="5">
        <f>1.5*$H70</f>
        <v>0</v>
      </c>
      <c r="E70" s="5">
        <f>5*$H70</f>
        <v>0</v>
      </c>
      <c r="F70" s="5">
        <f>11*$H70</f>
        <v>0</v>
      </c>
      <c r="G70" s="5">
        <f>0*$H70</f>
        <v>0</v>
      </c>
      <c r="I70" s="22" t="s">
        <v>150</v>
      </c>
      <c r="J70" s="2">
        <v>5</v>
      </c>
      <c r="L70" s="5">
        <f>Log[[#This Row],[Calories]]-(Log[[#This Row],[Fat Removed]]*Log[[#This Row],[Fat Calories]])</f>
        <v>0</v>
      </c>
      <c r="M70" s="5">
        <f>Log[[#This Row],[Fat]]*9</f>
        <v>0</v>
      </c>
      <c r="N70" s="74" t="b">
        <f>NOT(ISERROR(MATCH(A70,Index[Item],0)))</f>
        <v>1</v>
      </c>
    </row>
    <row r="71" spans="1:14" ht="37.5" x14ac:dyDescent="0.3">
      <c r="A71" s="34" t="s">
        <v>563</v>
      </c>
      <c r="B71" s="5">
        <f>150*$H71</f>
        <v>0</v>
      </c>
      <c r="C71" s="5">
        <f>25*$H71</f>
        <v>0</v>
      </c>
      <c r="D71" s="5">
        <f>4*$H71</f>
        <v>0</v>
      </c>
      <c r="E71" s="5">
        <f>3*$H71</f>
        <v>0</v>
      </c>
      <c r="F71" s="5">
        <f>0.5*$H71</f>
        <v>0</v>
      </c>
      <c r="G71" s="5">
        <f>0*$H71</f>
        <v>0</v>
      </c>
      <c r="I71" s="22" t="s">
        <v>152</v>
      </c>
      <c r="J71" s="2">
        <v>5</v>
      </c>
      <c r="L71" s="5">
        <f>Log[[#This Row],[Calories]]-(Log[[#This Row],[Fat Removed]]*Log[[#This Row],[Fat Calories]])</f>
        <v>0</v>
      </c>
      <c r="M71" s="5">
        <f>Log[[#This Row],[Fat]]*9</f>
        <v>0</v>
      </c>
      <c r="N71" s="74" t="b">
        <f>NOT(ISERROR(MATCH(A71,Index[Item],0)))</f>
        <v>1</v>
      </c>
    </row>
    <row r="72" spans="1:14" x14ac:dyDescent="0.3">
      <c r="A72" s="34" t="s">
        <v>158</v>
      </c>
      <c r="B72" s="5">
        <f>70*$H72</f>
        <v>0</v>
      </c>
      <c r="C72" s="5">
        <f>17*$H72</f>
        <v>0</v>
      </c>
      <c r="D72" s="5">
        <f>0.5*$H72</f>
        <v>0</v>
      </c>
      <c r="E72" s="5">
        <f>4*$H72</f>
        <v>0</v>
      </c>
      <c r="F72" s="5">
        <f>4*$H72</f>
        <v>0</v>
      </c>
      <c r="G72" s="5">
        <f>2*$H72</f>
        <v>0</v>
      </c>
      <c r="I72" s="22" t="s">
        <v>159</v>
      </c>
      <c r="J72" s="2">
        <v>5</v>
      </c>
      <c r="L72" s="5">
        <f>Log[[#This Row],[Calories]]-(Log[[#This Row],[Fat Removed]]*Log[[#This Row],[Fat Calories]])</f>
        <v>0</v>
      </c>
      <c r="M72" s="5">
        <f>Log[[#This Row],[Fat]]*9</f>
        <v>0</v>
      </c>
      <c r="N72" s="74" t="b">
        <f>NOT(ISERROR(MATCH(A72,Index[Item],0)))</f>
        <v>1</v>
      </c>
    </row>
    <row r="73" spans="1:14" ht="37.5" x14ac:dyDescent="0.3">
      <c r="A73" s="34" t="s">
        <v>637</v>
      </c>
      <c r="B73" s="5">
        <f>160*$H73</f>
        <v>0</v>
      </c>
      <c r="C73" s="5">
        <f>24*$H73</f>
        <v>0</v>
      </c>
      <c r="D73" s="5">
        <f>4.5*$H73</f>
        <v>0</v>
      </c>
      <c r="E73" s="5">
        <f>5*$H73</f>
        <v>0</v>
      </c>
      <c r="F73" s="5">
        <f>2*$H73</f>
        <v>0</v>
      </c>
      <c r="G73" s="5">
        <f>3*$H73</f>
        <v>0</v>
      </c>
      <c r="I73" s="22" t="s">
        <v>638</v>
      </c>
      <c r="J73" s="2">
        <v>5</v>
      </c>
      <c r="L73" s="5">
        <f>Log[[#This Row],[Calories]]-(Log[[#This Row],[Fat Removed]]*Log[[#This Row],[Fat Calories]])</f>
        <v>0</v>
      </c>
      <c r="M73" s="5">
        <f>Log[[#This Row],[Fat]]*9</f>
        <v>0</v>
      </c>
      <c r="N73" s="74" t="b">
        <f>NOT(ISERROR(MATCH(A73,Index[Item],0)))</f>
        <v>1</v>
      </c>
    </row>
    <row r="74" spans="1:14" ht="26.25" x14ac:dyDescent="0.4">
      <c r="B74" s="5"/>
      <c r="C74" s="5"/>
      <c r="D74" s="5"/>
      <c r="E74" s="5"/>
      <c r="F74" s="5"/>
      <c r="G74" s="62" t="s">
        <v>166</v>
      </c>
      <c r="J74" s="2">
        <v>5.01</v>
      </c>
      <c r="L74" s="5"/>
      <c r="M74" s="5"/>
      <c r="N74" s="74" t="b">
        <f>NOT(ISERROR(MATCH(A74,Index[Item],0)))</f>
        <v>0</v>
      </c>
    </row>
    <row r="75" spans="1:14" ht="37.5" x14ac:dyDescent="0.3">
      <c r="A75" s="34" t="s">
        <v>178</v>
      </c>
      <c r="B75" s="5">
        <f>130*$H75</f>
        <v>0</v>
      </c>
      <c r="C75" s="5">
        <f>0*$H75</f>
        <v>0</v>
      </c>
      <c r="D75" s="5">
        <f>12*$H75</f>
        <v>0</v>
      </c>
      <c r="E75" s="5">
        <f>6*$H75</f>
        <v>0</v>
      </c>
      <c r="F75" s="5">
        <f>0*$H75</f>
        <v>0</v>
      </c>
      <c r="G75" s="5">
        <f>0*$H75</f>
        <v>0</v>
      </c>
      <c r="I75" s="22" t="s">
        <v>179</v>
      </c>
      <c r="J75" s="2">
        <v>6</v>
      </c>
      <c r="L75" s="5">
        <f>Log[[#This Row],[Calories]]-(Log[[#This Row],[Fat Removed]]*Log[[#This Row],[Fat Calories]])</f>
        <v>0</v>
      </c>
      <c r="M75" s="5">
        <f>Log[[#This Row],[Fat]]*9</f>
        <v>0</v>
      </c>
      <c r="N75" s="74" t="b">
        <f>NOT(ISERROR(MATCH(A75,Index[Item],0)))</f>
        <v>1</v>
      </c>
    </row>
    <row r="76" spans="1:14" ht="37.5" x14ac:dyDescent="0.3">
      <c r="A76" s="34" t="s">
        <v>180</v>
      </c>
      <c r="B76" s="5">
        <f>70*$H76</f>
        <v>0</v>
      </c>
      <c r="C76" s="5">
        <f>0.5*$H76</f>
        <v>0</v>
      </c>
      <c r="D76" s="5">
        <f>4*$H76</f>
        <v>0</v>
      </c>
      <c r="E76" s="5">
        <f>10*$H76</f>
        <v>0</v>
      </c>
      <c r="F76" s="5">
        <f t="shared" ref="F76:G83" si="8">0*$H76</f>
        <v>0</v>
      </c>
      <c r="G76" s="5">
        <f>0.5*$H76</f>
        <v>0</v>
      </c>
      <c r="I76" s="22" t="s">
        <v>181</v>
      </c>
      <c r="J76" s="2">
        <v>6</v>
      </c>
      <c r="L76" s="5">
        <f>Log[[#This Row],[Calories]]-(Log[[#This Row],[Fat Removed]]*Log[[#This Row],[Fat Calories]])</f>
        <v>0</v>
      </c>
      <c r="M76" s="5">
        <f>Log[[#This Row],[Fat]]*9</f>
        <v>0</v>
      </c>
      <c r="N76" s="74" t="b">
        <f>NOT(ISERROR(MATCH(A76,Index[Item],0)))</f>
        <v>1</v>
      </c>
    </row>
    <row r="77" spans="1:14" ht="37.5" x14ac:dyDescent="0.3">
      <c r="A77" s="34" t="s">
        <v>183</v>
      </c>
      <c r="B77" s="5">
        <f>110*$H77</f>
        <v>0</v>
      </c>
      <c r="C77" s="5">
        <f>0.5*$H77</f>
        <v>0</v>
      </c>
      <c r="D77" s="5">
        <f>10*$H77</f>
        <v>0</v>
      </c>
      <c r="E77" s="5">
        <f>6*$H77</f>
        <v>0</v>
      </c>
      <c r="F77" s="5">
        <f t="shared" si="8"/>
        <v>0</v>
      </c>
      <c r="G77" s="5">
        <f>0*$H77</f>
        <v>0</v>
      </c>
      <c r="I77" s="22" t="s">
        <v>181</v>
      </c>
      <c r="J77" s="2">
        <v>6</v>
      </c>
      <c r="L77" s="5">
        <f>Log[[#This Row],[Calories]]-(Log[[#This Row],[Fat Removed]]*Log[[#This Row],[Fat Calories]])</f>
        <v>0</v>
      </c>
      <c r="M77" s="5">
        <f>Log[[#This Row],[Fat]]*9</f>
        <v>0</v>
      </c>
      <c r="N77" s="74" t="b">
        <f>NOT(ISERROR(MATCH(A77,Index[Item],0)))</f>
        <v>1</v>
      </c>
    </row>
    <row r="78" spans="1:14" ht="37.5" x14ac:dyDescent="0.3">
      <c r="A78" s="34" t="s">
        <v>643</v>
      </c>
      <c r="B78" s="5">
        <f>120*$H78</f>
        <v>0</v>
      </c>
      <c r="C78" s="5">
        <f>1*$H78</f>
        <v>0</v>
      </c>
      <c r="D78" s="5">
        <f>10*$H78</f>
        <v>0</v>
      </c>
      <c r="E78" s="5">
        <f>6*$H78</f>
        <v>0</v>
      </c>
      <c r="F78" s="5">
        <f>0*$H78</f>
        <v>0</v>
      </c>
      <c r="G78" s="5">
        <f>0.5*$H78</f>
        <v>0</v>
      </c>
      <c r="I78" s="22" t="s">
        <v>181</v>
      </c>
      <c r="J78" s="2">
        <v>6</v>
      </c>
      <c r="L78" s="2">
        <f>Log[[#This Row],[Calories]]-(Log[[#This Row],[Fat Removed]]*Log[[#This Row],[Fat Calories]])</f>
        <v>0</v>
      </c>
      <c r="M78" s="2">
        <f>Log[[#This Row],[Fat]]*9</f>
        <v>0</v>
      </c>
      <c r="N78" s="74" t="b">
        <f>NOT(ISERROR(MATCH(A78,Index[Item],0)))</f>
        <v>1</v>
      </c>
    </row>
    <row r="79" spans="1:14" ht="37.5" x14ac:dyDescent="0.3">
      <c r="A79" s="34" t="s">
        <v>184</v>
      </c>
      <c r="B79" s="5">
        <f>210*$H79</f>
        <v>0</v>
      </c>
      <c r="C79" s="5">
        <f>2*$H79</f>
        <v>0</v>
      </c>
      <c r="D79" s="5">
        <f>18*$H79</f>
        <v>0</v>
      </c>
      <c r="E79" s="5">
        <f>10*$H79</f>
        <v>0</v>
      </c>
      <c r="F79" s="5">
        <f t="shared" si="8"/>
        <v>0</v>
      </c>
      <c r="G79" s="5">
        <f>2*$H79</f>
        <v>0</v>
      </c>
      <c r="I79" s="22" t="s">
        <v>185</v>
      </c>
      <c r="J79" s="2">
        <v>6</v>
      </c>
      <c r="L79" s="5">
        <f>Log[[#This Row],[Calories]]-(Log[[#This Row],[Fat Removed]]*Log[[#This Row],[Fat Calories]])</f>
        <v>0</v>
      </c>
      <c r="M79" s="5">
        <f>Log[[#This Row],[Fat]]*9</f>
        <v>0</v>
      </c>
      <c r="N79" s="74" t="b">
        <f>NOT(ISERROR(MATCH(A79,Index[Item],0)))</f>
        <v>1</v>
      </c>
    </row>
    <row r="80" spans="1:14" ht="37.5" x14ac:dyDescent="0.3">
      <c r="A80" s="34" t="s">
        <v>186</v>
      </c>
      <c r="B80" s="5">
        <f>80*$H80</f>
        <v>0</v>
      </c>
      <c r="C80" s="5">
        <f>0*$H80</f>
        <v>0</v>
      </c>
      <c r="D80" s="5">
        <f>5*$H80</f>
        <v>0</v>
      </c>
      <c r="E80" s="5">
        <f>8*$H80</f>
        <v>0</v>
      </c>
      <c r="F80" s="5">
        <f t="shared" si="8"/>
        <v>0</v>
      </c>
      <c r="G80" s="5">
        <f t="shared" si="8"/>
        <v>0</v>
      </c>
      <c r="I80" s="22" t="s">
        <v>187</v>
      </c>
      <c r="J80" s="2">
        <v>6</v>
      </c>
      <c r="L80" s="5">
        <f>Log[[#This Row],[Calories]]-(Log[[#This Row],[Fat Removed]]*Log[[#This Row],[Fat Calories]])</f>
        <v>0</v>
      </c>
      <c r="M80" s="5">
        <f>Log[[#This Row],[Fat]]*9</f>
        <v>0</v>
      </c>
      <c r="N80" s="74" t="b">
        <f>NOT(ISERROR(MATCH(A80,Index[Item],0)))</f>
        <v>1</v>
      </c>
    </row>
    <row r="81" spans="1:14" ht="37.5" x14ac:dyDescent="0.3">
      <c r="A81" s="34" t="s">
        <v>192</v>
      </c>
      <c r="B81" s="5">
        <f>70*$H81</f>
        <v>0</v>
      </c>
      <c r="C81" s="5">
        <f>1*$H81</f>
        <v>0</v>
      </c>
      <c r="D81" s="5">
        <f>4*$H81</f>
        <v>0</v>
      </c>
      <c r="E81" s="5">
        <f>9*$H81</f>
        <v>0</v>
      </c>
      <c r="F81" s="5">
        <f t="shared" si="8"/>
        <v>0</v>
      </c>
      <c r="G81" s="5">
        <f>0*$H81</f>
        <v>0</v>
      </c>
      <c r="J81" s="2">
        <v>6</v>
      </c>
      <c r="L81" s="5">
        <f>Log[[#This Row],[Calories]]-(Log[[#This Row],[Fat Removed]]*Log[[#This Row],[Fat Calories]])</f>
        <v>0</v>
      </c>
      <c r="M81" s="5">
        <f>Log[[#This Row],[Fat]]*9</f>
        <v>0</v>
      </c>
      <c r="N81" s="74" t="b">
        <f>NOT(ISERROR(MATCH(A81,Index[Item],0)))</f>
        <v>1</v>
      </c>
    </row>
    <row r="82" spans="1:14" x14ac:dyDescent="0.3">
      <c r="A82" s="34" t="s">
        <v>219</v>
      </c>
      <c r="B82" s="5">
        <f>130*$H82</f>
        <v>0</v>
      </c>
      <c r="C82" s="5">
        <f>0.5*$H82</f>
        <v>0</v>
      </c>
      <c r="D82" s="5">
        <f>12*$H82</f>
        <v>0</v>
      </c>
      <c r="E82" s="5">
        <f>4*$H82</f>
        <v>0</v>
      </c>
      <c r="F82" s="5">
        <f t="shared" si="8"/>
        <v>0</v>
      </c>
      <c r="G82" s="5">
        <f>0.5*$H82</f>
        <v>0</v>
      </c>
      <c r="I82" s="22" t="s">
        <v>216</v>
      </c>
      <c r="J82" s="2">
        <v>6</v>
      </c>
      <c r="L82" s="5">
        <f>Log[[#This Row],[Calories]]-(Log[[#This Row],[Fat Removed]]*Log[[#This Row],[Fat Calories]])</f>
        <v>0</v>
      </c>
      <c r="M82" s="5">
        <f>Log[[#This Row],[Fat]]*9</f>
        <v>0</v>
      </c>
      <c r="N82" s="74" t="b">
        <f>NOT(ISERROR(MATCH(A82,Index[Item],0)))</f>
        <v>1</v>
      </c>
    </row>
    <row r="83" spans="1:14" x14ac:dyDescent="0.3">
      <c r="A83" s="34" t="s">
        <v>220</v>
      </c>
      <c r="B83" s="5">
        <f>110*$H83</f>
        <v>0</v>
      </c>
      <c r="C83" s="5">
        <f>1*$H83</f>
        <v>0</v>
      </c>
      <c r="D83" s="5">
        <f>10*$H83</f>
        <v>0</v>
      </c>
      <c r="E83" s="5">
        <f>5*$H83</f>
        <v>0</v>
      </c>
      <c r="F83" s="5">
        <f t="shared" si="8"/>
        <v>0</v>
      </c>
      <c r="G83" s="5">
        <f>1*$H83</f>
        <v>0</v>
      </c>
      <c r="I83" s="22" t="s">
        <v>216</v>
      </c>
      <c r="J83" s="2">
        <v>6</v>
      </c>
      <c r="L83" s="5">
        <f>Log[[#This Row],[Calories]]-(Log[[#This Row],[Fat Removed]]*Log[[#This Row],[Fat Calories]])</f>
        <v>0</v>
      </c>
      <c r="M83" s="5">
        <f>Log[[#This Row],[Fat]]*9</f>
        <v>0</v>
      </c>
      <c r="N83" s="74" t="b">
        <f>NOT(ISERROR(MATCH(A83,Index[Item],0)))</f>
        <v>1</v>
      </c>
    </row>
    <row r="84" spans="1:14" ht="37.5" x14ac:dyDescent="0.3">
      <c r="A84" s="34" t="s">
        <v>223</v>
      </c>
      <c r="B84" s="5">
        <f>160*$H84</f>
        <v>0</v>
      </c>
      <c r="C84" s="5">
        <f>2*$H84</f>
        <v>0</v>
      </c>
      <c r="D84" s="5">
        <f>13*$H84</f>
        <v>0</v>
      </c>
      <c r="E84" s="5">
        <f>7*$H84</f>
        <v>0</v>
      </c>
      <c r="F84" s="5">
        <f>0*$H84</f>
        <v>0</v>
      </c>
      <c r="G84" s="5">
        <f>0.5*$H84</f>
        <v>0</v>
      </c>
      <c r="I84" s="22" t="s">
        <v>224</v>
      </c>
      <c r="J84" s="2">
        <v>6</v>
      </c>
      <c r="L84" s="5">
        <f>Log[[#This Row],[Calories]]-(Log[[#This Row],[Fat Removed]]*Log[[#This Row],[Fat Calories]])</f>
        <v>0</v>
      </c>
      <c r="M84" s="5">
        <f>Log[[#This Row],[Fat]]*9</f>
        <v>0</v>
      </c>
      <c r="N84" s="74" t="b">
        <f>NOT(ISERROR(MATCH(A84,Index[Item],0)))</f>
        <v>1</v>
      </c>
    </row>
    <row r="85" spans="1:14" x14ac:dyDescent="0.3">
      <c r="A85" s="34" t="s">
        <v>232</v>
      </c>
      <c r="B85" s="5">
        <f>70*$H85</f>
        <v>0</v>
      </c>
      <c r="C85" s="5">
        <f>0*$H85</f>
        <v>0</v>
      </c>
      <c r="D85" s="5">
        <f>5*$H85</f>
        <v>0</v>
      </c>
      <c r="E85" s="5">
        <f>6*$H85</f>
        <v>0</v>
      </c>
      <c r="F85" s="5">
        <f>0*$H85</f>
        <v>0</v>
      </c>
      <c r="G85" s="5">
        <f>0*$H85</f>
        <v>0</v>
      </c>
      <c r="I85" s="22" t="s">
        <v>233</v>
      </c>
      <c r="J85" s="2">
        <v>6</v>
      </c>
      <c r="L85" s="5">
        <f>Log[[#This Row],[Calories]]-(Log[[#This Row],[Fat Removed]]*Log[[#This Row],[Fat Calories]])</f>
        <v>0</v>
      </c>
      <c r="M85" s="5">
        <f>Log[[#This Row],[Fat]]*9</f>
        <v>0</v>
      </c>
      <c r="N85" s="74" t="b">
        <f>NOT(ISERROR(MATCH(A85,Index[Item],0)))</f>
        <v>1</v>
      </c>
    </row>
    <row r="86" spans="1:14" x14ac:dyDescent="0.3">
      <c r="A86" s="34" t="s">
        <v>229</v>
      </c>
      <c r="B86" s="5">
        <f>110*$H86</f>
        <v>0</v>
      </c>
      <c r="C86" s="5">
        <f>0*$H86</f>
        <v>0</v>
      </c>
      <c r="D86" s="5">
        <f>3*$H86</f>
        <v>0</v>
      </c>
      <c r="E86" s="5">
        <f>22*$H86</f>
        <v>0</v>
      </c>
      <c r="F86" s="5">
        <f>0*$H86</f>
        <v>0</v>
      </c>
      <c r="G86" s="5">
        <f>0*$H86</f>
        <v>0</v>
      </c>
      <c r="I86" s="22" t="s">
        <v>204</v>
      </c>
      <c r="J86" s="2">
        <v>6</v>
      </c>
      <c r="L86" s="5">
        <f>Log[[#This Row],[Calories]]-(Log[[#This Row],[Fat Removed]]*Log[[#This Row],[Fat Calories]])</f>
        <v>0</v>
      </c>
      <c r="M86" s="5">
        <f>Log[[#This Row],[Fat]]*9</f>
        <v>0</v>
      </c>
      <c r="N86" s="74" t="b">
        <f>NOT(ISERROR(MATCH(A86,Index[Item],0)))</f>
        <v>1</v>
      </c>
    </row>
    <row r="87" spans="1:14" ht="26.25" x14ac:dyDescent="0.4">
      <c r="B87" s="5"/>
      <c r="C87" s="5"/>
      <c r="D87" s="5"/>
      <c r="E87" s="5"/>
      <c r="F87" s="5"/>
      <c r="G87" s="62" t="s">
        <v>539</v>
      </c>
      <c r="J87" s="2">
        <v>6.01</v>
      </c>
      <c r="L87" s="5"/>
      <c r="M87" s="5"/>
      <c r="N87" s="74" t="b">
        <f>NOT(ISERROR(MATCH(A87,Index[Item],0)))</f>
        <v>0</v>
      </c>
    </row>
    <row r="88" spans="1:14" x14ac:dyDescent="0.3">
      <c r="A88" s="34" t="s">
        <v>245</v>
      </c>
      <c r="B88" s="5">
        <f>260*$H88</f>
        <v>0</v>
      </c>
      <c r="C88" s="5">
        <f>47*$H88</f>
        <v>0</v>
      </c>
      <c r="D88" s="5">
        <f>2*$H88</f>
        <v>0</v>
      </c>
      <c r="E88" s="5">
        <f>14*$H88</f>
        <v>0</v>
      </c>
      <c r="F88" s="5">
        <f>6*$H88</f>
        <v>0</v>
      </c>
      <c r="G88" s="5">
        <f>2*$H88</f>
        <v>0</v>
      </c>
      <c r="I88" s="22" t="s">
        <v>246</v>
      </c>
      <c r="J88" s="2">
        <v>7</v>
      </c>
      <c r="L88" s="5">
        <f>Log[[#This Row],[Calories]]-(Log[[#This Row],[Fat Removed]]*Log[[#This Row],[Fat Calories]])</f>
        <v>0</v>
      </c>
      <c r="M88" s="5">
        <f>Log[[#This Row],[Fat]]*9</f>
        <v>0</v>
      </c>
      <c r="N88" s="74" t="b">
        <f>NOT(ISERROR(MATCH(A88,Index[Item],0)))</f>
        <v>1</v>
      </c>
    </row>
    <row r="89" spans="1:14" ht="37.5" x14ac:dyDescent="0.3">
      <c r="A89" s="34" t="s">
        <v>247</v>
      </c>
      <c r="B89" s="5">
        <f>130*$H89</f>
        <v>0</v>
      </c>
      <c r="C89" s="5">
        <f>18*$H89</f>
        <v>0</v>
      </c>
      <c r="D89" s="5">
        <f>5*$H89</f>
        <v>0</v>
      </c>
      <c r="E89" s="5">
        <f>3*$H89</f>
        <v>0</v>
      </c>
      <c r="F89" s="5">
        <f>1*$H89</f>
        <v>0</v>
      </c>
      <c r="G89" s="5">
        <f>0*$H89</f>
        <v>0</v>
      </c>
      <c r="I89" s="22" t="s">
        <v>248</v>
      </c>
      <c r="J89" s="2">
        <v>7</v>
      </c>
      <c r="L89" s="5">
        <f>Log[[#This Row],[Calories]]-(Log[[#This Row],[Fat Removed]]*Log[[#This Row],[Fat Calories]])</f>
        <v>0</v>
      </c>
      <c r="M89" s="5">
        <f>Log[[#This Row],[Fat]]*9</f>
        <v>0</v>
      </c>
      <c r="N89" s="74" t="b">
        <f>NOT(ISERROR(MATCH(A89,Index[Item],0)))</f>
        <v>1</v>
      </c>
    </row>
    <row r="90" spans="1:14" x14ac:dyDescent="0.3">
      <c r="A90" s="34" t="s">
        <v>249</v>
      </c>
      <c r="B90" s="5">
        <f>180*$H90</f>
        <v>0</v>
      </c>
      <c r="C90" s="5">
        <f>40*$H90</f>
        <v>0</v>
      </c>
      <c r="D90" s="5">
        <f>0.5*$H90</f>
        <v>0</v>
      </c>
      <c r="E90" s="5">
        <f>4*$H90</f>
        <v>0</v>
      </c>
      <c r="F90" s="5">
        <f>0.5*$H90</f>
        <v>0</v>
      </c>
      <c r="G90" s="5">
        <f>0*$H90</f>
        <v>0</v>
      </c>
      <c r="I90" s="22" t="s">
        <v>250</v>
      </c>
      <c r="J90" s="2">
        <v>7</v>
      </c>
      <c r="L90" s="5">
        <f>Log[[#This Row],[Calories]]-(Log[[#This Row],[Fat Removed]]*Log[[#This Row],[Fat Calories]])</f>
        <v>0</v>
      </c>
      <c r="M90" s="5">
        <f>Log[[#This Row],[Fat]]*9</f>
        <v>0</v>
      </c>
      <c r="N90" s="74" t="b">
        <f>NOT(ISERROR(MATCH(A90,Index[Item],0)))</f>
        <v>1</v>
      </c>
    </row>
    <row r="91" spans="1:14" ht="37.5" x14ac:dyDescent="0.3">
      <c r="A91" s="34" t="s">
        <v>251</v>
      </c>
      <c r="B91" s="5">
        <f>190*$H91</f>
        <v>0</v>
      </c>
      <c r="C91" s="5">
        <f>42*$H91</f>
        <v>0</v>
      </c>
      <c r="D91" s="5">
        <f>0*$H91</f>
        <v>0</v>
      </c>
      <c r="E91" s="5">
        <f>5*$H91</f>
        <v>0</v>
      </c>
      <c r="F91" s="5">
        <f>0*$H91</f>
        <v>0</v>
      </c>
      <c r="G91" s="5">
        <f>0*$H91</f>
        <v>0</v>
      </c>
      <c r="I91" s="22" t="s">
        <v>252</v>
      </c>
      <c r="J91" s="2">
        <v>7</v>
      </c>
      <c r="L91" s="5">
        <f>Log[[#This Row],[Calories]]-(Log[[#This Row],[Fat Removed]]*Log[[#This Row],[Fat Calories]])</f>
        <v>0</v>
      </c>
      <c r="M91" s="5">
        <f>Log[[#This Row],[Fat]]*9</f>
        <v>0</v>
      </c>
      <c r="N91" s="74" t="b">
        <f>NOT(ISERROR(MATCH(A91,Index[Item],0)))</f>
        <v>1</v>
      </c>
    </row>
    <row r="92" spans="1:14" ht="37.5" x14ac:dyDescent="0.3">
      <c r="A92" s="34" t="s">
        <v>241</v>
      </c>
      <c r="B92" s="5">
        <f>45*$H92</f>
        <v>0</v>
      </c>
      <c r="C92" s="5">
        <f>9*$H92</f>
        <v>0</v>
      </c>
      <c r="D92" s="5">
        <f>0.5*$H92</f>
        <v>0</v>
      </c>
      <c r="E92" s="5">
        <f>0.5*$H92</f>
        <v>0</v>
      </c>
      <c r="F92" s="5">
        <f>0*$H92</f>
        <v>0</v>
      </c>
      <c r="G92" s="5">
        <f>0*$H92</f>
        <v>0</v>
      </c>
      <c r="I92" s="22" t="s">
        <v>242</v>
      </c>
      <c r="J92" s="2">
        <v>7</v>
      </c>
      <c r="L92" s="5">
        <f>Log[[#This Row],[Calories]]-(Log[[#This Row],[Fat Removed]]*Log[[#This Row],[Fat Calories]])</f>
        <v>0</v>
      </c>
      <c r="M92" s="5">
        <f>Log[[#This Row],[Fat]]*9</f>
        <v>0</v>
      </c>
      <c r="N92" s="74" t="b">
        <f>NOT(ISERROR(MATCH(A92,Index[Item],0)))</f>
        <v>1</v>
      </c>
    </row>
    <row r="93" spans="1:14" ht="37.5" x14ac:dyDescent="0.3">
      <c r="A93" s="34" t="s">
        <v>243</v>
      </c>
      <c r="B93" s="5">
        <f>50*$H93</f>
        <v>0</v>
      </c>
      <c r="C93" s="5">
        <f>11*$H93</f>
        <v>0</v>
      </c>
      <c r="D93" s="5">
        <f>0*$H93</f>
        <v>0</v>
      </c>
      <c r="E93" s="5">
        <f>0.5*$H93</f>
        <v>0</v>
      </c>
      <c r="F93" s="5">
        <f>0*$H93</f>
        <v>0</v>
      </c>
      <c r="G93" s="5">
        <f>3*$H93</f>
        <v>0</v>
      </c>
      <c r="I93" s="22" t="s">
        <v>244</v>
      </c>
      <c r="J93" s="2">
        <v>7</v>
      </c>
      <c r="L93" s="5">
        <f>Log[[#This Row],[Calories]]-(Log[[#This Row],[Fat Removed]]*Log[[#This Row],[Fat Calories]])</f>
        <v>0</v>
      </c>
      <c r="M93" s="5">
        <f>Log[[#This Row],[Fat]]*9</f>
        <v>0</v>
      </c>
      <c r="N93" s="74" t="b">
        <f>NOT(ISERROR(MATCH(A93,Index[Item],0)))</f>
        <v>1</v>
      </c>
    </row>
    <row r="94" spans="1:14" ht="37.5" x14ac:dyDescent="0.3">
      <c r="A94" s="34" t="s">
        <v>253</v>
      </c>
      <c r="B94" s="5">
        <f>160*$H94</f>
        <v>0</v>
      </c>
      <c r="C94" s="5">
        <f>4*$H94</f>
        <v>0</v>
      </c>
      <c r="D94" s="5">
        <f>14*$H94</f>
        <v>0</v>
      </c>
      <c r="E94" s="5">
        <f>7*$H94</f>
        <v>0</v>
      </c>
      <c r="F94" s="5">
        <f>2*$H94</f>
        <v>0</v>
      </c>
      <c r="G94" s="5">
        <f>1*$H94</f>
        <v>0</v>
      </c>
      <c r="J94" s="2">
        <v>7</v>
      </c>
      <c r="L94" s="5">
        <f>Log[[#This Row],[Calories]]-(Log[[#This Row],[Fat Removed]]*Log[[#This Row],[Fat Calories]])</f>
        <v>0</v>
      </c>
      <c r="M94" s="5">
        <f>Log[[#This Row],[Fat]]*9</f>
        <v>0</v>
      </c>
      <c r="N94" s="74" t="b">
        <f>NOT(ISERROR(MATCH(A94,Index[Item],0)))</f>
        <v>1</v>
      </c>
    </row>
    <row r="95" spans="1:14" x14ac:dyDescent="0.3">
      <c r="A95" s="34" t="s">
        <v>254</v>
      </c>
      <c r="B95" s="5">
        <f>160*$H95</f>
        <v>0</v>
      </c>
      <c r="C95" s="5">
        <f>6*$H95</f>
        <v>0</v>
      </c>
      <c r="D95" s="5">
        <f>14*$H95</f>
        <v>0</v>
      </c>
      <c r="E95" s="5">
        <f>7*$H95</f>
        <v>0</v>
      </c>
      <c r="F95" s="5">
        <f>2*$H95</f>
        <v>0</v>
      </c>
      <c r="G95" s="5">
        <f>2*$H95</f>
        <v>0</v>
      </c>
      <c r="J95" s="2">
        <v>7</v>
      </c>
      <c r="L95" s="5">
        <f>Log[[#This Row],[Calories]]-(Log[[#This Row],[Fat Removed]]*Log[[#This Row],[Fat Calories]])</f>
        <v>0</v>
      </c>
      <c r="M95" s="5">
        <f>Log[[#This Row],[Fat]]*9</f>
        <v>0</v>
      </c>
      <c r="N95" s="74" t="b">
        <f>NOT(ISERROR(MATCH(A95,Index[Item],0)))</f>
        <v>1</v>
      </c>
    </row>
    <row r="96" spans="1:14" x14ac:dyDescent="0.3">
      <c r="A96" s="34" t="s">
        <v>255</v>
      </c>
      <c r="B96" s="5">
        <f>170*$H96</f>
        <v>0</v>
      </c>
      <c r="C96" s="5">
        <f>8*$H96</f>
        <v>0</v>
      </c>
      <c r="D96" s="5">
        <f>13*$H96</f>
        <v>0</v>
      </c>
      <c r="E96" s="5">
        <f>5*$H96</f>
        <v>0</v>
      </c>
      <c r="F96" s="5">
        <f>1*$H96</f>
        <v>0</v>
      </c>
      <c r="G96" s="5">
        <f>1*$H96</f>
        <v>0</v>
      </c>
      <c r="I96" s="22" t="s">
        <v>257</v>
      </c>
      <c r="J96" s="2">
        <v>7</v>
      </c>
      <c r="L96" s="5">
        <f>Log[[#This Row],[Calories]]-(Log[[#This Row],[Fat Removed]]*Log[[#This Row],[Fat Calories]])</f>
        <v>0</v>
      </c>
      <c r="M96" s="5">
        <f>Log[[#This Row],[Fat]]*9</f>
        <v>0</v>
      </c>
      <c r="N96" s="74" t="b">
        <f>NOT(ISERROR(MATCH(A96,Index[Item],0)))</f>
        <v>1</v>
      </c>
    </row>
    <row r="97" spans="1:14" ht="37.5" x14ac:dyDescent="0.3">
      <c r="A97" s="34" t="s">
        <v>256</v>
      </c>
      <c r="B97" s="5">
        <f>160*$H97</f>
        <v>0</v>
      </c>
      <c r="C97" s="5">
        <f>8*$H97</f>
        <v>0</v>
      </c>
      <c r="D97" s="5">
        <f>13*$H97</f>
        <v>0</v>
      </c>
      <c r="E97" s="5">
        <f>5*$H97</f>
        <v>0</v>
      </c>
      <c r="F97" s="5">
        <f>1*$H97</f>
        <v>0</v>
      </c>
      <c r="G97" s="5">
        <f>2*$H97</f>
        <v>0</v>
      </c>
      <c r="I97" s="22" t="s">
        <v>257</v>
      </c>
      <c r="J97" s="2">
        <v>7</v>
      </c>
      <c r="L97" s="5">
        <f>Log[[#This Row],[Calories]]-(Log[[#This Row],[Fat Removed]]*Log[[#This Row],[Fat Calories]])</f>
        <v>0</v>
      </c>
      <c r="M97" s="5">
        <f>Log[[#This Row],[Fat]]*9</f>
        <v>0</v>
      </c>
      <c r="N97" s="74" t="b">
        <f>NOT(ISERROR(MATCH(A97,Index[Item],0)))</f>
        <v>1</v>
      </c>
    </row>
    <row r="98" spans="1:14" x14ac:dyDescent="0.3">
      <c r="A98" s="34" t="s">
        <v>262</v>
      </c>
      <c r="B98" s="5">
        <f>10*$H98</f>
        <v>0</v>
      </c>
      <c r="C98" s="5">
        <f>1*$H98</f>
        <v>0</v>
      </c>
      <c r="D98" s="5">
        <f>0*$H98</f>
        <v>0</v>
      </c>
      <c r="E98" s="5">
        <f>1*$H98</f>
        <v>0</v>
      </c>
      <c r="F98" s="5">
        <f>0*$H98</f>
        <v>0</v>
      </c>
      <c r="G98" s="5">
        <f>0*$H98</f>
        <v>0</v>
      </c>
      <c r="I98" s="22" t="s">
        <v>263</v>
      </c>
      <c r="J98" s="2">
        <v>7</v>
      </c>
      <c r="L98" s="5">
        <f>Log[[#This Row],[Calories]]-(Log[[#This Row],[Fat Removed]]*Log[[#This Row],[Fat Calories]])</f>
        <v>0</v>
      </c>
      <c r="M98" s="5">
        <f>Log[[#This Row],[Fat]]*9</f>
        <v>0</v>
      </c>
      <c r="N98" s="74" t="b">
        <f>NOT(ISERROR(MATCH(A98,Index[Item],0)))</f>
        <v>1</v>
      </c>
    </row>
    <row r="99" spans="1:14" x14ac:dyDescent="0.3">
      <c r="A99" s="34" t="s">
        <v>264</v>
      </c>
      <c r="B99" s="5">
        <f>330*$H99</f>
        <v>0</v>
      </c>
      <c r="C99" s="5">
        <f>23*$H99</f>
        <v>0</v>
      </c>
      <c r="D99" s="5">
        <f>18*$H99</f>
        <v>0</v>
      </c>
      <c r="E99" s="5">
        <f>19*$H99</f>
        <v>0</v>
      </c>
      <c r="F99" s="5">
        <f>3*$H99</f>
        <v>0</v>
      </c>
      <c r="G99" s="5">
        <f>5*$H99</f>
        <v>0</v>
      </c>
      <c r="I99" s="22" t="s">
        <v>265</v>
      </c>
      <c r="J99" s="2">
        <v>7</v>
      </c>
      <c r="L99" s="5">
        <f>Log[[#This Row],[Calories]]-(Log[[#This Row],[Fat Removed]]*Log[[#This Row],[Fat Calories]])</f>
        <v>0</v>
      </c>
      <c r="M99" s="5">
        <f>Log[[#This Row],[Fat]]*9</f>
        <v>0</v>
      </c>
      <c r="N99" s="74" t="b">
        <f>NOT(ISERROR(MATCH(A99,Index[Item],0)))</f>
        <v>1</v>
      </c>
    </row>
    <row r="100" spans="1:14" ht="37.5" x14ac:dyDescent="0.3">
      <c r="A100" s="34" t="s">
        <v>266</v>
      </c>
      <c r="B100" s="5">
        <f>270*$H100</f>
        <v>0</v>
      </c>
      <c r="C100" s="5">
        <f>30*$H100</f>
        <v>0</v>
      </c>
      <c r="D100" s="5">
        <f>10*$H100</f>
        <v>0</v>
      </c>
      <c r="E100" s="5">
        <f>16*$H100</f>
        <v>0</v>
      </c>
      <c r="F100" s="5">
        <f>7*$H100</f>
        <v>0</v>
      </c>
      <c r="G100" s="5">
        <f>5*$H100</f>
        <v>0</v>
      </c>
      <c r="I100" s="22" t="s">
        <v>267</v>
      </c>
      <c r="J100" s="2">
        <v>7</v>
      </c>
      <c r="L100" s="5">
        <f>Log[[#This Row],[Calories]]-(Log[[#This Row],[Fat Removed]]*Log[[#This Row],[Fat Calories]])</f>
        <v>0</v>
      </c>
      <c r="M100" s="5">
        <f>Log[[#This Row],[Fat]]*9</f>
        <v>0</v>
      </c>
      <c r="N100" s="74" t="b">
        <f>NOT(ISERROR(MATCH(A100,Index[Item],0)))</f>
        <v>1</v>
      </c>
    </row>
    <row r="101" spans="1:14" x14ac:dyDescent="0.3">
      <c r="A101" s="34" t="s">
        <v>268</v>
      </c>
      <c r="B101" s="5">
        <f>120*$H101</f>
        <v>0</v>
      </c>
      <c r="C101" s="5">
        <f>21*$H101</f>
        <v>0</v>
      </c>
      <c r="D101" s="5">
        <f>1.5*$H101</f>
        <v>0</v>
      </c>
      <c r="E101" s="5">
        <f>7*$H101</f>
        <v>0</v>
      </c>
      <c r="F101" s="5">
        <f>5*$H101</f>
        <v>0</v>
      </c>
      <c r="G101" s="5">
        <f>1*$H101</f>
        <v>0</v>
      </c>
      <c r="I101" s="22" t="s">
        <v>269</v>
      </c>
      <c r="J101" s="2">
        <v>7</v>
      </c>
      <c r="L101" s="5">
        <f>Log[[#This Row],[Calories]]-(Log[[#This Row],[Fat Removed]]*Log[[#This Row],[Fat Calories]])</f>
        <v>0</v>
      </c>
      <c r="M101" s="5">
        <f>Log[[#This Row],[Fat]]*9</f>
        <v>0</v>
      </c>
      <c r="N101" s="74" t="b">
        <f>NOT(ISERROR(MATCH(A101,Index[Item],0)))</f>
        <v>1</v>
      </c>
    </row>
    <row r="102" spans="1:14" ht="37.5" x14ac:dyDescent="0.3">
      <c r="A102" s="34" t="s">
        <v>270</v>
      </c>
      <c r="B102" s="5">
        <f>120*$H102</f>
        <v>0</v>
      </c>
      <c r="C102" s="5">
        <f>23*$H102</f>
        <v>0</v>
      </c>
      <c r="D102" s="5">
        <f>0.5*$H102</f>
        <v>0</v>
      </c>
      <c r="E102" s="5">
        <f>6*$H102</f>
        <v>0</v>
      </c>
      <c r="F102" s="5">
        <f>10*$H102</f>
        <v>0</v>
      </c>
      <c r="G102" s="5">
        <f>2*$H102</f>
        <v>0</v>
      </c>
      <c r="I102" s="22" t="s">
        <v>269</v>
      </c>
      <c r="J102" s="2">
        <v>7</v>
      </c>
      <c r="L102" s="5">
        <f>Log[[#This Row],[Calories]]-(Log[[#This Row],[Fat Removed]]*Log[[#This Row],[Fat Calories]])</f>
        <v>0</v>
      </c>
      <c r="M102" s="5">
        <f>Log[[#This Row],[Fat]]*9</f>
        <v>0</v>
      </c>
      <c r="N102" s="74" t="b">
        <f>NOT(ISERROR(MATCH(A102,Index[Item],0)))</f>
        <v>1</v>
      </c>
    </row>
    <row r="103" spans="1:14" x14ac:dyDescent="0.3">
      <c r="A103" s="34" t="s">
        <v>271</v>
      </c>
      <c r="B103" s="5">
        <f>120*$H103</f>
        <v>0</v>
      </c>
      <c r="C103" s="5">
        <f>22*$H103</f>
        <v>0</v>
      </c>
      <c r="D103" s="5">
        <f>0*$H103</f>
        <v>0</v>
      </c>
      <c r="E103" s="5">
        <f>6*$H103</f>
        <v>0</v>
      </c>
      <c r="F103" s="5">
        <f>8*$H103</f>
        <v>0</v>
      </c>
      <c r="G103" s="5">
        <f>2*$H103</f>
        <v>0</v>
      </c>
      <c r="I103" s="22" t="s">
        <v>272</v>
      </c>
      <c r="J103" s="2">
        <v>7</v>
      </c>
      <c r="L103" s="5">
        <f>Log[[#This Row],[Calories]]-(Log[[#This Row],[Fat Removed]]*Log[[#This Row],[Fat Calories]])</f>
        <v>0</v>
      </c>
      <c r="M103" s="5">
        <f>Log[[#This Row],[Fat]]*9</f>
        <v>0</v>
      </c>
      <c r="N103" s="74" t="b">
        <f>NOT(ISERROR(MATCH(A103,Index[Item],0)))</f>
        <v>1</v>
      </c>
    </row>
    <row r="104" spans="1:14" ht="37.5" x14ac:dyDescent="0.3">
      <c r="A104" s="34" t="s">
        <v>273</v>
      </c>
      <c r="B104" s="5">
        <f>100*$H104</f>
        <v>0</v>
      </c>
      <c r="C104" s="5">
        <f>15*$H104</f>
        <v>0</v>
      </c>
      <c r="D104" s="5">
        <f>2.5*$H104</f>
        <v>0</v>
      </c>
      <c r="E104" s="5">
        <f t="shared" ref="E104:F106" si="9">5*$H104</f>
        <v>0</v>
      </c>
      <c r="F104" s="5">
        <f t="shared" si="9"/>
        <v>0</v>
      </c>
      <c r="G104" s="5">
        <f>0.5*$H104</f>
        <v>0</v>
      </c>
      <c r="I104" s="22" t="s">
        <v>274</v>
      </c>
      <c r="J104" s="2">
        <v>7</v>
      </c>
      <c r="L104" s="5">
        <f>Log[[#This Row],[Calories]]-(Log[[#This Row],[Fat Removed]]*Log[[#This Row],[Fat Calories]])</f>
        <v>0</v>
      </c>
      <c r="M104" s="5">
        <f>Log[[#This Row],[Fat]]*9</f>
        <v>0</v>
      </c>
      <c r="N104" s="74" t="b">
        <f>NOT(ISERROR(MATCH(A104,Index[Item],0)))</f>
        <v>1</v>
      </c>
    </row>
    <row r="105" spans="1:14" ht="37.5" x14ac:dyDescent="0.3">
      <c r="A105" s="34" t="s">
        <v>275</v>
      </c>
      <c r="B105" s="5">
        <f>80*$H105</f>
        <v>0</v>
      </c>
      <c r="C105" s="5">
        <f>16*$H105</f>
        <v>0</v>
      </c>
      <c r="D105" s="5">
        <f>0*$H105</f>
        <v>0</v>
      </c>
      <c r="E105" s="5">
        <f t="shared" si="9"/>
        <v>0</v>
      </c>
      <c r="F105" s="5">
        <f t="shared" si="9"/>
        <v>0</v>
      </c>
      <c r="G105" s="5">
        <f>0.5*$H105</f>
        <v>0</v>
      </c>
      <c r="I105" s="22" t="s">
        <v>274</v>
      </c>
      <c r="J105" s="2">
        <v>7</v>
      </c>
      <c r="L105" s="5">
        <f>Log[[#This Row],[Calories]]-(Log[[#This Row],[Fat Removed]]*Log[[#This Row],[Fat Calories]])</f>
        <v>0</v>
      </c>
      <c r="M105" s="5">
        <f>Log[[#This Row],[Fat]]*9</f>
        <v>0</v>
      </c>
      <c r="N105" s="74" t="b">
        <f>NOT(ISERROR(MATCH(A105,Index[Item],0)))</f>
        <v>1</v>
      </c>
    </row>
    <row r="106" spans="1:14" ht="56.25" x14ac:dyDescent="0.3">
      <c r="A106" s="34" t="s">
        <v>276</v>
      </c>
      <c r="B106" s="5">
        <f>90*$H106</f>
        <v>0</v>
      </c>
      <c r="C106" s="5">
        <f>16*$H106</f>
        <v>0</v>
      </c>
      <c r="D106" s="5">
        <f>0*$H106</f>
        <v>0</v>
      </c>
      <c r="E106" s="5">
        <f t="shared" si="9"/>
        <v>0</v>
      </c>
      <c r="F106" s="5">
        <f t="shared" si="9"/>
        <v>0</v>
      </c>
      <c r="G106" s="5">
        <f>0.5*$H106</f>
        <v>0</v>
      </c>
      <c r="I106" s="22" t="s">
        <v>274</v>
      </c>
      <c r="J106" s="2">
        <v>7</v>
      </c>
      <c r="L106" s="5">
        <f>Log[[#This Row],[Calories]]-(Log[[#This Row],[Fat Removed]]*Log[[#This Row],[Fat Calories]])</f>
        <v>0</v>
      </c>
      <c r="M106" s="5">
        <f>Log[[#This Row],[Fat]]*9</f>
        <v>0</v>
      </c>
      <c r="N106" s="74" t="b">
        <f>NOT(ISERROR(MATCH(A106,Index[Item],0)))</f>
        <v>1</v>
      </c>
    </row>
    <row r="107" spans="1:14" ht="37.5" x14ac:dyDescent="0.3">
      <c r="A107" s="34" t="s">
        <v>277</v>
      </c>
      <c r="B107" s="5">
        <f>70*$H107</f>
        <v>0</v>
      </c>
      <c r="C107" s="5">
        <f>13*$H107</f>
        <v>0</v>
      </c>
      <c r="D107" s="5">
        <f>0.5*$H107</f>
        <v>0</v>
      </c>
      <c r="E107" s="5">
        <f>4*$H107</f>
        <v>0</v>
      </c>
      <c r="F107" s="5">
        <f>6*$H107</f>
        <v>0</v>
      </c>
      <c r="G107" s="5">
        <f>0.5*$H107</f>
        <v>0</v>
      </c>
      <c r="I107" s="22" t="s">
        <v>278</v>
      </c>
      <c r="J107" s="2">
        <v>7</v>
      </c>
      <c r="L107" s="5">
        <f>Log[[#This Row],[Calories]]-(Log[[#This Row],[Fat Removed]]*Log[[#This Row],[Fat Calories]])</f>
        <v>0</v>
      </c>
      <c r="M107" s="5">
        <f>Log[[#This Row],[Fat]]*9</f>
        <v>0</v>
      </c>
      <c r="N107" s="74" t="b">
        <f>NOT(ISERROR(MATCH(A107,Index[Item],0)))</f>
        <v>1</v>
      </c>
    </row>
    <row r="108" spans="1:14" ht="52.5" x14ac:dyDescent="0.4">
      <c r="B108" s="5"/>
      <c r="C108" s="5"/>
      <c r="D108" s="5"/>
      <c r="E108" s="5"/>
      <c r="F108" s="5"/>
      <c r="G108" s="67" t="s">
        <v>279</v>
      </c>
      <c r="J108" s="2">
        <v>7.01</v>
      </c>
      <c r="L108" s="5"/>
      <c r="M108" s="5"/>
      <c r="N108" s="74" t="b">
        <f>NOT(ISERROR(MATCH(A108,Index[Item],0)))</f>
        <v>0</v>
      </c>
    </row>
    <row r="109" spans="1:14" x14ac:dyDescent="0.3">
      <c r="A109" s="34" t="s">
        <v>303</v>
      </c>
      <c r="B109" s="5">
        <f>30*$H109</f>
        <v>0</v>
      </c>
      <c r="C109" s="5">
        <f>0*$H109</f>
        <v>0</v>
      </c>
      <c r="D109" s="5">
        <f>0*$H109</f>
        <v>0</v>
      </c>
      <c r="E109" s="5">
        <f>0*$H109</f>
        <v>0</v>
      </c>
      <c r="F109" s="5">
        <f>0*$H109</f>
        <v>0</v>
      </c>
      <c r="G109" s="5">
        <f>8*$H109</f>
        <v>0</v>
      </c>
      <c r="I109" s="22" t="s">
        <v>304</v>
      </c>
      <c r="J109" s="2">
        <v>8</v>
      </c>
      <c r="L109" s="5">
        <f>Log[[#This Row],[Calories]]-(Log[[#This Row],[Fat Removed]]*Log[[#This Row],[Fat Calories]])</f>
        <v>0</v>
      </c>
      <c r="M109" s="5">
        <f>Log[[#This Row],[Fat]]*9</f>
        <v>0</v>
      </c>
      <c r="N109" s="74" t="b">
        <f>NOT(ISERROR(MATCH(A109,Index[Item],0)))</f>
        <v>1</v>
      </c>
    </row>
    <row r="110" spans="1:14" x14ac:dyDescent="0.3">
      <c r="A110" s="34" t="s">
        <v>308</v>
      </c>
      <c r="B110" s="5">
        <f>60*$H110</f>
        <v>0</v>
      </c>
      <c r="C110" s="5">
        <f>17*$H110</f>
        <v>0</v>
      </c>
      <c r="D110" s="5">
        <f>0*$H110</f>
        <v>0</v>
      </c>
      <c r="E110" s="5">
        <f>0*$H110</f>
        <v>0</v>
      </c>
      <c r="F110" s="5">
        <f t="shared" ref="F110:F113" si="10">0*$H110</f>
        <v>0</v>
      </c>
      <c r="G110" s="5">
        <f>17*$H110</f>
        <v>0</v>
      </c>
      <c r="I110" s="22" t="s">
        <v>309</v>
      </c>
      <c r="J110" s="2">
        <v>8</v>
      </c>
      <c r="L110" s="5">
        <f>Log[[#This Row],[Calories]]-(Log[[#This Row],[Fat Removed]]*Log[[#This Row],[Fat Calories]])</f>
        <v>0</v>
      </c>
      <c r="M110" s="5">
        <f>Log[[#This Row],[Fat]]*9</f>
        <v>0</v>
      </c>
      <c r="N110" s="74" t="b">
        <f>NOT(ISERROR(MATCH(A110,Index[Item],0)))</f>
        <v>1</v>
      </c>
    </row>
    <row r="111" spans="1:14" ht="37.5" x14ac:dyDescent="0.3">
      <c r="A111" s="34" t="s">
        <v>314</v>
      </c>
      <c r="B111" s="5">
        <f>90*$H111</f>
        <v>0</v>
      </c>
      <c r="C111" s="5">
        <f>20*$H111</f>
        <v>0</v>
      </c>
      <c r="D111" s="5">
        <f>1*$H111</f>
        <v>0</v>
      </c>
      <c r="E111" s="5">
        <f>0*$H111</f>
        <v>0</v>
      </c>
      <c r="F111" s="5">
        <f t="shared" si="10"/>
        <v>0</v>
      </c>
      <c r="G111" s="5">
        <f>18*$H111</f>
        <v>0</v>
      </c>
      <c r="I111" s="22" t="s">
        <v>315</v>
      </c>
      <c r="J111" s="2">
        <v>8</v>
      </c>
      <c r="L111" s="5">
        <f>Log[[#This Row],[Calories]]-(Log[[#This Row],[Fat Removed]]*Log[[#This Row],[Fat Calories]])</f>
        <v>0</v>
      </c>
      <c r="M111" s="5">
        <f>Log[[#This Row],[Fat]]*9</f>
        <v>0</v>
      </c>
      <c r="N111" s="74" t="b">
        <f>NOT(ISERROR(MATCH(A111,Index[Item],0)))</f>
        <v>1</v>
      </c>
    </row>
    <row r="112" spans="1:14" x14ac:dyDescent="0.3">
      <c r="A112" s="34" t="s">
        <v>318</v>
      </c>
      <c r="B112" s="5">
        <f>10*$H112</f>
        <v>0</v>
      </c>
      <c r="C112" s="5">
        <f>1*$H112</f>
        <v>0</v>
      </c>
      <c r="D112" s="5">
        <f>0*$H112</f>
        <v>0</v>
      </c>
      <c r="E112" s="5">
        <f>1*$H112</f>
        <v>0</v>
      </c>
      <c r="F112" s="5">
        <f t="shared" si="10"/>
        <v>0</v>
      </c>
      <c r="G112" s="5">
        <f>0*$H112</f>
        <v>0</v>
      </c>
      <c r="I112" s="22" t="s">
        <v>307</v>
      </c>
      <c r="J112" s="2">
        <v>8</v>
      </c>
      <c r="L112" s="5">
        <f>Log[[#This Row],[Calories]]-(Log[[#This Row],[Fat Removed]]*Log[[#This Row],[Fat Calories]])</f>
        <v>0</v>
      </c>
      <c r="M112" s="5">
        <f>Log[[#This Row],[Fat]]*9</f>
        <v>0</v>
      </c>
      <c r="N112" s="74" t="b">
        <f>NOT(ISERROR(MATCH(A112,Index[Item],0)))</f>
        <v>1</v>
      </c>
    </row>
    <row r="113" spans="1:14" x14ac:dyDescent="0.3">
      <c r="A113" s="34" t="s">
        <v>323</v>
      </c>
      <c r="B113" s="5">
        <f>90*$H113</f>
        <v>0</v>
      </c>
      <c r="C113" s="5">
        <f>1*$H113</f>
        <v>0</v>
      </c>
      <c r="D113" s="5">
        <f>9*$H113</f>
        <v>0</v>
      </c>
      <c r="E113" s="5">
        <f>0*$H113</f>
        <v>0</v>
      </c>
      <c r="F113" s="5">
        <f t="shared" si="10"/>
        <v>0</v>
      </c>
      <c r="G113" s="5">
        <f>0*$H113</f>
        <v>0</v>
      </c>
      <c r="I113" s="22" t="s">
        <v>324</v>
      </c>
      <c r="J113" s="2">
        <v>8</v>
      </c>
      <c r="L113" s="5">
        <f>Log[[#This Row],[Calories]]-(Log[[#This Row],[Fat Removed]]*Log[[#This Row],[Fat Calories]])</f>
        <v>0</v>
      </c>
      <c r="M113" s="5">
        <f>Log[[#This Row],[Fat]]*9</f>
        <v>0</v>
      </c>
      <c r="N113" s="74" t="b">
        <f>NOT(ISERROR(MATCH(A113,Index[Item],0)))</f>
        <v>1</v>
      </c>
    </row>
    <row r="114" spans="1:14" x14ac:dyDescent="0.3">
      <c r="A114" s="34" t="s">
        <v>327</v>
      </c>
      <c r="B114" s="5">
        <f>30*$H114</f>
        <v>0</v>
      </c>
      <c r="C114" s="5">
        <f>5*$H114</f>
        <v>0</v>
      </c>
      <c r="D114" s="5">
        <f>1*$H114</f>
        <v>0</v>
      </c>
      <c r="E114" s="5">
        <f>1*$H114</f>
        <v>0</v>
      </c>
      <c r="F114" s="5">
        <f>1*$H114</f>
        <v>0</v>
      </c>
      <c r="G114" s="5">
        <f>3*$H114</f>
        <v>0</v>
      </c>
      <c r="J114" s="2">
        <v>8</v>
      </c>
      <c r="L114" s="5">
        <f>Log[[#This Row],[Calories]]-(Log[[#This Row],[Fat Removed]]*Log[[#This Row],[Fat Calories]])</f>
        <v>0</v>
      </c>
      <c r="M114" s="5">
        <f>Log[[#This Row],[Fat]]*9</f>
        <v>0</v>
      </c>
      <c r="N114" s="74" t="b">
        <f>NOT(ISERROR(MATCH(A114,Index[Item],0)))</f>
        <v>1</v>
      </c>
    </row>
    <row r="115" spans="1:14" x14ac:dyDescent="0.3">
      <c r="A115" s="34" t="s">
        <v>328</v>
      </c>
      <c r="B115" s="5">
        <f>60*$H115</f>
        <v>0</v>
      </c>
      <c r="C115" s="5">
        <f>10*$H115</f>
        <v>0</v>
      </c>
      <c r="D115" s="5">
        <f>1.5*$H115</f>
        <v>0</v>
      </c>
      <c r="E115" s="5">
        <f>2*$H115</f>
        <v>0</v>
      </c>
      <c r="F115" s="5">
        <f>2*$H115</f>
        <v>0</v>
      </c>
      <c r="G115" s="5">
        <f>6*$H115</f>
        <v>0</v>
      </c>
      <c r="J115" s="2">
        <v>8</v>
      </c>
      <c r="L115" s="5">
        <f>Log[[#This Row],[Calories]]-(Log[[#This Row],[Fat Removed]]*Log[[#This Row],[Fat Calories]])</f>
        <v>0</v>
      </c>
      <c r="M115" s="5">
        <f>Log[[#This Row],[Fat]]*9</f>
        <v>0</v>
      </c>
      <c r="N115" s="74" t="b">
        <f>NOT(ISERROR(MATCH(A115,Index[Item],0)))</f>
        <v>1</v>
      </c>
    </row>
    <row r="116" spans="1:14" x14ac:dyDescent="0.3">
      <c r="A116" s="34" t="s">
        <v>332</v>
      </c>
      <c r="B116" s="5">
        <f t="shared" ref="B116:G116" si="11">0*$H116</f>
        <v>0</v>
      </c>
      <c r="C116" s="5">
        <f t="shared" si="11"/>
        <v>0</v>
      </c>
      <c r="D116" s="5">
        <f t="shared" si="11"/>
        <v>0</v>
      </c>
      <c r="E116" s="5">
        <f t="shared" si="11"/>
        <v>0</v>
      </c>
      <c r="F116" s="5">
        <f t="shared" si="11"/>
        <v>0</v>
      </c>
      <c r="G116" s="5">
        <f t="shared" si="11"/>
        <v>0</v>
      </c>
      <c r="I116" s="22" t="s">
        <v>333</v>
      </c>
      <c r="J116" s="2">
        <v>8</v>
      </c>
      <c r="L116" s="5">
        <f>Log[[#This Row],[Calories]]-(Log[[#This Row],[Fat Removed]]*Log[[#This Row],[Fat Calories]])</f>
        <v>0</v>
      </c>
      <c r="M116" s="5">
        <f>Log[[#This Row],[Fat]]*9</f>
        <v>0</v>
      </c>
      <c r="N116" s="74" t="b">
        <f>NOT(ISERROR(MATCH(A116,Index[Item],0)))</f>
        <v>1</v>
      </c>
    </row>
    <row r="117" spans="1:14" x14ac:dyDescent="0.3">
      <c r="A117" s="34" t="s">
        <v>335</v>
      </c>
      <c r="B117" s="5">
        <f>160*$H117</f>
        <v>0</v>
      </c>
      <c r="C117" s="5">
        <f>1*$H117</f>
        <v>0</v>
      </c>
      <c r="D117" s="5">
        <f>18*$H117</f>
        <v>0</v>
      </c>
      <c r="E117" s="5">
        <f>1*$H117</f>
        <v>0</v>
      </c>
      <c r="F117" s="5">
        <f>0*$H117</f>
        <v>0</v>
      </c>
      <c r="G117" s="5">
        <f>0*$H117</f>
        <v>0</v>
      </c>
      <c r="J117" s="2">
        <v>8</v>
      </c>
      <c r="L117" s="5">
        <f>Log[[#This Row],[Calories]]-(Log[[#This Row],[Fat Removed]]*Log[[#This Row],[Fat Calories]])</f>
        <v>0</v>
      </c>
      <c r="M117" s="5">
        <f>Log[[#This Row],[Fat]]*9</f>
        <v>0</v>
      </c>
      <c r="N117" s="74" t="b">
        <f>NOT(ISERROR(MATCH(A117,Index[Item],0)))</f>
        <v>1</v>
      </c>
    </row>
    <row r="118" spans="1:14" x14ac:dyDescent="0.3">
      <c r="A118" s="34" t="s">
        <v>336</v>
      </c>
      <c r="B118" s="5">
        <f>150*$H118</f>
        <v>0</v>
      </c>
      <c r="C118" s="5">
        <f>1*$H118</f>
        <v>0</v>
      </c>
      <c r="D118" s="5">
        <f>16*$H118</f>
        <v>0</v>
      </c>
      <c r="E118" s="5">
        <f>1*$H118</f>
        <v>0</v>
      </c>
      <c r="F118" s="5">
        <f>0*$H118</f>
        <v>0</v>
      </c>
      <c r="G118" s="5">
        <f>1*$H118</f>
        <v>0</v>
      </c>
      <c r="J118" s="2">
        <v>8</v>
      </c>
      <c r="L118" s="5">
        <f>Log[[#This Row],[Calories]]-(Log[[#This Row],[Fat Removed]]*Log[[#This Row],[Fat Calories]])</f>
        <v>0</v>
      </c>
      <c r="M118" s="5">
        <f>Log[[#This Row],[Fat]]*9</f>
        <v>0</v>
      </c>
      <c r="N118" s="74" t="b">
        <f>NOT(ISERROR(MATCH(A118,Index[Item],0)))</f>
        <v>1</v>
      </c>
    </row>
    <row r="119" spans="1:14" x14ac:dyDescent="0.3">
      <c r="A119" s="34" t="s">
        <v>339</v>
      </c>
      <c r="B119" s="5">
        <f>0*$H119</f>
        <v>0</v>
      </c>
      <c r="C119" s="5">
        <f>0*$H119</f>
        <v>0</v>
      </c>
      <c r="D119" s="5">
        <f t="shared" ref="D119:G119" si="12">0*$H119</f>
        <v>0</v>
      </c>
      <c r="E119" s="5">
        <f t="shared" si="12"/>
        <v>0</v>
      </c>
      <c r="F119" s="5">
        <f t="shared" si="12"/>
        <v>0</v>
      </c>
      <c r="G119" s="5">
        <f t="shared" si="12"/>
        <v>0</v>
      </c>
      <c r="I119" s="22" t="s">
        <v>340</v>
      </c>
      <c r="J119" s="2">
        <v>8</v>
      </c>
      <c r="L119" s="5">
        <f>Log[[#This Row],[Calories]]-(Log[[#This Row],[Fat Removed]]*Log[[#This Row],[Fat Calories]])</f>
        <v>0</v>
      </c>
      <c r="M119" s="5">
        <f>Log[[#This Row],[Fat]]*9</f>
        <v>0</v>
      </c>
      <c r="N119" s="74" t="b">
        <f>NOT(ISERROR(MATCH(A119,Index[Item],0)))</f>
        <v>1</v>
      </c>
    </row>
    <row r="120" spans="1:14" ht="37.5" x14ac:dyDescent="0.3">
      <c r="A120" s="34" t="s">
        <v>342</v>
      </c>
      <c r="B120" s="5">
        <f>120*$H120</f>
        <v>0</v>
      </c>
      <c r="C120" s="5">
        <f>0*$H120</f>
        <v>0</v>
      </c>
      <c r="D120" s="5">
        <f>14*$H120</f>
        <v>0</v>
      </c>
      <c r="E120" s="5">
        <f>0*$H120</f>
        <v>0</v>
      </c>
      <c r="F120" s="5">
        <f>0*$H120</f>
        <v>0</v>
      </c>
      <c r="G120" s="5">
        <f>0*$H120</f>
        <v>0</v>
      </c>
      <c r="I120" s="22" t="s">
        <v>307</v>
      </c>
      <c r="J120" s="2">
        <v>8</v>
      </c>
      <c r="L120" s="5">
        <f>Log[[#This Row],[Calories]]-(Log[[#This Row],[Fat Removed]]*Log[[#This Row],[Fat Calories]])</f>
        <v>0</v>
      </c>
      <c r="M120" s="5">
        <f>Log[[#This Row],[Fat]]*9</f>
        <v>0</v>
      </c>
      <c r="N120" s="74" t="b">
        <f>NOT(ISERROR(MATCH(A120,Index[Item],0)))</f>
        <v>1</v>
      </c>
    </row>
    <row r="121" spans="1:14" ht="26.25" x14ac:dyDescent="0.4">
      <c r="B121" s="5"/>
      <c r="C121" s="5"/>
      <c r="D121" s="5"/>
      <c r="E121" s="5"/>
      <c r="F121" s="5"/>
      <c r="G121" s="62" t="s">
        <v>346</v>
      </c>
      <c r="J121" s="2">
        <v>8.01</v>
      </c>
      <c r="L121" s="5"/>
      <c r="M121" s="5"/>
      <c r="N121" s="74" t="b">
        <f>NOT(ISERROR(MATCH(A121,Index[Item],0)))</f>
        <v>0</v>
      </c>
    </row>
    <row r="122" spans="1:14" x14ac:dyDescent="0.3">
      <c r="A122" s="34" t="s">
        <v>347</v>
      </c>
      <c r="B122" s="5">
        <f>150*$H122</f>
        <v>0</v>
      </c>
      <c r="C122" s="5">
        <f>16*$H122</f>
        <v>0</v>
      </c>
      <c r="D122" s="5">
        <f>9*$H122</f>
        <v>0</v>
      </c>
      <c r="E122" s="5">
        <f>2*$H122</f>
        <v>0</v>
      </c>
      <c r="F122" s="5">
        <f>1*$H122</f>
        <v>0</v>
      </c>
      <c r="G122" s="5">
        <f>1*$H122</f>
        <v>0</v>
      </c>
      <c r="J122" s="2">
        <v>9</v>
      </c>
      <c r="L122" s="5">
        <f>Log[[#This Row],[Calories]]-(Log[[#This Row],[Fat Removed]]*Log[[#This Row],[Fat Calories]])</f>
        <v>0</v>
      </c>
      <c r="M122" s="5">
        <f>Log[[#This Row],[Fat]]*9</f>
        <v>0</v>
      </c>
      <c r="N122" s="74" t="b">
        <f>NOT(ISERROR(MATCH(A122,Index[Item],0)))</f>
        <v>1</v>
      </c>
    </row>
    <row r="123" spans="1:14" x14ac:dyDescent="0.3">
      <c r="A123" s="34" t="s">
        <v>348</v>
      </c>
      <c r="B123" s="5">
        <f>160*$H123</f>
        <v>0</v>
      </c>
      <c r="C123" s="5">
        <f>16*$H123</f>
        <v>0</v>
      </c>
      <c r="D123" s="5">
        <f>10*$H123</f>
        <v>0</v>
      </c>
      <c r="E123" s="5">
        <f>2*$H123</f>
        <v>0</v>
      </c>
      <c r="F123" s="5">
        <f>1*$H123</f>
        <v>0</v>
      </c>
      <c r="G123" s="5">
        <f>0*$H123</f>
        <v>0</v>
      </c>
      <c r="J123" s="2">
        <v>9</v>
      </c>
      <c r="L123" s="5">
        <f>Log[[#This Row],[Calories]]-(Log[[#This Row],[Fat Removed]]*Log[[#This Row],[Fat Calories]])</f>
        <v>0</v>
      </c>
      <c r="M123" s="5">
        <f>Log[[#This Row],[Fat]]*9</f>
        <v>0</v>
      </c>
      <c r="N123" s="74" t="b">
        <f>NOT(ISERROR(MATCH(A123,Index[Item],0)))</f>
        <v>1</v>
      </c>
    </row>
    <row r="124" spans="1:14" x14ac:dyDescent="0.3">
      <c r="A124" s="34" t="s">
        <v>349</v>
      </c>
      <c r="B124" s="5">
        <f>160*$H124</f>
        <v>0</v>
      </c>
      <c r="C124" s="5">
        <f>16*$H124</f>
        <v>0</v>
      </c>
      <c r="D124" s="5">
        <f>10*$H124</f>
        <v>0</v>
      </c>
      <c r="E124" s="5">
        <f>2*$H124</f>
        <v>0</v>
      </c>
      <c r="F124" s="5">
        <f>1*$H124</f>
        <v>0</v>
      </c>
      <c r="G124" s="5">
        <f>1*$H124</f>
        <v>0</v>
      </c>
      <c r="J124" s="2">
        <v>9</v>
      </c>
      <c r="L124" s="5">
        <f>Log[[#This Row],[Calories]]-(Log[[#This Row],[Fat Removed]]*Log[[#This Row],[Fat Calories]])</f>
        <v>0</v>
      </c>
      <c r="M124" s="5">
        <f>Log[[#This Row],[Fat]]*9</f>
        <v>0</v>
      </c>
      <c r="N124" s="74" t="b">
        <f>NOT(ISERROR(MATCH(A124,Index[Item],0)))</f>
        <v>1</v>
      </c>
    </row>
    <row r="125" spans="1:14" ht="37.5" x14ac:dyDescent="0.3">
      <c r="A125" s="34" t="s">
        <v>565</v>
      </c>
      <c r="B125" s="5">
        <f>150*$H125</f>
        <v>0</v>
      </c>
      <c r="C125" s="5">
        <f>15*$H125</f>
        <v>0</v>
      </c>
      <c r="D125" s="5">
        <f>9*$H125</f>
        <v>0</v>
      </c>
      <c r="E125" s="5">
        <f>2*$H125</f>
        <v>0</v>
      </c>
      <c r="F125" s="5">
        <f>0.5*$H125</f>
        <v>0</v>
      </c>
      <c r="G125" s="5">
        <f>0.5*$H125</f>
        <v>0</v>
      </c>
      <c r="I125" s="22" t="s">
        <v>567</v>
      </c>
      <c r="J125" s="2">
        <v>9</v>
      </c>
      <c r="L125" s="5">
        <f>Log[[#This Row],[Calories]]-(Log[[#This Row],[Fat Removed]]*Log[[#This Row],[Fat Calories]])</f>
        <v>0</v>
      </c>
      <c r="M125" s="5">
        <f>Log[[#This Row],[Fat]]*9</f>
        <v>0</v>
      </c>
      <c r="N125" s="74" t="b">
        <f>NOT(ISERROR(MATCH(A125,Index[Item],0)))</f>
        <v>1</v>
      </c>
    </row>
    <row r="126" spans="1:14" ht="37.5" x14ac:dyDescent="0.3">
      <c r="A126" s="34" t="s">
        <v>566</v>
      </c>
      <c r="B126" s="5">
        <f>150*$H126</f>
        <v>0</v>
      </c>
      <c r="C126" s="5">
        <f>15*$H126</f>
        <v>0</v>
      </c>
      <c r="D126" s="5">
        <f>9*$H126</f>
        <v>0</v>
      </c>
      <c r="E126" s="5">
        <f>1*$H126</f>
        <v>0</v>
      </c>
      <c r="F126" s="5">
        <f>0.5*$H126</f>
        <v>0</v>
      </c>
      <c r="G126" s="5">
        <f>0.5*$H126</f>
        <v>0</v>
      </c>
      <c r="I126" s="22" t="s">
        <v>567</v>
      </c>
      <c r="J126" s="2">
        <v>9</v>
      </c>
      <c r="L126" s="5">
        <f>Log[[#This Row],[Calories]]-(Log[[#This Row],[Fat Removed]]*Log[[#This Row],[Fat Calories]])</f>
        <v>0</v>
      </c>
      <c r="M126" s="5">
        <f>Log[[#This Row],[Fat]]*9</f>
        <v>0</v>
      </c>
      <c r="N126" s="74" t="b">
        <f>NOT(ISERROR(MATCH(A126,Index[Item],0)))</f>
        <v>1</v>
      </c>
    </row>
    <row r="127" spans="1:14" ht="37.5" x14ac:dyDescent="0.3">
      <c r="A127" s="34" t="s">
        <v>589</v>
      </c>
      <c r="B127" s="5">
        <f>160*$H127</f>
        <v>0</v>
      </c>
      <c r="C127" s="5">
        <f>13*$H127</f>
        <v>0</v>
      </c>
      <c r="D127" s="5">
        <f>11*$H127</f>
        <v>0</v>
      </c>
      <c r="E127" s="5">
        <f>2*$H127</f>
        <v>0</v>
      </c>
      <c r="F127" s="5">
        <f>2*$H127</f>
        <v>0</v>
      </c>
      <c r="G127" s="5">
        <f>1*$H127</f>
        <v>0</v>
      </c>
      <c r="I127" s="22" t="s">
        <v>590</v>
      </c>
      <c r="J127" s="2">
        <v>9</v>
      </c>
      <c r="L127" s="5">
        <f>Log[[#This Row],[Calories]]-(Log[[#This Row],[Fat Removed]]*Log[[#This Row],[Fat Calories]])</f>
        <v>0</v>
      </c>
      <c r="M127" s="5">
        <f>Log[[#This Row],[Fat]]*9</f>
        <v>0</v>
      </c>
      <c r="N127" s="74" t="b">
        <f>NOT(ISERROR(MATCH(A127,Index[Item],0)))</f>
        <v>1</v>
      </c>
    </row>
    <row r="128" spans="1:14" x14ac:dyDescent="0.3">
      <c r="A128" s="34" t="s">
        <v>352</v>
      </c>
      <c r="B128" s="5">
        <f>140*$H128</f>
        <v>0</v>
      </c>
      <c r="C128" s="5">
        <f>19*$H128</f>
        <v>0</v>
      </c>
      <c r="D128" s="5">
        <f>7*$H128</f>
        <v>0</v>
      </c>
      <c r="E128" s="5">
        <f>2*$H128</f>
        <v>0</v>
      </c>
      <c r="F128" s="5">
        <f>1*$H128</f>
        <v>0</v>
      </c>
      <c r="G128" s="5">
        <f>0*$H128</f>
        <v>0</v>
      </c>
      <c r="I128" s="22" t="s">
        <v>353</v>
      </c>
      <c r="J128" s="2">
        <v>9</v>
      </c>
      <c r="L128" s="5">
        <f>Log[[#This Row],[Calories]]-(Log[[#This Row],[Fat Removed]]*Log[[#This Row],[Fat Calories]])</f>
        <v>0</v>
      </c>
      <c r="M128" s="5">
        <f>Log[[#This Row],[Fat]]*9</f>
        <v>0</v>
      </c>
      <c r="N128" s="74" t="b">
        <f>NOT(ISERROR(MATCH(A128,Index[Item],0)))</f>
        <v>1</v>
      </c>
    </row>
    <row r="129" spans="1:14" x14ac:dyDescent="0.3">
      <c r="A129" s="34" t="s">
        <v>354</v>
      </c>
      <c r="B129" s="5">
        <f>230*$H129</f>
        <v>0</v>
      </c>
      <c r="C129" s="5">
        <f>24*$H129</f>
        <v>0</v>
      </c>
      <c r="D129" s="5">
        <f>14*$H129</f>
        <v>0</v>
      </c>
      <c r="E129" s="5">
        <f>3*$H129</f>
        <v>0</v>
      </c>
      <c r="F129" s="5">
        <f>2*$H129</f>
        <v>0</v>
      </c>
      <c r="G129" s="5">
        <f>3*$H129</f>
        <v>0</v>
      </c>
      <c r="I129" s="22" t="s">
        <v>355</v>
      </c>
      <c r="J129" s="2">
        <v>9</v>
      </c>
      <c r="L129" s="5">
        <f>Log[[#This Row],[Calories]]-(Log[[#This Row],[Fat Removed]]*Log[[#This Row],[Fat Calories]])</f>
        <v>0</v>
      </c>
      <c r="M129" s="5">
        <f>Log[[#This Row],[Fat]]*9</f>
        <v>0</v>
      </c>
      <c r="N129" s="74" t="b">
        <f>NOT(ISERROR(MATCH(A129,Index[Item],0)))</f>
        <v>1</v>
      </c>
    </row>
    <row r="130" spans="1:14" x14ac:dyDescent="0.3">
      <c r="A130" s="34" t="s">
        <v>356</v>
      </c>
      <c r="B130" s="5">
        <f>150*$H130</f>
        <v>0</v>
      </c>
      <c r="C130" s="5">
        <f>18*$H130</f>
        <v>0</v>
      </c>
      <c r="D130" s="5">
        <f>8*$H130</f>
        <v>0</v>
      </c>
      <c r="E130" s="5">
        <f>2*$H130</f>
        <v>0</v>
      </c>
      <c r="F130" s="5">
        <f>1*$H130</f>
        <v>0</v>
      </c>
      <c r="G130" s="5">
        <f>0.5*$H130</f>
        <v>0</v>
      </c>
      <c r="I130" s="22" t="s">
        <v>357</v>
      </c>
      <c r="J130" s="2">
        <v>9</v>
      </c>
      <c r="L130" s="5">
        <f>Log[[#This Row],[Calories]]-(Log[[#This Row],[Fat Removed]]*Log[[#This Row],[Fat Calories]])</f>
        <v>0</v>
      </c>
      <c r="M130" s="5">
        <f>Log[[#This Row],[Fat]]*9</f>
        <v>0</v>
      </c>
      <c r="N130" s="74" t="b">
        <f>NOT(ISERROR(MATCH(A130,Index[Item],0)))</f>
        <v>1</v>
      </c>
    </row>
    <row r="131" spans="1:14" ht="37.5" x14ac:dyDescent="0.3">
      <c r="A131" s="34" t="s">
        <v>358</v>
      </c>
      <c r="B131" s="5">
        <f>150*$H131</f>
        <v>0</v>
      </c>
      <c r="C131" s="5">
        <f>18*$H131</f>
        <v>0</v>
      </c>
      <c r="D131" s="5">
        <f>8*$H131</f>
        <v>0</v>
      </c>
      <c r="E131" s="5">
        <f>2*$H131</f>
        <v>0</v>
      </c>
      <c r="F131" s="5">
        <f>1*$H131</f>
        <v>0</v>
      </c>
      <c r="G131" s="5">
        <f>0.5*$H131</f>
        <v>0</v>
      </c>
      <c r="I131" s="22" t="s">
        <v>359</v>
      </c>
      <c r="J131" s="2">
        <v>9</v>
      </c>
      <c r="L131" s="5">
        <f>Log[[#This Row],[Calories]]-(Log[[#This Row],[Fat Removed]]*Log[[#This Row],[Fat Calories]])</f>
        <v>0</v>
      </c>
      <c r="M131" s="5">
        <f>Log[[#This Row],[Fat]]*9</f>
        <v>0</v>
      </c>
      <c r="N131" s="74" t="b">
        <f>NOT(ISERROR(MATCH(A131,Index[Item],0)))</f>
        <v>1</v>
      </c>
    </row>
    <row r="132" spans="1:14" ht="26.25" x14ac:dyDescent="0.4">
      <c r="B132" s="5"/>
      <c r="C132" s="5"/>
      <c r="D132" s="5"/>
      <c r="E132" s="5"/>
      <c r="F132" s="5"/>
      <c r="G132" s="62" t="s">
        <v>360</v>
      </c>
      <c r="J132" s="2">
        <v>9.01</v>
      </c>
      <c r="L132" s="5"/>
      <c r="M132" s="5"/>
      <c r="N132" s="74" t="b">
        <f>NOT(ISERROR(MATCH(A132,Index[Item],0)))</f>
        <v>0</v>
      </c>
    </row>
    <row r="133" spans="1:14" x14ac:dyDescent="0.3">
      <c r="A133" s="34" t="s">
        <v>361</v>
      </c>
      <c r="B133" s="5">
        <f>95*$H133</f>
        <v>0</v>
      </c>
      <c r="C133" s="5">
        <f>2.6*$H133</f>
        <v>0</v>
      </c>
      <c r="D133" s="5">
        <f t="shared" ref="D133:E147" si="13">0*$H133</f>
        <v>0</v>
      </c>
      <c r="E133" s="5">
        <f>0.6*$H133</f>
        <v>0</v>
      </c>
      <c r="F133" s="5">
        <f t="shared" ref="F133:G137" si="14">0*$H133</f>
        <v>0</v>
      </c>
      <c r="G133" s="5">
        <f t="shared" si="14"/>
        <v>0</v>
      </c>
      <c r="I133" s="22" t="s">
        <v>362</v>
      </c>
      <c r="J133" s="2">
        <v>10</v>
      </c>
      <c r="L133" s="5">
        <f>Log[[#This Row],[Calories]]-(Log[[#This Row],[Fat Removed]]*Log[[#This Row],[Fat Calories]])</f>
        <v>0</v>
      </c>
      <c r="M133" s="5">
        <f>Log[[#This Row],[Fat]]*9</f>
        <v>0</v>
      </c>
      <c r="N133" s="74" t="b">
        <f>NOT(ISERROR(MATCH(A133,Index[Item],0)))</f>
        <v>1</v>
      </c>
    </row>
    <row r="134" spans="1:14" x14ac:dyDescent="0.3">
      <c r="A134" s="34" t="s">
        <v>363</v>
      </c>
      <c r="B134" s="5">
        <f>152*$H134</f>
        <v>0</v>
      </c>
      <c r="C134" s="5">
        <f>12*$H134</f>
        <v>0</v>
      </c>
      <c r="D134" s="5">
        <f t="shared" si="13"/>
        <v>0</v>
      </c>
      <c r="E134" s="5">
        <f>1.4*$H134</f>
        <v>0</v>
      </c>
      <c r="F134" s="5">
        <f t="shared" si="14"/>
        <v>0</v>
      </c>
      <c r="G134" s="5">
        <f t="shared" si="14"/>
        <v>0</v>
      </c>
      <c r="I134" s="22" t="s">
        <v>362</v>
      </c>
      <c r="J134" s="2">
        <v>10</v>
      </c>
      <c r="L134" s="5">
        <f>Log[[#This Row],[Calories]]-(Log[[#This Row],[Fat Removed]]*Log[[#This Row],[Fat Calories]])</f>
        <v>0</v>
      </c>
      <c r="M134" s="5">
        <f>Log[[#This Row],[Fat]]*9</f>
        <v>0</v>
      </c>
      <c r="N134" s="74" t="b">
        <f>NOT(ISERROR(MATCH(A134,Index[Item],0)))</f>
        <v>1</v>
      </c>
    </row>
    <row r="135" spans="1:14" ht="37.5" x14ac:dyDescent="0.3">
      <c r="A135" s="34" t="s">
        <v>364</v>
      </c>
      <c r="B135" s="5">
        <f>99*$H135</f>
        <v>0</v>
      </c>
      <c r="C135" s="5">
        <f>4.8*$H135</f>
        <v>0</v>
      </c>
      <c r="D135" s="5">
        <f t="shared" si="13"/>
        <v>0</v>
      </c>
      <c r="E135" s="5">
        <f>0.5*$H135</f>
        <v>0</v>
      </c>
      <c r="F135" s="5">
        <f t="shared" si="14"/>
        <v>0</v>
      </c>
      <c r="G135" s="5">
        <f t="shared" si="14"/>
        <v>0</v>
      </c>
      <c r="I135" s="22" t="s">
        <v>362</v>
      </c>
      <c r="J135" s="2">
        <v>10</v>
      </c>
      <c r="L135" s="5">
        <f>Log[[#This Row],[Calories]]-(Log[[#This Row],[Fat Removed]]*Log[[#This Row],[Fat Calories]])</f>
        <v>0</v>
      </c>
      <c r="M135" s="5">
        <f>Log[[#This Row],[Fat]]*9</f>
        <v>0</v>
      </c>
      <c r="N135" s="74" t="b">
        <f>NOT(ISERROR(MATCH(A135,Index[Item],0)))</f>
        <v>1</v>
      </c>
    </row>
    <row r="136" spans="1:14" x14ac:dyDescent="0.3">
      <c r="A136" s="34" t="s">
        <v>365</v>
      </c>
      <c r="B136" s="5">
        <f>95*$H136</f>
        <v>0</v>
      </c>
      <c r="C136" s="5">
        <f>2.6*$H136</f>
        <v>0</v>
      </c>
      <c r="D136" s="5">
        <f t="shared" si="13"/>
        <v>0</v>
      </c>
      <c r="E136" s="5">
        <f>0.8*$H136</f>
        <v>0</v>
      </c>
      <c r="F136" s="5">
        <f t="shared" si="14"/>
        <v>0</v>
      </c>
      <c r="G136" s="5">
        <f t="shared" si="14"/>
        <v>0</v>
      </c>
      <c r="I136" s="22" t="s">
        <v>333</v>
      </c>
      <c r="J136" s="2">
        <v>10</v>
      </c>
      <c r="L136" s="5">
        <f>Log[[#This Row],[Calories]]-(Log[[#This Row],[Fat Removed]]*Log[[#This Row],[Fat Calories]])</f>
        <v>0</v>
      </c>
      <c r="M136" s="5">
        <f>Log[[#This Row],[Fat]]*9</f>
        <v>0</v>
      </c>
      <c r="N136" s="74" t="b">
        <f>NOT(ISERROR(MATCH(A136,Index[Item],0)))</f>
        <v>1</v>
      </c>
    </row>
    <row r="137" spans="1:14" x14ac:dyDescent="0.3">
      <c r="A137" s="34" t="s">
        <v>366</v>
      </c>
      <c r="B137" s="5">
        <f>156*$H137</f>
        <v>0</v>
      </c>
      <c r="C137" s="5">
        <f>13.2*$H137</f>
        <v>0</v>
      </c>
      <c r="D137" s="5">
        <f t="shared" si="13"/>
        <v>0</v>
      </c>
      <c r="E137" s="5">
        <f>1.7*$H137</f>
        <v>0</v>
      </c>
      <c r="F137" s="5">
        <f t="shared" si="14"/>
        <v>0</v>
      </c>
      <c r="G137" s="5">
        <f t="shared" si="14"/>
        <v>0</v>
      </c>
      <c r="J137" s="2">
        <v>10</v>
      </c>
      <c r="L137" s="5">
        <f>Log[[#This Row],[Calories]]-(Log[[#This Row],[Fat Removed]]*Log[[#This Row],[Fat Calories]])</f>
        <v>0</v>
      </c>
      <c r="M137" s="5">
        <f>Log[[#This Row],[Fat]]*9</f>
        <v>0</v>
      </c>
      <c r="N137" s="74" t="b">
        <f>NOT(ISERROR(MATCH(A137,Index[Item],0)))</f>
        <v>1</v>
      </c>
    </row>
    <row r="138" spans="1:14" x14ac:dyDescent="0.3">
      <c r="A138" s="34" t="s">
        <v>370</v>
      </c>
      <c r="B138" s="5">
        <f>150*$H138</f>
        <v>0</v>
      </c>
      <c r="C138" s="5">
        <f>15*$H138</f>
        <v>0</v>
      </c>
      <c r="D138" s="5">
        <f t="shared" si="13"/>
        <v>0</v>
      </c>
      <c r="E138" s="5">
        <f>0*$H138</f>
        <v>0</v>
      </c>
      <c r="F138" s="5">
        <f t="shared" ref="F138:G147" si="15">0*$H138</f>
        <v>0</v>
      </c>
      <c r="G138" s="5">
        <f t="shared" si="15"/>
        <v>0</v>
      </c>
      <c r="I138" s="22" t="s">
        <v>362</v>
      </c>
      <c r="J138" s="2">
        <v>10</v>
      </c>
      <c r="L138" s="5">
        <f>Log[[#This Row],[Calories]]-(Log[[#This Row],[Fat Removed]]*Log[[#This Row],[Fat Calories]])</f>
        <v>0</v>
      </c>
      <c r="M138" s="5">
        <f>Log[[#This Row],[Fat]]*9</f>
        <v>0</v>
      </c>
      <c r="N138" s="74" t="b">
        <f>NOT(ISERROR(MATCH(A138,Index[Item],0)))</f>
        <v>1</v>
      </c>
    </row>
    <row r="139" spans="1:14" ht="37.5" x14ac:dyDescent="0.3">
      <c r="A139" s="34" t="s">
        <v>371</v>
      </c>
      <c r="B139" s="5">
        <f>160*$H139</f>
        <v>0</v>
      </c>
      <c r="C139" s="5">
        <f>14*$H139</f>
        <v>0</v>
      </c>
      <c r="D139" s="5">
        <f t="shared" si="13"/>
        <v>0</v>
      </c>
      <c r="E139" s="5">
        <f>2*$H139</f>
        <v>0</v>
      </c>
      <c r="F139" s="5">
        <f t="shared" si="15"/>
        <v>0</v>
      </c>
      <c r="G139" s="5">
        <f t="shared" si="15"/>
        <v>0</v>
      </c>
      <c r="I139" s="22" t="s">
        <v>362</v>
      </c>
      <c r="J139" s="2">
        <v>10</v>
      </c>
      <c r="L139" s="5">
        <f>Log[[#This Row],[Calories]]-(Log[[#This Row],[Fat Removed]]*Log[[#This Row],[Fat Calories]])</f>
        <v>0</v>
      </c>
      <c r="M139" s="5">
        <f>Log[[#This Row],[Fat]]*9</f>
        <v>0</v>
      </c>
      <c r="N139" s="74" t="b">
        <f>NOT(ISERROR(MATCH(A139,Index[Item],0)))</f>
        <v>1</v>
      </c>
    </row>
    <row r="140" spans="1:14" ht="37.5" x14ac:dyDescent="0.3">
      <c r="A140" s="34" t="s">
        <v>367</v>
      </c>
      <c r="B140" s="5">
        <f>200*$H140</f>
        <v>0</v>
      </c>
      <c r="C140" s="5">
        <f>27*$H140</f>
        <v>0</v>
      </c>
      <c r="D140" s="5">
        <f t="shared" ref="D140:F141" si="16">0*$H140</f>
        <v>0</v>
      </c>
      <c r="E140" s="5">
        <f t="shared" si="16"/>
        <v>0</v>
      </c>
      <c r="F140" s="5">
        <f t="shared" si="16"/>
        <v>0</v>
      </c>
      <c r="G140" s="5">
        <f>27*$H140</f>
        <v>0</v>
      </c>
      <c r="I140" s="22" t="s">
        <v>362</v>
      </c>
      <c r="J140" s="2">
        <v>10</v>
      </c>
      <c r="L140" s="5">
        <f>Log[[#This Row],[Calories]]-(Log[[#This Row],[Fat Removed]]*Log[[#This Row],[Fat Calories]])</f>
        <v>0</v>
      </c>
      <c r="M140" s="5">
        <f>Log[[#This Row],[Fat]]*9</f>
        <v>0</v>
      </c>
      <c r="N140" s="74" t="b">
        <f>NOT(ISERROR(MATCH(A140,Index[Item],0)))</f>
        <v>1</v>
      </c>
    </row>
    <row r="141" spans="1:14" x14ac:dyDescent="0.3">
      <c r="A141" s="34" t="s">
        <v>648</v>
      </c>
      <c r="B141" s="5">
        <f>221*$H141</f>
        <v>0</v>
      </c>
      <c r="C141" s="5">
        <f>30.9*$H141</f>
        <v>0</v>
      </c>
      <c r="D141" s="5">
        <f t="shared" si="16"/>
        <v>0</v>
      </c>
      <c r="E141" s="5">
        <f t="shared" si="16"/>
        <v>0</v>
      </c>
      <c r="F141" s="5">
        <f t="shared" si="16"/>
        <v>0</v>
      </c>
      <c r="G141" s="5">
        <f>23.4*$H141</f>
        <v>0</v>
      </c>
      <c r="I141" s="22" t="s">
        <v>362</v>
      </c>
      <c r="J141" s="2">
        <v>10</v>
      </c>
      <c r="L141" s="5">
        <f>Log[[#This Row],[Calories]]-(Log[[#This Row],[Fat Removed]]*Log[[#This Row],[Fat Calories]])</f>
        <v>0</v>
      </c>
      <c r="M141" s="5">
        <f>Log[[#This Row],[Fat]]*9</f>
        <v>0</v>
      </c>
      <c r="N141" s="74" t="b">
        <f>NOT(ISERROR(MATCH(A141,Index[Item],0)))</f>
        <v>1</v>
      </c>
    </row>
    <row r="142" spans="1:14" x14ac:dyDescent="0.3">
      <c r="A142" s="34" t="s">
        <v>368</v>
      </c>
      <c r="B142" s="5">
        <f>140*$H142</f>
        <v>0</v>
      </c>
      <c r="C142" s="5">
        <f>13*$H142</f>
        <v>0</v>
      </c>
      <c r="D142" s="5">
        <f>0*$H142</f>
        <v>0</v>
      </c>
      <c r="E142" s="5">
        <f>1*$H142</f>
        <v>0</v>
      </c>
      <c r="F142" s="5">
        <f>0*$H142</f>
        <v>0</v>
      </c>
      <c r="G142" s="5">
        <f>0*$H142</f>
        <v>0</v>
      </c>
      <c r="I142" s="22" t="s">
        <v>369</v>
      </c>
      <c r="J142" s="2">
        <v>10</v>
      </c>
      <c r="L142" s="5">
        <f>Log[[#This Row],[Calories]]-(Log[[#This Row],[Fat Removed]]*Log[[#This Row],[Fat Calories]])</f>
        <v>0</v>
      </c>
      <c r="M142" s="5">
        <f>Log[[#This Row],[Fat]]*9</f>
        <v>0</v>
      </c>
      <c r="N142" s="74" t="b">
        <f>NOT(ISERROR(MATCH(A142,Index[Item],0)))</f>
        <v>1</v>
      </c>
    </row>
    <row r="143" spans="1:14" ht="37.5" x14ac:dyDescent="0.3">
      <c r="A143" s="34" t="s">
        <v>372</v>
      </c>
      <c r="B143" s="5">
        <f>136*$H143</f>
        <v>0</v>
      </c>
      <c r="C143" s="5">
        <f>13*$H143</f>
        <v>0</v>
      </c>
      <c r="D143" s="5">
        <f t="shared" si="13"/>
        <v>0</v>
      </c>
      <c r="E143" s="5">
        <f>1.3*$H143</f>
        <v>0</v>
      </c>
      <c r="F143" s="5">
        <f t="shared" si="15"/>
        <v>0</v>
      </c>
      <c r="G143" s="5">
        <f t="shared" si="15"/>
        <v>0</v>
      </c>
      <c r="I143" s="22" t="s">
        <v>362</v>
      </c>
      <c r="J143" s="2">
        <v>10</v>
      </c>
      <c r="L143" s="5">
        <f>Log[[#This Row],[Calories]]-(Log[[#This Row],[Fat Removed]]*Log[[#This Row],[Fat Calories]])</f>
        <v>0</v>
      </c>
      <c r="M143" s="5">
        <f>Log[[#This Row],[Fat]]*9</f>
        <v>0</v>
      </c>
      <c r="N143" s="74" t="b">
        <f>NOT(ISERROR(MATCH(A143,Index[Item],0)))</f>
        <v>1</v>
      </c>
    </row>
    <row r="144" spans="1:14" ht="37.5" x14ac:dyDescent="0.3">
      <c r="A144" s="34" t="s">
        <v>373</v>
      </c>
      <c r="B144" s="5">
        <f>170*$H144</f>
        <v>0</v>
      </c>
      <c r="C144" s="5">
        <f>17.8*$H144</f>
        <v>0</v>
      </c>
      <c r="D144" s="5">
        <f t="shared" si="13"/>
        <v>0</v>
      </c>
      <c r="E144" s="5">
        <f>1.6*$H144</f>
        <v>0</v>
      </c>
      <c r="F144" s="5">
        <f t="shared" si="15"/>
        <v>0</v>
      </c>
      <c r="G144" s="5">
        <f t="shared" si="15"/>
        <v>0</v>
      </c>
      <c r="I144" s="22" t="s">
        <v>362</v>
      </c>
      <c r="J144" s="2">
        <v>10</v>
      </c>
      <c r="L144" s="5">
        <f>Log[[#This Row],[Calories]]-(Log[[#This Row],[Fat Removed]]*Log[[#This Row],[Fat Calories]])</f>
        <v>0</v>
      </c>
      <c r="M144" s="5">
        <f>Log[[#This Row],[Fat]]*9</f>
        <v>0</v>
      </c>
      <c r="N144" s="74" t="b">
        <f>NOT(ISERROR(MATCH(A144,Index[Item],0)))</f>
        <v>1</v>
      </c>
    </row>
    <row r="145" spans="1:14" x14ac:dyDescent="0.3">
      <c r="A145" s="34" t="s">
        <v>597</v>
      </c>
      <c r="B145" s="5">
        <f>187*$H145</f>
        <v>0</v>
      </c>
      <c r="C145" s="5">
        <f>12.6*$H145</f>
        <v>0</v>
      </c>
      <c r="D145" s="5">
        <f t="shared" si="13"/>
        <v>0</v>
      </c>
      <c r="E145" s="5">
        <f>1.2*$H145</f>
        <v>0</v>
      </c>
      <c r="F145" s="5">
        <f t="shared" si="15"/>
        <v>0</v>
      </c>
      <c r="G145" s="5">
        <f t="shared" si="15"/>
        <v>0</v>
      </c>
      <c r="I145" s="22" t="s">
        <v>362</v>
      </c>
      <c r="J145" s="2">
        <v>10</v>
      </c>
      <c r="L145" s="5">
        <f>Log[[#This Row],[Calories]]-(Log[[#This Row],[Fat Removed]]*Log[[#This Row],[Fat Calories]])</f>
        <v>0</v>
      </c>
      <c r="M145" s="5">
        <f>Log[[#This Row],[Fat]]*9</f>
        <v>0</v>
      </c>
      <c r="N145" s="74" t="b">
        <f>NOT(ISERROR(MATCH(A145,Index[Item],0)))</f>
        <v>1</v>
      </c>
    </row>
    <row r="146" spans="1:14" x14ac:dyDescent="0.3">
      <c r="A146" s="34" t="s">
        <v>374</v>
      </c>
      <c r="B146" s="5">
        <f>141*$H146</f>
        <v>0</v>
      </c>
      <c r="C146" s="5">
        <f>12*$H146</f>
        <v>0</v>
      </c>
      <c r="D146" s="5">
        <f t="shared" si="13"/>
        <v>0</v>
      </c>
      <c r="E146" s="5">
        <f>1.2*$H146</f>
        <v>0</v>
      </c>
      <c r="F146" s="5">
        <f t="shared" si="15"/>
        <v>0</v>
      </c>
      <c r="G146" s="5">
        <f t="shared" si="15"/>
        <v>0</v>
      </c>
      <c r="I146" s="22" t="s">
        <v>362</v>
      </c>
      <c r="J146" s="2">
        <v>10</v>
      </c>
      <c r="L146" s="5">
        <f>Log[[#This Row],[Calories]]-(Log[[#This Row],[Fat Removed]]*Log[[#This Row],[Fat Calories]])</f>
        <v>0</v>
      </c>
      <c r="M146" s="5">
        <f>Log[[#This Row],[Fat]]*9</f>
        <v>0</v>
      </c>
      <c r="N146" s="74" t="b">
        <f>NOT(ISERROR(MATCH(A146,Index[Item],0)))</f>
        <v>1</v>
      </c>
    </row>
    <row r="147" spans="1:14" x14ac:dyDescent="0.3">
      <c r="A147" s="34" t="s">
        <v>614</v>
      </c>
      <c r="B147" s="5">
        <f>98*$H147</f>
        <v>0</v>
      </c>
      <c r="C147" s="5">
        <f>0*$H147</f>
        <v>0</v>
      </c>
      <c r="D147" s="5">
        <f t="shared" si="13"/>
        <v>0</v>
      </c>
      <c r="E147" s="5">
        <f t="shared" si="13"/>
        <v>0</v>
      </c>
      <c r="F147" s="5">
        <f t="shared" si="15"/>
        <v>0</v>
      </c>
      <c r="G147" s="5">
        <f t="shared" si="15"/>
        <v>0</v>
      </c>
      <c r="I147" s="22" t="s">
        <v>362</v>
      </c>
      <c r="J147" s="2">
        <v>10</v>
      </c>
      <c r="L147" s="5">
        <f>Log[[#This Row],[Calories]]-(Log[[#This Row],[Fat Removed]]*Log[[#This Row],[Fat Calories]])</f>
        <v>0</v>
      </c>
      <c r="M147" s="5">
        <f>Log[[#This Row],[Fat]]*9</f>
        <v>0</v>
      </c>
      <c r="N147" s="74" t="b">
        <f>NOT(ISERROR(MATCH(A147,Index[Item],0)))</f>
        <v>1</v>
      </c>
    </row>
    <row r="148" spans="1:14" ht="26.25" x14ac:dyDescent="0.4">
      <c r="B148" s="5"/>
      <c r="C148" s="5"/>
      <c r="D148" s="5"/>
      <c r="E148" s="5"/>
      <c r="F148" s="5"/>
      <c r="G148" s="62" t="s">
        <v>375</v>
      </c>
      <c r="J148" s="2">
        <v>10.01</v>
      </c>
      <c r="L148" s="5"/>
      <c r="M148" s="5"/>
      <c r="N148" s="74" t="b">
        <f>NOT(ISERROR(MATCH(A148,Index[Item],0)))</f>
        <v>0</v>
      </c>
    </row>
    <row r="149" spans="1:14" x14ac:dyDescent="0.3">
      <c r="A149" s="34" t="s">
        <v>376</v>
      </c>
      <c r="B149" s="5">
        <f>15*$H149</f>
        <v>0</v>
      </c>
      <c r="C149" s="5">
        <f>4*$H149</f>
        <v>0</v>
      </c>
      <c r="D149" s="5">
        <f t="shared" ref="D149:G158" si="17">0*$H149</f>
        <v>0</v>
      </c>
      <c r="E149" s="5">
        <f t="shared" si="17"/>
        <v>0</v>
      </c>
      <c r="F149" s="5">
        <f t="shared" si="17"/>
        <v>0</v>
      </c>
      <c r="G149" s="5">
        <f t="shared" si="17"/>
        <v>0</v>
      </c>
      <c r="I149" s="22" t="s">
        <v>585</v>
      </c>
      <c r="J149" s="2">
        <v>11</v>
      </c>
      <c r="L149" s="5">
        <f>Log[[#This Row],[Calories]]-(Log[[#This Row],[Fat Removed]]*Log[[#This Row],[Fat Calories]])</f>
        <v>0</v>
      </c>
      <c r="M149" s="5">
        <f>Log[[#This Row],[Fat]]*9</f>
        <v>0</v>
      </c>
      <c r="N149" s="74" t="b">
        <f>NOT(ISERROR(MATCH(A149,Index[Item],0)))</f>
        <v>1</v>
      </c>
    </row>
    <row r="150" spans="1:14" x14ac:dyDescent="0.3">
      <c r="A150" s="34" t="s">
        <v>377</v>
      </c>
      <c r="B150" s="5">
        <f>10*$H150</f>
        <v>0</v>
      </c>
      <c r="C150" s="5">
        <f>3*$H150</f>
        <v>0</v>
      </c>
      <c r="D150" s="5">
        <f t="shared" si="17"/>
        <v>0</v>
      </c>
      <c r="E150" s="5">
        <f t="shared" si="17"/>
        <v>0</v>
      </c>
      <c r="F150" s="5">
        <f t="shared" si="17"/>
        <v>0</v>
      </c>
      <c r="G150" s="5">
        <f t="shared" si="17"/>
        <v>0</v>
      </c>
      <c r="I150" s="22" t="s">
        <v>585</v>
      </c>
      <c r="J150" s="2">
        <v>11</v>
      </c>
      <c r="L150" s="5">
        <f>Log[[#This Row],[Calories]]-(Log[[#This Row],[Fat Removed]]*Log[[#This Row],[Fat Calories]])</f>
        <v>0</v>
      </c>
      <c r="M150" s="5">
        <f>Log[[#This Row],[Fat]]*9</f>
        <v>0</v>
      </c>
      <c r="N150" s="74" t="b">
        <f>NOT(ISERROR(MATCH(A150,Index[Item],0)))</f>
        <v>1</v>
      </c>
    </row>
    <row r="151" spans="1:14" x14ac:dyDescent="0.3">
      <c r="A151" s="34" t="s">
        <v>379</v>
      </c>
      <c r="B151" s="5">
        <f>15*$H151</f>
        <v>0</v>
      </c>
      <c r="C151" s="5">
        <f>4*$H151</f>
        <v>0</v>
      </c>
      <c r="D151" s="5">
        <f t="shared" si="17"/>
        <v>0</v>
      </c>
      <c r="E151" s="5">
        <f t="shared" si="17"/>
        <v>0</v>
      </c>
      <c r="F151" s="5">
        <f t="shared" si="17"/>
        <v>0</v>
      </c>
      <c r="G151" s="5">
        <f t="shared" si="17"/>
        <v>0</v>
      </c>
      <c r="I151" s="22" t="s">
        <v>585</v>
      </c>
      <c r="J151" s="2">
        <v>11</v>
      </c>
      <c r="L151" s="5">
        <f>Log[[#This Row],[Calories]]-(Log[[#This Row],[Fat Removed]]*Log[[#This Row],[Fat Calories]])</f>
        <v>0</v>
      </c>
      <c r="M151" s="5">
        <f>Log[[#This Row],[Fat]]*9</f>
        <v>0</v>
      </c>
      <c r="N151" s="74" t="b">
        <f>NOT(ISERROR(MATCH(A151,Index[Item],0)))</f>
        <v>1</v>
      </c>
    </row>
    <row r="152" spans="1:14" x14ac:dyDescent="0.3">
      <c r="A152" s="34" t="s">
        <v>586</v>
      </c>
      <c r="B152" s="5">
        <f>10*$H152</f>
        <v>0</v>
      </c>
      <c r="C152" s="5">
        <f>2*$H152</f>
        <v>0</v>
      </c>
      <c r="D152" s="5">
        <f t="shared" si="17"/>
        <v>0</v>
      </c>
      <c r="E152" s="5">
        <f t="shared" si="17"/>
        <v>0</v>
      </c>
      <c r="F152" s="5">
        <f t="shared" si="17"/>
        <v>0</v>
      </c>
      <c r="G152" s="5">
        <f t="shared" si="17"/>
        <v>0</v>
      </c>
      <c r="I152" s="22" t="s">
        <v>585</v>
      </c>
      <c r="J152" s="2">
        <v>11</v>
      </c>
      <c r="L152" s="5">
        <f>Log[[#This Row],[Calories]]-(Log[[#This Row],[Fat Removed]]*Log[[#This Row],[Fat Calories]])</f>
        <v>0</v>
      </c>
      <c r="M152" s="5">
        <f>Log[[#This Row],[Fat]]*9</f>
        <v>0</v>
      </c>
      <c r="N152" s="74" t="b">
        <f>NOT(ISERROR(MATCH(A152,Index[Item],0)))</f>
        <v>1</v>
      </c>
    </row>
    <row r="153" spans="1:14" x14ac:dyDescent="0.3">
      <c r="A153" s="34" t="s">
        <v>587</v>
      </c>
      <c r="B153" s="5">
        <f>10*$H153</f>
        <v>10</v>
      </c>
      <c r="C153" s="5">
        <f>2*$H153</f>
        <v>2</v>
      </c>
      <c r="D153" s="5">
        <f t="shared" si="17"/>
        <v>0</v>
      </c>
      <c r="E153" s="5">
        <f t="shared" si="17"/>
        <v>0</v>
      </c>
      <c r="F153" s="5">
        <f t="shared" si="17"/>
        <v>0</v>
      </c>
      <c r="G153" s="5">
        <f t="shared" si="17"/>
        <v>0</v>
      </c>
      <c r="H153" s="2">
        <v>1</v>
      </c>
      <c r="I153" s="22" t="s">
        <v>585</v>
      </c>
      <c r="J153" s="2">
        <v>11</v>
      </c>
      <c r="L153" s="5">
        <f>Log[[#This Row],[Calories]]-(Log[[#This Row],[Fat Removed]]*Log[[#This Row],[Fat Calories]])</f>
        <v>10</v>
      </c>
      <c r="M153" s="5">
        <f>Log[[#This Row],[Fat]]*9</f>
        <v>0</v>
      </c>
      <c r="N153" s="74" t="b">
        <f>NOT(ISERROR(MATCH(A153,Index[Item],0)))</f>
        <v>1</v>
      </c>
    </row>
    <row r="154" spans="1:14" x14ac:dyDescent="0.3">
      <c r="A154" s="34" t="s">
        <v>588</v>
      </c>
      <c r="B154" s="5">
        <f>15*$H154</f>
        <v>0</v>
      </c>
      <c r="C154" s="5">
        <f>4*$H154</f>
        <v>0</v>
      </c>
      <c r="D154" s="5">
        <f t="shared" si="17"/>
        <v>0</v>
      </c>
      <c r="E154" s="5">
        <f t="shared" si="17"/>
        <v>0</v>
      </c>
      <c r="F154" s="5">
        <f t="shared" si="17"/>
        <v>0</v>
      </c>
      <c r="G154" s="5">
        <f t="shared" si="17"/>
        <v>0</v>
      </c>
      <c r="I154" s="22" t="s">
        <v>585</v>
      </c>
      <c r="J154" s="2">
        <v>11</v>
      </c>
      <c r="L154" s="5">
        <f>Log[[#This Row],[Calories]]-(Log[[#This Row],[Fat Removed]]*Log[[#This Row],[Fat Calories]])</f>
        <v>0</v>
      </c>
      <c r="M154" s="5">
        <f>Log[[#This Row],[Fat]]*9</f>
        <v>0</v>
      </c>
      <c r="N154" s="74" t="b">
        <f>NOT(ISERROR(MATCH(A154,Index[Item],0)))</f>
        <v>1</v>
      </c>
    </row>
    <row r="155" spans="1:14" x14ac:dyDescent="0.3">
      <c r="A155" s="34" t="s">
        <v>584</v>
      </c>
      <c r="B155" s="5">
        <f>10*$H155</f>
        <v>0</v>
      </c>
      <c r="C155" s="5">
        <f>2*$H155</f>
        <v>0</v>
      </c>
      <c r="D155" s="5">
        <f t="shared" si="17"/>
        <v>0</v>
      </c>
      <c r="E155" s="5">
        <f t="shared" si="17"/>
        <v>0</v>
      </c>
      <c r="F155" s="5">
        <f t="shared" si="17"/>
        <v>0</v>
      </c>
      <c r="G155" s="5">
        <f t="shared" si="17"/>
        <v>0</v>
      </c>
      <c r="I155" s="22" t="s">
        <v>585</v>
      </c>
      <c r="J155" s="2">
        <v>11</v>
      </c>
      <c r="L155" s="5">
        <f>Log[[#This Row],[Calories]]-(Log[[#This Row],[Fat Removed]]*Log[[#This Row],[Fat Calories]])</f>
        <v>0</v>
      </c>
      <c r="M155" s="5">
        <f>Log[[#This Row],[Fat]]*9</f>
        <v>0</v>
      </c>
      <c r="N155" s="74" t="b">
        <f>NOT(ISERROR(MATCH(A155,Index[Item],0)))</f>
        <v>1</v>
      </c>
    </row>
    <row r="156" spans="1:14" x14ac:dyDescent="0.3">
      <c r="A156" s="34" t="s">
        <v>381</v>
      </c>
      <c r="B156" s="5">
        <f>10*$H156</f>
        <v>0</v>
      </c>
      <c r="C156" s="5">
        <f>3*$H156</f>
        <v>0</v>
      </c>
      <c r="D156" s="5">
        <f t="shared" si="17"/>
        <v>0</v>
      </c>
      <c r="E156" s="5">
        <f t="shared" si="17"/>
        <v>0</v>
      </c>
      <c r="F156" s="5">
        <f t="shared" si="17"/>
        <v>0</v>
      </c>
      <c r="G156" s="5">
        <f t="shared" si="17"/>
        <v>0</v>
      </c>
      <c r="I156" s="22" t="s">
        <v>585</v>
      </c>
      <c r="J156" s="2">
        <v>11</v>
      </c>
      <c r="L156" s="5">
        <f>Log[[#This Row],[Calories]]-(Log[[#This Row],[Fat Removed]]*Log[[#This Row],[Fat Calories]])</f>
        <v>0</v>
      </c>
      <c r="M156" s="5">
        <f>Log[[#This Row],[Fat]]*9</f>
        <v>0</v>
      </c>
      <c r="N156" s="74" t="b">
        <f>NOT(ISERROR(MATCH(A156,Index[Item],0)))</f>
        <v>1</v>
      </c>
    </row>
    <row r="157" spans="1:14" x14ac:dyDescent="0.3">
      <c r="A157" s="34" t="s">
        <v>382</v>
      </c>
      <c r="B157" s="5">
        <f>15*$H157</f>
        <v>0</v>
      </c>
      <c r="C157" s="5">
        <f>4*$H157</f>
        <v>0</v>
      </c>
      <c r="D157" s="5">
        <f t="shared" si="17"/>
        <v>0</v>
      </c>
      <c r="E157" s="5">
        <f t="shared" si="17"/>
        <v>0</v>
      </c>
      <c r="F157" s="5">
        <f t="shared" si="17"/>
        <v>0</v>
      </c>
      <c r="G157" s="5">
        <f t="shared" si="17"/>
        <v>0</v>
      </c>
      <c r="I157" s="22" t="s">
        <v>585</v>
      </c>
      <c r="J157" s="2">
        <v>11</v>
      </c>
      <c r="L157" s="5">
        <f>Log[[#This Row],[Calories]]-(Log[[#This Row],[Fat Removed]]*Log[[#This Row],[Fat Calories]])</f>
        <v>0</v>
      </c>
      <c r="M157" s="5">
        <f>Log[[#This Row],[Fat]]*9</f>
        <v>0</v>
      </c>
      <c r="N157" s="74" t="b">
        <f>NOT(ISERROR(MATCH(A157,Index[Item],0)))</f>
        <v>1</v>
      </c>
    </row>
    <row r="158" spans="1:14" x14ac:dyDescent="0.3">
      <c r="A158" s="34" t="s">
        <v>383</v>
      </c>
      <c r="B158" s="5">
        <f>15*$H158</f>
        <v>0</v>
      </c>
      <c r="C158" s="5">
        <f>4*$H158</f>
        <v>0</v>
      </c>
      <c r="D158" s="5">
        <f t="shared" si="17"/>
        <v>0</v>
      </c>
      <c r="E158" s="5">
        <f t="shared" si="17"/>
        <v>0</v>
      </c>
      <c r="F158" s="5">
        <f t="shared" si="17"/>
        <v>0</v>
      </c>
      <c r="G158" s="5">
        <f t="shared" si="17"/>
        <v>0</v>
      </c>
      <c r="I158" s="22" t="s">
        <v>585</v>
      </c>
      <c r="J158" s="2">
        <v>11</v>
      </c>
      <c r="L158" s="5">
        <f>Log[[#This Row],[Calories]]-(Log[[#This Row],[Fat Removed]]*Log[[#This Row],[Fat Calories]])</f>
        <v>0</v>
      </c>
      <c r="M158" s="5">
        <f>Log[[#This Row],[Fat]]*9</f>
        <v>0</v>
      </c>
      <c r="N158" s="74" t="b">
        <f>NOT(ISERROR(MATCH(A158,Index[Item],0)))</f>
        <v>1</v>
      </c>
    </row>
    <row r="159" spans="1:14" x14ac:dyDescent="0.3">
      <c r="A159" s="34" t="s">
        <v>378</v>
      </c>
      <c r="B159" s="5">
        <f>20*$H159</f>
        <v>0</v>
      </c>
      <c r="C159" s="5">
        <f>5*$H159</f>
        <v>0</v>
      </c>
      <c r="D159" s="5">
        <f t="shared" ref="D159:G159" si="18">0*$H159</f>
        <v>0</v>
      </c>
      <c r="E159" s="5">
        <f t="shared" si="18"/>
        <v>0</v>
      </c>
      <c r="F159" s="5">
        <f t="shared" si="18"/>
        <v>0</v>
      </c>
      <c r="G159" s="5">
        <f t="shared" si="18"/>
        <v>0</v>
      </c>
      <c r="I159" s="22" t="s">
        <v>585</v>
      </c>
      <c r="J159" s="2">
        <v>11</v>
      </c>
      <c r="L159" s="5">
        <f>Log[[#This Row],[Calories]]-(Log[[#This Row],[Fat Removed]]*Log[[#This Row],[Fat Calories]])</f>
        <v>0</v>
      </c>
      <c r="M159" s="5">
        <f>Log[[#This Row],[Fat]]*9</f>
        <v>0</v>
      </c>
      <c r="N159" s="74" t="b">
        <f>NOT(ISERROR(MATCH(A159,Index[Item],0)))</f>
        <v>1</v>
      </c>
    </row>
    <row r="160" spans="1:14" ht="37.5" x14ac:dyDescent="0.3">
      <c r="A160" s="34" t="s">
        <v>384</v>
      </c>
      <c r="B160" s="5">
        <f>390*$H160</f>
        <v>0</v>
      </c>
      <c r="C160" s="5">
        <f>29*$H160</f>
        <v>0</v>
      </c>
      <c r="D160" s="5">
        <f>18*$H160</f>
        <v>0</v>
      </c>
      <c r="E160" s="5">
        <f>30*$H160</f>
        <v>0</v>
      </c>
      <c r="F160" s="5">
        <f>21*$H160</f>
        <v>0</v>
      </c>
      <c r="G160" s="5">
        <f>6*$H160</f>
        <v>0</v>
      </c>
      <c r="J160" s="2">
        <v>11</v>
      </c>
      <c r="L160" s="5">
        <f>Log[[#This Row],[Calories]]-(Log[[#This Row],[Fat Removed]]*Log[[#This Row],[Fat Calories]])</f>
        <v>0</v>
      </c>
      <c r="M160" s="5">
        <f>Log[[#This Row],[Fat]]*9</f>
        <v>0</v>
      </c>
      <c r="N160" s="74" t="b">
        <f>NOT(ISERROR(MATCH(A160,Index[Item],0)))</f>
        <v>1</v>
      </c>
    </row>
    <row r="161" spans="1:14" ht="56.25" x14ac:dyDescent="0.3">
      <c r="A161" s="34" t="s">
        <v>385</v>
      </c>
      <c r="B161" s="5">
        <f>210*$H161</f>
        <v>0</v>
      </c>
      <c r="C161" s="5">
        <f>16*$H161</f>
        <v>0</v>
      </c>
      <c r="D161" s="5">
        <f>11*$H161</f>
        <v>0</v>
      </c>
      <c r="E161" s="5">
        <f>16*$H161</f>
        <v>0</v>
      </c>
      <c r="F161" s="5">
        <f>9*$H161</f>
        <v>0</v>
      </c>
      <c r="G161" s="5">
        <f>3*$H161</f>
        <v>0</v>
      </c>
      <c r="I161" s="22" t="s">
        <v>386</v>
      </c>
      <c r="J161" s="2">
        <v>11</v>
      </c>
      <c r="L161" s="5">
        <f>Log[[#This Row],[Calories]]-(Log[[#This Row],[Fat Removed]]*Log[[#This Row],[Fat Calories]])</f>
        <v>0</v>
      </c>
      <c r="M161" s="5">
        <f>Log[[#This Row],[Fat]]*9</f>
        <v>0</v>
      </c>
      <c r="N161" s="74" t="b">
        <f>NOT(ISERROR(MATCH(A161,Index[Item],0)))</f>
        <v>1</v>
      </c>
    </row>
    <row r="162" spans="1:14" ht="37.5" x14ac:dyDescent="0.3">
      <c r="A162" s="34" t="s">
        <v>387</v>
      </c>
      <c r="B162" s="5">
        <f>190*$H162</f>
        <v>0</v>
      </c>
      <c r="C162" s="5">
        <f>14*$H162</f>
        <v>0</v>
      </c>
      <c r="D162" s="5">
        <f>8*$H162</f>
        <v>0</v>
      </c>
      <c r="E162" s="5">
        <f>16*$H162</f>
        <v>0</v>
      </c>
      <c r="F162" s="5">
        <f>9*$H162</f>
        <v>0</v>
      </c>
      <c r="G162" s="5">
        <f>3*$H162</f>
        <v>0</v>
      </c>
      <c r="I162" s="22" t="s">
        <v>386</v>
      </c>
      <c r="J162" s="2">
        <v>11</v>
      </c>
      <c r="L162" s="5">
        <f>Log[[#This Row],[Calories]]-(Log[[#This Row],[Fat Removed]]*Log[[#This Row],[Fat Calories]])</f>
        <v>0</v>
      </c>
      <c r="M162" s="5">
        <f>Log[[#This Row],[Fat]]*9</f>
        <v>0</v>
      </c>
      <c r="N162" s="74" t="b">
        <f>NOT(ISERROR(MATCH(A162,Index[Item],0)))</f>
        <v>1</v>
      </c>
    </row>
    <row r="163" spans="1:14" ht="56.25" x14ac:dyDescent="0.3">
      <c r="A163" s="34" t="s">
        <v>388</v>
      </c>
      <c r="B163" s="5">
        <f>190*$H163</f>
        <v>0</v>
      </c>
      <c r="C163" s="5">
        <f>14*$H163</f>
        <v>0</v>
      </c>
      <c r="D163" s="5">
        <f>8*$H163</f>
        <v>0</v>
      </c>
      <c r="E163" s="5">
        <f>16*$H163</f>
        <v>0</v>
      </c>
      <c r="F163" s="5">
        <f>9*$H163</f>
        <v>0</v>
      </c>
      <c r="G163" s="5">
        <f>3*$H163</f>
        <v>0</v>
      </c>
      <c r="I163" s="22" t="s">
        <v>386</v>
      </c>
      <c r="J163" s="2">
        <v>11</v>
      </c>
      <c r="L163" s="5">
        <f>Log[[#This Row],[Calories]]-(Log[[#This Row],[Fat Removed]]*Log[[#This Row],[Fat Calories]])</f>
        <v>0</v>
      </c>
      <c r="M163" s="5">
        <f>Log[[#This Row],[Fat]]*9</f>
        <v>0</v>
      </c>
      <c r="N163" s="74" t="b">
        <f>NOT(ISERROR(MATCH(A163,Index[Item],0)))</f>
        <v>1</v>
      </c>
    </row>
    <row r="164" spans="1:14" ht="37.5" x14ac:dyDescent="0.3">
      <c r="A164" s="34" t="s">
        <v>389</v>
      </c>
      <c r="B164" s="5">
        <f>190*$H164</f>
        <v>0</v>
      </c>
      <c r="C164" s="5">
        <f>14*$H164</f>
        <v>0</v>
      </c>
      <c r="D164" s="5">
        <f>8*$H164</f>
        <v>0</v>
      </c>
      <c r="E164" s="5">
        <f>16*$H164</f>
        <v>0</v>
      </c>
      <c r="F164" s="5">
        <f>9*$H164</f>
        <v>0</v>
      </c>
      <c r="G164" s="5">
        <f>3*$H164</f>
        <v>0</v>
      </c>
      <c r="I164" s="22" t="s">
        <v>386</v>
      </c>
      <c r="J164" s="2">
        <v>11</v>
      </c>
      <c r="L164" s="5">
        <f>Log[[#This Row],[Calories]]-(Log[[#This Row],[Fat Removed]]*Log[[#This Row],[Fat Calories]])</f>
        <v>0</v>
      </c>
      <c r="M164" s="5">
        <f>Log[[#This Row],[Fat]]*9</f>
        <v>0</v>
      </c>
      <c r="N164" s="74" t="b">
        <f>NOT(ISERROR(MATCH(A164,Index[Item],0)))</f>
        <v>1</v>
      </c>
    </row>
    <row r="165" spans="1:14" ht="56.25" x14ac:dyDescent="0.3">
      <c r="A165" s="34" t="s">
        <v>390</v>
      </c>
      <c r="B165" s="5">
        <f>210*$H165</f>
        <v>0</v>
      </c>
      <c r="C165" s="5">
        <f>13*$H165</f>
        <v>0</v>
      </c>
      <c r="D165" s="5">
        <f>11*$H165</f>
        <v>0</v>
      </c>
      <c r="E165" s="5">
        <f>16*$H165</f>
        <v>0</v>
      </c>
      <c r="F165" s="5">
        <f>11*$H165</f>
        <v>0</v>
      </c>
      <c r="G165" s="5">
        <f>1*$H165</f>
        <v>0</v>
      </c>
      <c r="I165" s="22" t="s">
        <v>386</v>
      </c>
      <c r="J165" s="2">
        <v>11</v>
      </c>
      <c r="L165" s="5">
        <f>Log[[#This Row],[Calories]]-(Log[[#This Row],[Fat Removed]]*Log[[#This Row],[Fat Calories]])</f>
        <v>0</v>
      </c>
      <c r="M165" s="5">
        <f>Log[[#This Row],[Fat]]*9</f>
        <v>0</v>
      </c>
      <c r="N165" s="74" t="b">
        <f>NOT(ISERROR(MATCH(A165,Index[Item],0)))</f>
        <v>1</v>
      </c>
    </row>
    <row r="166" spans="1:14" ht="37.5" x14ac:dyDescent="0.3">
      <c r="A166" s="34" t="s">
        <v>391</v>
      </c>
      <c r="B166" s="5">
        <f>140*$H166</f>
        <v>0</v>
      </c>
      <c r="C166" s="5">
        <f>26*$H166</f>
        <v>0</v>
      </c>
      <c r="D166" s="5">
        <f>3*$H166</f>
        <v>0</v>
      </c>
      <c r="E166" s="5">
        <f>1*$H166</f>
        <v>0</v>
      </c>
      <c r="F166" s="5">
        <f>2*$H166</f>
        <v>0</v>
      </c>
      <c r="G166" s="5">
        <f>11*$H166</f>
        <v>0</v>
      </c>
      <c r="I166" s="22" t="s">
        <v>386</v>
      </c>
      <c r="J166" s="2">
        <v>11</v>
      </c>
      <c r="L166" s="5">
        <f>Log[[#This Row],[Calories]]-(Log[[#This Row],[Fat Removed]]*Log[[#This Row],[Fat Calories]])</f>
        <v>0</v>
      </c>
      <c r="M166" s="5">
        <f>Log[[#This Row],[Fat]]*9</f>
        <v>0</v>
      </c>
      <c r="N166" s="74" t="b">
        <f>NOT(ISERROR(MATCH(A166,Index[Item],0)))</f>
        <v>1</v>
      </c>
    </row>
    <row r="167" spans="1:14" ht="37.5" x14ac:dyDescent="0.3">
      <c r="A167" s="34" t="s">
        <v>392</v>
      </c>
      <c r="B167" s="5">
        <f t="shared" ref="B167:B170" si="19">140*$H167</f>
        <v>0</v>
      </c>
      <c r="C167" s="5">
        <f t="shared" ref="C167:C170" si="20">26*$H167</f>
        <v>0</v>
      </c>
      <c r="D167" s="5">
        <f t="shared" ref="D167:D170" si="21">3*$H167</f>
        <v>0</v>
      </c>
      <c r="E167" s="5">
        <f t="shared" ref="E167:E170" si="22">1*$H167</f>
        <v>0</v>
      </c>
      <c r="F167" s="5">
        <f t="shared" ref="F167:F170" si="23">2*$H167</f>
        <v>0</v>
      </c>
      <c r="G167" s="5">
        <f t="shared" ref="G167:G170" si="24">11*$H167</f>
        <v>0</v>
      </c>
      <c r="I167" s="22" t="s">
        <v>386</v>
      </c>
      <c r="J167" s="2">
        <v>11</v>
      </c>
      <c r="L167" s="5">
        <f>Log[[#This Row],[Calories]]-(Log[[#This Row],[Fat Removed]]*Log[[#This Row],[Fat Calories]])</f>
        <v>0</v>
      </c>
      <c r="M167" s="5">
        <f>Log[[#This Row],[Fat]]*9</f>
        <v>0</v>
      </c>
      <c r="N167" s="74" t="b">
        <f>NOT(ISERROR(MATCH(A167,Index[Item],0)))</f>
        <v>1</v>
      </c>
    </row>
    <row r="168" spans="1:14" ht="37.5" x14ac:dyDescent="0.3">
      <c r="A168" s="34" t="s">
        <v>393</v>
      </c>
      <c r="B168" s="5">
        <f t="shared" si="19"/>
        <v>0</v>
      </c>
      <c r="C168" s="5">
        <f t="shared" si="20"/>
        <v>0</v>
      </c>
      <c r="D168" s="5">
        <f t="shared" si="21"/>
        <v>0</v>
      </c>
      <c r="E168" s="5">
        <f t="shared" si="22"/>
        <v>0</v>
      </c>
      <c r="F168" s="5">
        <f t="shared" si="23"/>
        <v>0</v>
      </c>
      <c r="G168" s="5">
        <f t="shared" si="24"/>
        <v>0</v>
      </c>
      <c r="I168" s="22" t="s">
        <v>386</v>
      </c>
      <c r="J168" s="2">
        <v>11</v>
      </c>
      <c r="L168" s="5">
        <f>Log[[#This Row],[Calories]]-(Log[[#This Row],[Fat Removed]]*Log[[#This Row],[Fat Calories]])</f>
        <v>0</v>
      </c>
      <c r="M168" s="5">
        <f>Log[[#This Row],[Fat]]*9</f>
        <v>0</v>
      </c>
      <c r="N168" s="74" t="b">
        <f>NOT(ISERROR(MATCH(A168,Index[Item],0)))</f>
        <v>1</v>
      </c>
    </row>
    <row r="169" spans="1:14" ht="37.5" x14ac:dyDescent="0.3">
      <c r="A169" s="34" t="s">
        <v>394</v>
      </c>
      <c r="B169" s="5">
        <f t="shared" si="19"/>
        <v>0</v>
      </c>
      <c r="C169" s="5">
        <f t="shared" si="20"/>
        <v>0</v>
      </c>
      <c r="D169" s="5">
        <f t="shared" si="21"/>
        <v>0</v>
      </c>
      <c r="E169" s="5">
        <f t="shared" si="22"/>
        <v>0</v>
      </c>
      <c r="F169" s="5">
        <f t="shared" si="23"/>
        <v>0</v>
      </c>
      <c r="G169" s="5">
        <f t="shared" si="24"/>
        <v>0</v>
      </c>
      <c r="I169" s="22" t="s">
        <v>386</v>
      </c>
      <c r="J169" s="2">
        <v>11</v>
      </c>
      <c r="L169" s="5">
        <f>Log[[#This Row],[Calories]]-(Log[[#This Row],[Fat Removed]]*Log[[#This Row],[Fat Calories]])</f>
        <v>0</v>
      </c>
      <c r="M169" s="5">
        <f>Log[[#This Row],[Fat]]*9</f>
        <v>0</v>
      </c>
      <c r="N169" s="74" t="b">
        <f>NOT(ISERROR(MATCH(A169,Index[Item],0)))</f>
        <v>1</v>
      </c>
    </row>
    <row r="170" spans="1:14" ht="37.5" x14ac:dyDescent="0.3">
      <c r="A170" s="34" t="s">
        <v>395</v>
      </c>
      <c r="B170" s="5">
        <f t="shared" si="19"/>
        <v>0</v>
      </c>
      <c r="C170" s="5">
        <f t="shared" si="20"/>
        <v>0</v>
      </c>
      <c r="D170" s="5">
        <f t="shared" si="21"/>
        <v>0</v>
      </c>
      <c r="E170" s="5">
        <f t="shared" si="22"/>
        <v>0</v>
      </c>
      <c r="F170" s="5">
        <f t="shared" si="23"/>
        <v>0</v>
      </c>
      <c r="G170" s="5">
        <f t="shared" si="24"/>
        <v>0</v>
      </c>
      <c r="I170" s="22" t="s">
        <v>386</v>
      </c>
      <c r="J170" s="2">
        <v>11</v>
      </c>
      <c r="L170" s="5">
        <f>Log[[#This Row],[Calories]]-(Log[[#This Row],[Fat Removed]]*Log[[#This Row],[Fat Calories]])</f>
        <v>0</v>
      </c>
      <c r="M170" s="5">
        <f>Log[[#This Row],[Fat]]*9</f>
        <v>0</v>
      </c>
      <c r="N170" s="74" t="b">
        <f>NOT(ISERROR(MATCH(A170,Index[Item],0)))</f>
        <v>1</v>
      </c>
    </row>
    <row r="171" spans="1:14" ht="37.5" x14ac:dyDescent="0.3">
      <c r="A171" s="34" t="s">
        <v>402</v>
      </c>
      <c r="B171" s="5">
        <f>180*$H171</f>
        <v>0</v>
      </c>
      <c r="C171" s="5">
        <f>21*$H171</f>
        <v>0</v>
      </c>
      <c r="D171" s="5">
        <f>6*$H171</f>
        <v>0</v>
      </c>
      <c r="E171" s="5">
        <f>12*$H171</f>
        <v>0</v>
      </c>
      <c r="F171" s="5">
        <f>6*$H171</f>
        <v>0</v>
      </c>
      <c r="G171" s="5">
        <f>21*$H171</f>
        <v>0</v>
      </c>
      <c r="J171" s="2">
        <v>11</v>
      </c>
      <c r="L171" s="5">
        <f>Log[[#This Row],[Calories]]-(Log[[#This Row],[Fat Removed]]*Log[[#This Row],[Fat Calories]])</f>
        <v>0</v>
      </c>
      <c r="M171" s="5">
        <f>Log[[#This Row],[Fat]]*9</f>
        <v>0</v>
      </c>
      <c r="N171" s="74" t="b">
        <f>NOT(ISERROR(MATCH(A171,Index[Item],0)))</f>
        <v>1</v>
      </c>
    </row>
    <row r="172" spans="1:14" ht="37.5" x14ac:dyDescent="0.3">
      <c r="A172" s="34" t="s">
        <v>403</v>
      </c>
      <c r="B172" s="5">
        <f>190*$H172</f>
        <v>0</v>
      </c>
      <c r="C172" s="5">
        <f>18*$H172</f>
        <v>0</v>
      </c>
      <c r="D172" s="5">
        <f>10*$H172</f>
        <v>0</v>
      </c>
      <c r="E172" s="5">
        <f>15*$H172</f>
        <v>0</v>
      </c>
      <c r="F172" s="5">
        <f>15*$H172</f>
        <v>0</v>
      </c>
      <c r="G172" s="5">
        <f>1*$H172</f>
        <v>0</v>
      </c>
      <c r="J172" s="2">
        <v>11</v>
      </c>
      <c r="L172" s="5">
        <f>Log[[#This Row],[Calories]]-(Log[[#This Row],[Fat Removed]]*Log[[#This Row],[Fat Calories]])</f>
        <v>0</v>
      </c>
      <c r="M172" s="5">
        <f>Log[[#This Row],[Fat]]*9</f>
        <v>0</v>
      </c>
      <c r="N172" s="74" t="b">
        <f>NOT(ISERROR(MATCH(A172,Index[Item],0)))</f>
        <v>1</v>
      </c>
    </row>
    <row r="173" spans="1:14" ht="37.5" x14ac:dyDescent="0.3">
      <c r="A173" s="34" t="s">
        <v>404</v>
      </c>
      <c r="B173" s="5">
        <f>350*$H173</f>
        <v>0</v>
      </c>
      <c r="C173" s="5">
        <f>41*$H173</f>
        <v>0</v>
      </c>
      <c r="D173" s="5">
        <f>13*$H173</f>
        <v>0</v>
      </c>
      <c r="E173" s="5">
        <f>20*$H173</f>
        <v>0</v>
      </c>
      <c r="F173" s="5">
        <f>2*$H173</f>
        <v>0</v>
      </c>
      <c r="G173" s="5">
        <f>29*$H173</f>
        <v>0</v>
      </c>
      <c r="J173" s="2">
        <v>11</v>
      </c>
      <c r="L173" s="5">
        <f>Log[[#This Row],[Calories]]-(Log[[#This Row],[Fat Removed]]*Log[[#This Row],[Fat Calories]])</f>
        <v>0</v>
      </c>
      <c r="M173" s="5">
        <f>Log[[#This Row],[Fat]]*9</f>
        <v>0</v>
      </c>
      <c r="N173" s="74" t="b">
        <f>NOT(ISERROR(MATCH(A173,Index[Item],0)))</f>
        <v>1</v>
      </c>
    </row>
    <row r="174" spans="1:14" ht="37.5" x14ac:dyDescent="0.3">
      <c r="A174" s="34" t="s">
        <v>405</v>
      </c>
      <c r="B174" s="5">
        <f>170*$H174</f>
        <v>0</v>
      </c>
      <c r="C174" s="5">
        <f>3*$H174</f>
        <v>0</v>
      </c>
      <c r="D174" s="5">
        <f>5*$H174</f>
        <v>0</v>
      </c>
      <c r="E174" s="5">
        <f>27*$H174</f>
        <v>0</v>
      </c>
      <c r="F174" s="5">
        <f>1*$H174</f>
        <v>0</v>
      </c>
      <c r="G174" s="5">
        <f>0.5*$H174</f>
        <v>0</v>
      </c>
      <c r="I174" s="22" t="s">
        <v>406</v>
      </c>
      <c r="J174" s="2">
        <v>11</v>
      </c>
      <c r="L174" s="5">
        <f>Log[[#This Row],[Calories]]-(Log[[#This Row],[Fat Removed]]*Log[[#This Row],[Fat Calories]])</f>
        <v>0</v>
      </c>
      <c r="M174" s="5">
        <f>Log[[#This Row],[Fat]]*9</f>
        <v>0</v>
      </c>
      <c r="N174" s="74" t="b">
        <f>NOT(ISERROR(MATCH(A174,Index[Item],0)))</f>
        <v>1</v>
      </c>
    </row>
    <row r="175" spans="1:14" ht="37.5" x14ac:dyDescent="0.3">
      <c r="A175" s="34" t="s">
        <v>407</v>
      </c>
      <c r="B175" s="5">
        <f>170*$H175</f>
        <v>0</v>
      </c>
      <c r="C175" s="5">
        <f>3*$H175</f>
        <v>0</v>
      </c>
      <c r="D175" s="5">
        <f>5*$H175</f>
        <v>0</v>
      </c>
      <c r="E175" s="5">
        <f>27*$H175</f>
        <v>0</v>
      </c>
      <c r="F175" s="5">
        <f>1*$H175</f>
        <v>0</v>
      </c>
      <c r="G175" s="5">
        <f>0.5*$H175</f>
        <v>0</v>
      </c>
      <c r="I175" s="22" t="s">
        <v>406</v>
      </c>
      <c r="J175" s="2">
        <v>11</v>
      </c>
      <c r="L175" s="5">
        <f>Log[[#This Row],[Calories]]-(Log[[#This Row],[Fat Removed]]*Log[[#This Row],[Fat Calories]])</f>
        <v>0</v>
      </c>
      <c r="M175" s="5">
        <f>Log[[#This Row],[Fat]]*9</f>
        <v>0</v>
      </c>
      <c r="N175" s="74" t="b">
        <f>NOT(ISERROR(MATCH(A175,Index[Item],0)))</f>
        <v>1</v>
      </c>
    </row>
    <row r="176" spans="1:14" ht="37.5" x14ac:dyDescent="0.3">
      <c r="A176" s="34" t="s">
        <v>408</v>
      </c>
      <c r="B176" s="5">
        <f>180*$H176</f>
        <v>0</v>
      </c>
      <c r="C176" s="5">
        <f>4*$H176</f>
        <v>0</v>
      </c>
      <c r="D176" s="5">
        <f>5.5*$H176</f>
        <v>0</v>
      </c>
      <c r="E176" s="5">
        <f>27*$H176</f>
        <v>0</v>
      </c>
      <c r="F176" s="5">
        <f>1.5*$H176</f>
        <v>0</v>
      </c>
      <c r="G176" s="5">
        <f>0.5*$H176</f>
        <v>0</v>
      </c>
      <c r="I176" s="22" t="s">
        <v>406</v>
      </c>
      <c r="J176" s="2">
        <v>11</v>
      </c>
      <c r="L176" s="5">
        <f>Log[[#This Row],[Calories]]-(Log[[#This Row],[Fat Removed]]*Log[[#This Row],[Fat Calories]])</f>
        <v>0</v>
      </c>
      <c r="M176" s="5">
        <f>Log[[#This Row],[Fat]]*9</f>
        <v>0</v>
      </c>
      <c r="N176" s="74" t="b">
        <f>NOT(ISERROR(MATCH(A176,Index[Item],0)))</f>
        <v>1</v>
      </c>
    </row>
    <row r="177" spans="1:14" ht="52.5" x14ac:dyDescent="0.4">
      <c r="B177" s="5"/>
      <c r="C177" s="5"/>
      <c r="D177" s="5"/>
      <c r="E177" s="5"/>
      <c r="F177" s="5"/>
      <c r="G177" s="67" t="s">
        <v>428</v>
      </c>
      <c r="J177" s="2">
        <v>12.01</v>
      </c>
      <c r="L177" s="5">
        <f>Log[[#This Row],[Calories]]-(Log[[#This Row],[Fat Removed]]*Log[[#This Row],[Fat Calories]])</f>
        <v>0</v>
      </c>
      <c r="M177" s="5">
        <f>Log[[#This Row],[Fat]]*9</f>
        <v>0</v>
      </c>
      <c r="N177" s="74" t="b">
        <f>NOT(ISERROR(MATCH(A177,Index[Item],0)))</f>
        <v>0</v>
      </c>
    </row>
    <row r="178" spans="1:14" ht="37.5" x14ac:dyDescent="0.3">
      <c r="A178" s="34" t="s">
        <v>599</v>
      </c>
      <c r="B178" s="5">
        <f>265*$H178</f>
        <v>0</v>
      </c>
      <c r="C178" s="5">
        <f>26*$H178</f>
        <v>0</v>
      </c>
      <c r="D178" s="5">
        <f>11*$H178</f>
        <v>0</v>
      </c>
      <c r="E178" s="5">
        <f>14*$H178</f>
        <v>0</v>
      </c>
      <c r="F178" s="5">
        <f>1*$H178</f>
        <v>0</v>
      </c>
      <c r="G178" s="5">
        <f>2*$H178</f>
        <v>0</v>
      </c>
      <c r="I178" s="22" t="s">
        <v>613</v>
      </c>
      <c r="J178" s="2">
        <v>12</v>
      </c>
      <c r="L178" s="5">
        <f>Log[[#This Row],[Calories]]-(Log[[#This Row],[Fat Removed]]*Log[[#This Row],[Fat Calories]])</f>
        <v>0</v>
      </c>
      <c r="M178" s="5">
        <f>Log[[#This Row],[Fat]]*9</f>
        <v>0</v>
      </c>
      <c r="N178" s="74" t="b">
        <f>NOT(ISERROR(MATCH(A178,Index[Item],0)))</f>
        <v>1</v>
      </c>
    </row>
    <row r="179" spans="1:14" ht="37.5" x14ac:dyDescent="0.3">
      <c r="A179" s="34" t="s">
        <v>600</v>
      </c>
      <c r="B179" s="5">
        <f>160*$H179</f>
        <v>0</v>
      </c>
      <c r="C179" s="5">
        <f>17*$H179</f>
        <v>0</v>
      </c>
      <c r="D179" s="5">
        <f>7*$H179</f>
        <v>0</v>
      </c>
      <c r="E179" s="5">
        <f>7*$H179</f>
        <v>0</v>
      </c>
      <c r="F179" s="5">
        <f>1*$H179</f>
        <v>0</v>
      </c>
      <c r="G179" s="75">
        <f>1*$H179</f>
        <v>0</v>
      </c>
      <c r="I179" s="22" t="s">
        <v>612</v>
      </c>
      <c r="J179" s="2">
        <v>12</v>
      </c>
      <c r="L179" s="5">
        <f>Log[[#This Row],[Calories]]-(Log[[#This Row],[Fat Removed]]*Log[[#This Row],[Fat Calories]])</f>
        <v>0</v>
      </c>
      <c r="M179" s="5">
        <f>Log[[#This Row],[Fat]]*9</f>
        <v>0</v>
      </c>
      <c r="N179" s="74" t="b">
        <f>NOT(ISERROR(MATCH(A179,Index[Item],0)))</f>
        <v>1</v>
      </c>
    </row>
    <row r="180" spans="1:14" x14ac:dyDescent="0.3">
      <c r="A180" s="34" t="s">
        <v>601</v>
      </c>
      <c r="B180" s="5">
        <f>250*$H180</f>
        <v>0</v>
      </c>
      <c r="C180" s="5">
        <f>0*$H180</f>
        <v>0</v>
      </c>
      <c r="D180" s="5">
        <f>28*$H180</f>
        <v>0</v>
      </c>
      <c r="E180" s="5">
        <f>0*$H180</f>
        <v>0</v>
      </c>
      <c r="F180" s="5">
        <f>0*$H180</f>
        <v>0</v>
      </c>
      <c r="G180" s="75">
        <f>0*$H180</f>
        <v>0</v>
      </c>
      <c r="I180" s="22" t="s">
        <v>443</v>
      </c>
      <c r="J180" s="2">
        <v>12</v>
      </c>
      <c r="L180" s="5">
        <f>Log[[#This Row],[Calories]]-(Log[[#This Row],[Fat Removed]]*Log[[#This Row],[Fat Calories]])</f>
        <v>0</v>
      </c>
      <c r="M180" s="5">
        <f>Log[[#This Row],[Fat]]*9</f>
        <v>0</v>
      </c>
      <c r="N180" s="74" t="b">
        <f>NOT(ISERROR(MATCH(A180,Index[Item],0)))</f>
        <v>1</v>
      </c>
    </row>
    <row r="181" spans="1:14" x14ac:dyDescent="0.3">
      <c r="A181" s="34" t="s">
        <v>602</v>
      </c>
      <c r="B181" s="5">
        <f>25*$H181</f>
        <v>0</v>
      </c>
      <c r="C181" s="5">
        <f>5*$H181</f>
        <v>0</v>
      </c>
      <c r="D181" s="5">
        <f>0*$H181</f>
        <v>0</v>
      </c>
      <c r="E181" s="5">
        <f>1*$H181</f>
        <v>0</v>
      </c>
      <c r="F181" s="5">
        <f>1*$H181</f>
        <v>0</v>
      </c>
      <c r="G181" s="75">
        <f>4*$H181</f>
        <v>0</v>
      </c>
      <c r="I181" s="22" t="s">
        <v>443</v>
      </c>
      <c r="J181" s="2">
        <v>12</v>
      </c>
      <c r="L181" s="5">
        <f>Log[[#This Row],[Calories]]-(Log[[#This Row],[Fat Removed]]*Log[[#This Row],[Fat Calories]])</f>
        <v>0</v>
      </c>
      <c r="M181" s="5">
        <f>Log[[#This Row],[Fat]]*9</f>
        <v>0</v>
      </c>
      <c r="N181" s="74" t="b">
        <f>NOT(ISERROR(MATCH(A181,Index[Item],0)))</f>
        <v>1</v>
      </c>
    </row>
    <row r="182" spans="1:14" ht="37.5" x14ac:dyDescent="0.3">
      <c r="A182" s="34" t="s">
        <v>603</v>
      </c>
      <c r="B182" s="5">
        <f>240*$H182</f>
        <v>0</v>
      </c>
      <c r="C182" s="5">
        <f>26*$H182</f>
        <v>0</v>
      </c>
      <c r="D182" s="5">
        <f>11*$H182</f>
        <v>0</v>
      </c>
      <c r="E182" s="5">
        <f>12*$H182</f>
        <v>0</v>
      </c>
      <c r="F182" s="5">
        <f>2*$H182</f>
        <v>0</v>
      </c>
      <c r="G182" s="75">
        <f>2*$H182</f>
        <v>0</v>
      </c>
      <c r="I182" s="22" t="s">
        <v>610</v>
      </c>
      <c r="J182" s="2">
        <v>12</v>
      </c>
      <c r="L182" s="5">
        <f>Log[[#This Row],[Calories]]-(Log[[#This Row],[Fat Removed]]*Log[[#This Row],[Fat Calories]])</f>
        <v>0</v>
      </c>
      <c r="M182" s="5">
        <f>Log[[#This Row],[Fat]]*9</f>
        <v>0</v>
      </c>
      <c r="N182" s="74" t="b">
        <f>NOT(ISERROR(MATCH(A182,Index[Item],0)))</f>
        <v>1</v>
      </c>
    </row>
    <row r="183" spans="1:14" x14ac:dyDescent="0.3">
      <c r="A183" s="34" t="s">
        <v>609</v>
      </c>
      <c r="B183" s="5">
        <f>100*$H183</f>
        <v>0</v>
      </c>
      <c r="C183" s="5">
        <f>11*$H183</f>
        <v>0</v>
      </c>
      <c r="D183" s="5">
        <f>4*$H183</f>
        <v>0</v>
      </c>
      <c r="E183" s="5">
        <f>5*$H183</f>
        <v>0</v>
      </c>
      <c r="F183" s="5">
        <f>0.5*$H183</f>
        <v>0</v>
      </c>
      <c r="G183" s="75">
        <f>1*$H183</f>
        <v>0</v>
      </c>
      <c r="I183" s="22" t="s">
        <v>608</v>
      </c>
      <c r="J183" s="2">
        <v>12</v>
      </c>
      <c r="L183" s="5">
        <f>Log[[#This Row],[Calories]]-(Log[[#This Row],[Fat Removed]]*Log[[#This Row],[Fat Calories]])</f>
        <v>0</v>
      </c>
      <c r="M183" s="5">
        <f>Log[[#This Row],[Fat]]*9</f>
        <v>0</v>
      </c>
      <c r="N183" s="74" t="b">
        <f>NOT(ISERROR(MATCH(A183,Index[Item],0)))</f>
        <v>1</v>
      </c>
    </row>
    <row r="184" spans="1:14" x14ac:dyDescent="0.3">
      <c r="A184" s="34" t="s">
        <v>604</v>
      </c>
      <c r="B184" s="5">
        <f>80*$H184</f>
        <v>0</v>
      </c>
      <c r="C184" s="5">
        <f>13*$H184</f>
        <v>0</v>
      </c>
      <c r="D184" s="5">
        <f>2.5*$H184</f>
        <v>0</v>
      </c>
      <c r="E184" s="5">
        <f>2*$H184</f>
        <v>0</v>
      </c>
      <c r="F184" s="5">
        <f>0*$H184</f>
        <v>0</v>
      </c>
      <c r="G184" s="75">
        <f>4*$H184</f>
        <v>0</v>
      </c>
      <c r="I184" s="22" t="s">
        <v>608</v>
      </c>
      <c r="J184" s="2">
        <v>12</v>
      </c>
      <c r="L184" s="5">
        <f>Log[[#This Row],[Calories]]-(Log[[#This Row],[Fat Removed]]*Log[[#This Row],[Fat Calories]])</f>
        <v>0</v>
      </c>
      <c r="M184" s="5">
        <f>Log[[#This Row],[Fat]]*9</f>
        <v>0</v>
      </c>
      <c r="N184" s="74" t="b">
        <f>NOT(ISERROR(MATCH(A184,Index[Item],0)))</f>
        <v>1</v>
      </c>
    </row>
    <row r="185" spans="1:14" x14ac:dyDescent="0.3">
      <c r="A185" s="34" t="s">
        <v>605</v>
      </c>
      <c r="B185" s="5">
        <f>100*$H185</f>
        <v>0</v>
      </c>
      <c r="C185" s="5">
        <f>3*$H185</f>
        <v>0</v>
      </c>
      <c r="D185" s="5">
        <f>10*$H185</f>
        <v>0</v>
      </c>
      <c r="E185" s="5">
        <f>0*$H185</f>
        <v>0</v>
      </c>
      <c r="F185" s="5">
        <f>0.5*$H185</f>
        <v>0</v>
      </c>
      <c r="G185" s="75">
        <f>0*$H185</f>
        <v>0</v>
      </c>
      <c r="I185" s="22" t="s">
        <v>611</v>
      </c>
      <c r="J185" s="2">
        <v>12</v>
      </c>
      <c r="L185" s="5">
        <f>Log[[#This Row],[Calories]]-(Log[[#This Row],[Fat Removed]]*Log[[#This Row],[Fat Calories]])</f>
        <v>0</v>
      </c>
      <c r="M185" s="5">
        <f>Log[[#This Row],[Fat]]*9</f>
        <v>0</v>
      </c>
      <c r="N185" s="74" t="b">
        <f>NOT(ISERROR(MATCH(A185,Index[Item],0)))</f>
        <v>1</v>
      </c>
    </row>
    <row r="186" spans="1:14" x14ac:dyDescent="0.3">
      <c r="A186" s="34" t="s">
        <v>606</v>
      </c>
      <c r="B186" s="5">
        <f>45*$H186</f>
        <v>0</v>
      </c>
      <c r="C186" s="5">
        <f>9*$H186</f>
        <v>0</v>
      </c>
      <c r="D186" s="5">
        <f>0*$H186</f>
        <v>0</v>
      </c>
      <c r="E186" s="5">
        <f>1*$H186</f>
        <v>0</v>
      </c>
      <c r="F186" s="5">
        <f t="shared" ref="F186" si="25">2*$H186</f>
        <v>0</v>
      </c>
      <c r="G186" s="75">
        <f>6*$H186</f>
        <v>0</v>
      </c>
      <c r="I186" s="22" t="s">
        <v>443</v>
      </c>
      <c r="J186" s="2">
        <v>12</v>
      </c>
      <c r="L186" s="5">
        <f>Log[[#This Row],[Calories]]-(Log[[#This Row],[Fat Removed]]*Log[[#This Row],[Fat Calories]])</f>
        <v>0</v>
      </c>
      <c r="M186" s="5">
        <f>Log[[#This Row],[Fat]]*9</f>
        <v>0</v>
      </c>
      <c r="N186" s="74" t="b">
        <f>NOT(ISERROR(MATCH(A186,Index[Item],0)))</f>
        <v>1</v>
      </c>
    </row>
    <row r="187" spans="1:14" x14ac:dyDescent="0.3">
      <c r="A187" s="34" t="s">
        <v>607</v>
      </c>
      <c r="B187" s="5">
        <f>180*$H187</f>
        <v>0</v>
      </c>
      <c r="C187" s="5">
        <f>44*$H187</f>
        <v>0</v>
      </c>
      <c r="D187" s="5">
        <f>0*$H187</f>
        <v>0</v>
      </c>
      <c r="E187" s="5">
        <f t="shared" ref="E187" si="26">0*$H187</f>
        <v>0</v>
      </c>
      <c r="F187" s="5">
        <f>0.5*$H187</f>
        <v>0</v>
      </c>
      <c r="G187" s="5">
        <f>38*$H187</f>
        <v>0</v>
      </c>
      <c r="I187" s="22" t="s">
        <v>443</v>
      </c>
      <c r="J187" s="2">
        <v>12</v>
      </c>
      <c r="L187" s="5">
        <f>Log[[#This Row],[Calories]]-(Log[[#This Row],[Fat Removed]]*Log[[#This Row],[Fat Calories]])</f>
        <v>0</v>
      </c>
      <c r="M187" s="5">
        <f>Log[[#This Row],[Fat]]*9</f>
        <v>0</v>
      </c>
      <c r="N187" s="74" t="b">
        <f>NOT(ISERROR(MATCH(A187,Index[Item],0)))</f>
        <v>1</v>
      </c>
    </row>
    <row r="188" spans="1:14" ht="37.5" x14ac:dyDescent="0.3">
      <c r="A188" s="34" t="s">
        <v>628</v>
      </c>
      <c r="B188" s="5">
        <f>300*$H188</f>
        <v>0</v>
      </c>
      <c r="C188" s="5">
        <f>34*$H188</f>
        <v>0</v>
      </c>
      <c r="D188" s="5">
        <f>12*$H188</f>
        <v>0</v>
      </c>
      <c r="E188" s="5">
        <f>13*$H188</f>
        <v>0</v>
      </c>
      <c r="F188" s="5">
        <f>3*$H188</f>
        <v>0</v>
      </c>
      <c r="G188" s="5">
        <f>2*$H188</f>
        <v>0</v>
      </c>
      <c r="I188" s="22" t="s">
        <v>422</v>
      </c>
      <c r="J188" s="2">
        <v>12</v>
      </c>
      <c r="L188" s="5">
        <f>Log[[#This Row],[Calories]]-(Log[[#This Row],[Fat Removed]]*Log[[#This Row],[Fat Calories]])</f>
        <v>0</v>
      </c>
      <c r="M188" s="5">
        <f>Log[[#This Row],[Fat]]*9</f>
        <v>0</v>
      </c>
      <c r="N188" s="74" t="b">
        <f>NOT(ISERROR(MATCH(A188,Index[Item],0)))</f>
        <v>1</v>
      </c>
    </row>
    <row r="189" spans="1:14" x14ac:dyDescent="0.3">
      <c r="A189" s="34" t="s">
        <v>617</v>
      </c>
      <c r="B189" s="5">
        <f>550*$H189</f>
        <v>0</v>
      </c>
      <c r="C189" s="5">
        <f>74*$H189</f>
        <v>0</v>
      </c>
      <c r="D189" s="5">
        <f>21*$H189</f>
        <v>0</v>
      </c>
      <c r="E189" s="5">
        <f>16*$H189</f>
        <v>0</v>
      </c>
      <c r="F189" s="5">
        <f>7*$H189</f>
        <v>0</v>
      </c>
      <c r="G189" s="5">
        <f>6*$H189</f>
        <v>0</v>
      </c>
      <c r="I189" s="22" t="s">
        <v>624</v>
      </c>
      <c r="J189" s="2">
        <v>12</v>
      </c>
      <c r="L189" s="5">
        <f>Log[[#This Row],[Calories]]-(Log[[#This Row],[Fat Removed]]*Log[[#This Row],[Fat Calories]])</f>
        <v>0</v>
      </c>
      <c r="M189" s="5">
        <f>Log[[#This Row],[Fat]]*9</f>
        <v>0</v>
      </c>
      <c r="N189" s="74" t="b">
        <f>NOT(ISERROR(MATCH(A189,Index[Item],0)))</f>
        <v>1</v>
      </c>
    </row>
    <row r="190" spans="1:14" ht="37.5" x14ac:dyDescent="0.3">
      <c r="A190" s="34" t="s">
        <v>639</v>
      </c>
      <c r="B190" s="5">
        <f>490*$H190</f>
        <v>0</v>
      </c>
      <c r="C190" s="5">
        <f>41*$H190</f>
        <v>0</v>
      </c>
      <c r="D190" s="5">
        <f>28*$H190</f>
        <v>0</v>
      </c>
      <c r="E190" s="5">
        <f>20*$H190</f>
        <v>0</v>
      </c>
      <c r="F190" s="5">
        <f>5*$H190</f>
        <v>0</v>
      </c>
      <c r="G190" s="5">
        <f>5*$H190</f>
        <v>0</v>
      </c>
      <c r="I190" s="22" t="s">
        <v>626</v>
      </c>
      <c r="J190" s="2">
        <v>12</v>
      </c>
      <c r="L190" s="5">
        <f>Log[[#This Row],[Calories]]-(Log[[#This Row],[Fat Removed]]*Log[[#This Row],[Fat Calories]])</f>
        <v>0</v>
      </c>
      <c r="M190" s="5">
        <f>Log[[#This Row],[Fat]]*9</f>
        <v>0</v>
      </c>
      <c r="N190" s="74" t="b">
        <f>NOT(ISERROR(MATCH(A190,Index[Item],0)))</f>
        <v>1</v>
      </c>
    </row>
    <row r="191" spans="1:14" x14ac:dyDescent="0.3">
      <c r="A191" s="34" t="s">
        <v>618</v>
      </c>
      <c r="B191" s="5">
        <f>490*$H191</f>
        <v>0</v>
      </c>
      <c r="C191" s="5">
        <f>65*$H191</f>
        <v>0</v>
      </c>
      <c r="D191" s="5">
        <f>18*$H191</f>
        <v>0</v>
      </c>
      <c r="E191" s="5">
        <f>8*$H191</f>
        <v>0</v>
      </c>
      <c r="F191" s="5">
        <f>8*$H191</f>
        <v>0</v>
      </c>
      <c r="G191" s="5">
        <f>5*$H191</f>
        <v>0</v>
      </c>
      <c r="I191" s="22" t="s">
        <v>625</v>
      </c>
      <c r="J191" s="2">
        <v>12</v>
      </c>
      <c r="L191" s="5">
        <f>Log[[#This Row],[Calories]]-(Log[[#This Row],[Fat Removed]]*Log[[#This Row],[Fat Calories]])</f>
        <v>0</v>
      </c>
      <c r="M191" s="5">
        <f>Log[[#This Row],[Fat]]*9</f>
        <v>0</v>
      </c>
      <c r="N191" s="74" t="b">
        <f>NOT(ISERROR(MATCH(A191,Index[Item],0)))</f>
        <v>1</v>
      </c>
    </row>
    <row r="192" spans="1:14" x14ac:dyDescent="0.3">
      <c r="A192" s="34" t="s">
        <v>619</v>
      </c>
      <c r="B192" s="5">
        <f>240*$H192</f>
        <v>0</v>
      </c>
      <c r="C192" s="5">
        <f>28*$H192</f>
        <v>0</v>
      </c>
      <c r="D192" s="5">
        <f>13*$H192</f>
        <v>0</v>
      </c>
      <c r="E192" s="5">
        <f>3*$H192</f>
        <v>0</v>
      </c>
      <c r="F192" s="5">
        <f>3*$H192</f>
        <v>0</v>
      </c>
      <c r="G192" s="5">
        <f>1*$H192</f>
        <v>0</v>
      </c>
      <c r="I192" s="22" t="s">
        <v>443</v>
      </c>
      <c r="J192" s="2">
        <v>12</v>
      </c>
      <c r="L192" s="5">
        <f>Log[[#This Row],[Calories]]-(Log[[#This Row],[Fat Removed]]*Log[[#This Row],[Fat Calories]])</f>
        <v>0</v>
      </c>
      <c r="M192" s="5">
        <f>Log[[#This Row],[Fat]]*9</f>
        <v>0</v>
      </c>
      <c r="N192" s="74" t="b">
        <f>NOT(ISERROR(MATCH(A192,Index[Item],0)))</f>
        <v>1</v>
      </c>
    </row>
    <row r="193" spans="1:14" ht="37.5" x14ac:dyDescent="0.3">
      <c r="A193" s="34" t="s">
        <v>620</v>
      </c>
      <c r="B193" s="5">
        <f>320*$H193</f>
        <v>0</v>
      </c>
      <c r="C193" s="5">
        <f>34*$H193</f>
        <v>0</v>
      </c>
      <c r="D193" s="5">
        <f>16*$H193</f>
        <v>0</v>
      </c>
      <c r="E193" s="5">
        <f>11*$H193</f>
        <v>0</v>
      </c>
      <c r="F193" s="5">
        <f>4*$H193</f>
        <v>0</v>
      </c>
      <c r="G193" s="5">
        <f>2*$H193</f>
        <v>0</v>
      </c>
      <c r="I193" s="22" t="s">
        <v>626</v>
      </c>
      <c r="J193" s="2">
        <v>12</v>
      </c>
      <c r="L193" s="5">
        <f>Log[[#This Row],[Calories]]-(Log[[#This Row],[Fat Removed]]*Log[[#This Row],[Fat Calories]])</f>
        <v>0</v>
      </c>
      <c r="M193" s="5">
        <f>Log[[#This Row],[Fat]]*9</f>
        <v>0</v>
      </c>
      <c r="N193" s="74" t="b">
        <f>NOT(ISERROR(MATCH(A193,Index[Item],0)))</f>
        <v>1</v>
      </c>
    </row>
    <row r="194" spans="1:14" x14ac:dyDescent="0.3">
      <c r="A194" s="34" t="s">
        <v>621</v>
      </c>
      <c r="B194" s="5">
        <f>400*$H194</f>
        <v>0</v>
      </c>
      <c r="C194" s="5">
        <f>42*$H194</f>
        <v>0</v>
      </c>
      <c r="D194" s="5">
        <f>18*$H194</f>
        <v>0</v>
      </c>
      <c r="E194" s="5">
        <f>17*$H194</f>
        <v>0</v>
      </c>
      <c r="F194" s="5">
        <f>4*$H194</f>
        <v>0</v>
      </c>
      <c r="G194" s="5">
        <f>3*$H194</f>
        <v>0</v>
      </c>
      <c r="I194" s="22" t="s">
        <v>627</v>
      </c>
      <c r="J194" s="2">
        <v>12</v>
      </c>
      <c r="L194" s="5">
        <f>Log[[#This Row],[Calories]]-(Log[[#This Row],[Fat Removed]]*Log[[#This Row],[Fat Calories]])</f>
        <v>0</v>
      </c>
      <c r="M194" s="5">
        <f>Log[[#This Row],[Fat]]*9</f>
        <v>0</v>
      </c>
      <c r="N194" s="74" t="b">
        <f>NOT(ISERROR(MATCH(A194,Index[Item],0)))</f>
        <v>1</v>
      </c>
    </row>
    <row r="195" spans="1:14" x14ac:dyDescent="0.3">
      <c r="A195" s="34" t="s">
        <v>622</v>
      </c>
      <c r="B195" s="5">
        <f>210*$H195</f>
        <v>0</v>
      </c>
      <c r="C195" s="5">
        <f>2*$H195</f>
        <v>0</v>
      </c>
      <c r="D195" s="5">
        <f>23*$H195</f>
        <v>0</v>
      </c>
      <c r="E195" s="5">
        <f>0.5*$H195</f>
        <v>0</v>
      </c>
      <c r="F195" s="5">
        <f>0*$H195</f>
        <v>0</v>
      </c>
      <c r="G195" s="5">
        <f>1*$H195</f>
        <v>0</v>
      </c>
      <c r="I195" s="22" t="s">
        <v>443</v>
      </c>
      <c r="J195" s="2">
        <v>12</v>
      </c>
      <c r="L195" s="5">
        <f>Log[[#This Row],[Calories]]-(Log[[#This Row],[Fat Removed]]*Log[[#This Row],[Fat Calories]])</f>
        <v>0</v>
      </c>
      <c r="M195" s="5">
        <f>Log[[#This Row],[Fat]]*9</f>
        <v>0</v>
      </c>
      <c r="N195" s="74" t="b">
        <f>NOT(ISERROR(MATCH(A195,Index[Item],0)))</f>
        <v>1</v>
      </c>
    </row>
    <row r="196" spans="1:14" ht="37.5" x14ac:dyDescent="0.3">
      <c r="A196" s="34" t="s">
        <v>623</v>
      </c>
      <c r="B196" s="5">
        <f>230*$H196</f>
        <v>0</v>
      </c>
      <c r="C196" s="5">
        <f>3*$H196</f>
        <v>0</v>
      </c>
      <c r="D196" s="5">
        <f>19*$H196</f>
        <v>0</v>
      </c>
      <c r="E196" s="5">
        <f>0.5*$H196</f>
        <v>0</v>
      </c>
      <c r="F196" s="5">
        <f t="shared" ref="F196" si="27">0.5*$H196</f>
        <v>0</v>
      </c>
      <c r="G196" s="5">
        <f>1*$H196</f>
        <v>0</v>
      </c>
      <c r="I196" s="22" t="s">
        <v>443</v>
      </c>
      <c r="J196" s="2">
        <v>12</v>
      </c>
      <c r="L196" s="5">
        <f>Log[[#This Row],[Calories]]-(Log[[#This Row],[Fat Removed]]*Log[[#This Row],[Fat Calories]])</f>
        <v>0</v>
      </c>
      <c r="M196" s="5">
        <f>Log[[#This Row],[Fat]]*9</f>
        <v>0</v>
      </c>
      <c r="N196" s="74" t="b">
        <f>NOT(ISERROR(MATCH(A196,Index[Item],0)))</f>
        <v>1</v>
      </c>
    </row>
    <row r="197" spans="1:14" ht="37.5" x14ac:dyDescent="0.3">
      <c r="A197" s="34" t="s">
        <v>640</v>
      </c>
      <c r="B197" s="5">
        <f>120*$H197</f>
        <v>0</v>
      </c>
      <c r="C197" s="5">
        <f>3*$H197</f>
        <v>0</v>
      </c>
      <c r="D197" s="5">
        <f>11*$H197</f>
        <v>0</v>
      </c>
      <c r="E197" s="5">
        <f>0.5*$H197</f>
        <v>0</v>
      </c>
      <c r="F197" s="5">
        <f>0*$H197</f>
        <v>0</v>
      </c>
      <c r="G197" s="5">
        <f>1*$H197</f>
        <v>0</v>
      </c>
      <c r="I197" s="22" t="s">
        <v>443</v>
      </c>
      <c r="J197" s="2">
        <v>12</v>
      </c>
      <c r="L197" s="5">
        <f>Log[[#This Row],[Calories]]-(Log[[#This Row],[Fat Removed]]*Log[[#This Row],[Fat Calories]])</f>
        <v>0</v>
      </c>
      <c r="M197" s="5">
        <f>Log[[#This Row],[Fat]]*9</f>
        <v>0</v>
      </c>
      <c r="N197" s="74" t="b">
        <f>NOT(ISERROR(MATCH(A197,Index[Item],0)))</f>
        <v>1</v>
      </c>
    </row>
    <row r="198" spans="1:14" x14ac:dyDescent="0.3">
      <c r="A198" s="34" t="s">
        <v>429</v>
      </c>
      <c r="B198" s="5">
        <f>400*$H198</f>
        <v>0</v>
      </c>
      <c r="C198" s="5">
        <f>33*$H198</f>
        <v>0</v>
      </c>
      <c r="D198" s="5">
        <f>20*$H198</f>
        <v>0</v>
      </c>
      <c r="E198" s="5">
        <f>22*$H198</f>
        <v>0</v>
      </c>
      <c r="F198" s="5">
        <f>2*$H198</f>
        <v>0</v>
      </c>
      <c r="G198" s="5">
        <f>7*$H198</f>
        <v>0</v>
      </c>
      <c r="I198" s="22" t="s">
        <v>430</v>
      </c>
      <c r="J198" s="2">
        <v>12</v>
      </c>
      <c r="L198" s="5">
        <f>Log[[#This Row],[Calories]]-(Log[[#This Row],[Fat Removed]]*Log[[#This Row],[Fat Calories]])</f>
        <v>0</v>
      </c>
      <c r="M198" s="5">
        <f>Log[[#This Row],[Fat]]*9</f>
        <v>0</v>
      </c>
      <c r="N198" s="74" t="b">
        <f>NOT(ISERROR(MATCH(A198,Index[Item],0)))</f>
        <v>1</v>
      </c>
    </row>
    <row r="199" spans="1:14" x14ac:dyDescent="0.3">
      <c r="A199" s="34" t="s">
        <v>431</v>
      </c>
      <c r="B199" s="5">
        <f>400*$H199</f>
        <v>0</v>
      </c>
      <c r="C199" s="5">
        <f>39*$H199</f>
        <v>0</v>
      </c>
      <c r="D199" s="5">
        <f>21*$H199</f>
        <v>0</v>
      </c>
      <c r="E199" s="5">
        <f>14*$H199</f>
        <v>0</v>
      </c>
      <c r="F199" s="5">
        <f>1*$H199</f>
        <v>0</v>
      </c>
      <c r="G199" s="5">
        <f>5*$H199</f>
        <v>0</v>
      </c>
      <c r="I199" s="22" t="s">
        <v>430</v>
      </c>
      <c r="J199" s="2">
        <v>12</v>
      </c>
      <c r="L199" s="5">
        <f>Log[[#This Row],[Calories]]-(Log[[#This Row],[Fat Removed]]*Log[[#This Row],[Fat Calories]])</f>
        <v>0</v>
      </c>
      <c r="M199" s="5">
        <f>Log[[#This Row],[Fat]]*9</f>
        <v>0</v>
      </c>
      <c r="N199" s="74" t="b">
        <f>NOT(ISERROR(MATCH(A199,Index[Item],0)))</f>
        <v>1</v>
      </c>
    </row>
    <row r="200" spans="1:14" x14ac:dyDescent="0.3">
      <c r="A200" s="34" t="s">
        <v>432</v>
      </c>
      <c r="B200" s="5">
        <f>290*$H200</f>
        <v>0</v>
      </c>
      <c r="C200" s="5">
        <f>77*$H200</f>
        <v>0</v>
      </c>
      <c r="D200" s="5">
        <f>0*$H200</f>
        <v>0</v>
      </c>
      <c r="E200" s="5">
        <f>0*$H200</f>
        <v>0</v>
      </c>
      <c r="F200" s="5">
        <f>0*$H200</f>
        <v>0</v>
      </c>
      <c r="G200" s="5">
        <f>77*$H200</f>
        <v>0</v>
      </c>
      <c r="I200" s="22" t="s">
        <v>433</v>
      </c>
      <c r="J200" s="2">
        <v>12</v>
      </c>
      <c r="L200" s="5">
        <f>Log[[#This Row],[Calories]]-(Log[[#This Row],[Fat Removed]]*Log[[#This Row],[Fat Calories]])</f>
        <v>0</v>
      </c>
      <c r="M200" s="5">
        <f>Log[[#This Row],[Fat]]*9</f>
        <v>0</v>
      </c>
      <c r="N200" s="74" t="b">
        <f>NOT(ISERROR(MATCH(A200,Index[Item],0)))</f>
        <v>1</v>
      </c>
    </row>
    <row r="201" spans="1:14" x14ac:dyDescent="0.3">
      <c r="A201" s="34" t="s">
        <v>434</v>
      </c>
      <c r="B201" s="5">
        <f>740*$H201</f>
        <v>0</v>
      </c>
      <c r="C201" s="5">
        <f>50*$H201</f>
        <v>0</v>
      </c>
      <c r="D201" s="5">
        <f>46*$H201</f>
        <v>0</v>
      </c>
      <c r="E201" s="5">
        <f>32*$H201</f>
        <v>0</v>
      </c>
      <c r="F201" s="5">
        <f>2*$H201</f>
        <v>0</v>
      </c>
      <c r="G201" s="5">
        <f>11*$H201</f>
        <v>0</v>
      </c>
      <c r="J201" s="2">
        <v>12</v>
      </c>
      <c r="L201" s="5">
        <f>Log[[#This Row],[Calories]]-(Log[[#This Row],[Fat Removed]]*Log[[#This Row],[Fat Calories]])</f>
        <v>0</v>
      </c>
      <c r="M201" s="5">
        <f>Log[[#This Row],[Fat]]*9</f>
        <v>0</v>
      </c>
      <c r="N201" s="74" t="b">
        <f>NOT(ISERROR(MATCH(A201,Index[Item],0)))</f>
        <v>1</v>
      </c>
    </row>
    <row r="202" spans="1:14" x14ac:dyDescent="0.3">
      <c r="A202" s="34" t="s">
        <v>435</v>
      </c>
      <c r="B202" s="5">
        <f>510*$H202</f>
        <v>0</v>
      </c>
      <c r="C202" s="5">
        <f>138*$H202</f>
        <v>0</v>
      </c>
      <c r="D202" s="5">
        <f>0*$H202</f>
        <v>0</v>
      </c>
      <c r="E202" s="5">
        <f>0*$H202</f>
        <v>0</v>
      </c>
      <c r="F202" s="5">
        <f>0*$H202</f>
        <v>0</v>
      </c>
      <c r="G202" s="5">
        <f>138*$H202</f>
        <v>0</v>
      </c>
      <c r="J202" s="2">
        <v>12</v>
      </c>
      <c r="L202" s="5">
        <f>Log[[#This Row],[Calories]]-(Log[[#This Row],[Fat Removed]]*Log[[#This Row],[Fat Calories]])</f>
        <v>0</v>
      </c>
      <c r="M202" s="5">
        <f>Log[[#This Row],[Fat]]*9</f>
        <v>0</v>
      </c>
      <c r="N202" s="74" t="b">
        <f>NOT(ISERROR(MATCH(A202,Index[Item],0)))</f>
        <v>1</v>
      </c>
    </row>
    <row r="203" spans="1:14" ht="37.5" x14ac:dyDescent="0.3">
      <c r="A203" s="34" t="s">
        <v>436</v>
      </c>
      <c r="B203" s="5">
        <f>190*$H203</f>
        <v>0</v>
      </c>
      <c r="C203" s="5">
        <f>7*$H203</f>
        <v>0</v>
      </c>
      <c r="D203" s="5">
        <f>11*$H203</f>
        <v>0</v>
      </c>
      <c r="E203" s="5">
        <f>15*$H203</f>
        <v>0</v>
      </c>
      <c r="F203" s="5">
        <f>0*$H203</f>
        <v>0</v>
      </c>
      <c r="G203" s="5">
        <f>0*$H203</f>
        <v>0</v>
      </c>
      <c r="J203" s="2">
        <v>12</v>
      </c>
      <c r="L203" s="5">
        <f>Log[[#This Row],[Calories]]-(Log[[#This Row],[Fat Removed]]*Log[[#This Row],[Fat Calories]])</f>
        <v>0</v>
      </c>
      <c r="M203" s="5">
        <f>Log[[#This Row],[Fat]]*9</f>
        <v>0</v>
      </c>
      <c r="N203" s="74" t="b">
        <f>NOT(ISERROR(MATCH(A203,Index[Item],0)))</f>
        <v>1</v>
      </c>
    </row>
    <row r="204" spans="1:14" x14ac:dyDescent="0.3">
      <c r="A204" s="34" t="s">
        <v>437</v>
      </c>
      <c r="B204" s="5">
        <f>60*$H204</f>
        <v>0</v>
      </c>
      <c r="C204" s="5">
        <f>12*$H204</f>
        <v>0</v>
      </c>
      <c r="D204" s="5">
        <f>1*$H204</f>
        <v>0</v>
      </c>
      <c r="E204" s="5">
        <f t="shared" ref="E204:F207" si="28">0*$H204</f>
        <v>0</v>
      </c>
      <c r="F204" s="5">
        <f t="shared" si="28"/>
        <v>0</v>
      </c>
      <c r="G204" s="5">
        <f>10*$H204</f>
        <v>0</v>
      </c>
      <c r="J204" s="2">
        <v>12</v>
      </c>
      <c r="L204" s="5">
        <f>Log[[#This Row],[Calories]]-(Log[[#This Row],[Fat Removed]]*Log[[#This Row],[Fat Calories]])</f>
        <v>0</v>
      </c>
      <c r="M204" s="5">
        <f>Log[[#This Row],[Fat]]*9</f>
        <v>0</v>
      </c>
      <c r="N204" s="74" t="b">
        <f>NOT(ISERROR(MATCH(A204,Index[Item],0)))</f>
        <v>1</v>
      </c>
    </row>
    <row r="205" spans="1:14" ht="37.5" x14ac:dyDescent="0.3">
      <c r="A205" s="34" t="s">
        <v>438</v>
      </c>
      <c r="B205" s="5">
        <f>220*$H205</f>
        <v>0</v>
      </c>
      <c r="C205" s="5">
        <f>5*$H205</f>
        <v>0</v>
      </c>
      <c r="D205" s="5">
        <f>22*$H205</f>
        <v>0</v>
      </c>
      <c r="E205" s="5">
        <f t="shared" si="28"/>
        <v>0</v>
      </c>
      <c r="F205" s="5">
        <f t="shared" si="28"/>
        <v>0</v>
      </c>
      <c r="G205" s="5">
        <f>5*$H205</f>
        <v>0</v>
      </c>
      <c r="J205" s="2">
        <v>12</v>
      </c>
      <c r="L205" s="5">
        <f>Log[[#This Row],[Calories]]-(Log[[#This Row],[Fat Removed]]*Log[[#This Row],[Fat Calories]])</f>
        <v>0</v>
      </c>
      <c r="M205" s="5">
        <f>Log[[#This Row],[Fat]]*9</f>
        <v>0</v>
      </c>
      <c r="N205" s="74" t="b">
        <f>NOT(ISERROR(MATCH(A205,Index[Item],0)))</f>
        <v>1</v>
      </c>
    </row>
    <row r="206" spans="1:14" ht="37.5" x14ac:dyDescent="0.3">
      <c r="A206" s="34" t="s">
        <v>442</v>
      </c>
      <c r="B206" s="5">
        <f>150*$H206</f>
        <v>0</v>
      </c>
      <c r="C206" s="5">
        <f>0*$H206</f>
        <v>0</v>
      </c>
      <c r="D206" s="5">
        <f>17*$H206</f>
        <v>0</v>
      </c>
      <c r="E206" s="5">
        <f t="shared" si="28"/>
        <v>0</v>
      </c>
      <c r="F206" s="5">
        <f t="shared" si="28"/>
        <v>0</v>
      </c>
      <c r="G206" s="5">
        <f>0*$H206</f>
        <v>0</v>
      </c>
      <c r="I206" s="22" t="s">
        <v>443</v>
      </c>
      <c r="J206" s="2">
        <v>12</v>
      </c>
      <c r="L206" s="5">
        <f>Log[[#This Row],[Calories]]-(Log[[#This Row],[Fat Removed]]*Log[[#This Row],[Fat Calories]])</f>
        <v>0</v>
      </c>
      <c r="M206" s="5">
        <f>Log[[#This Row],[Fat]]*9</f>
        <v>0</v>
      </c>
      <c r="N206" s="74" t="b">
        <f>NOT(ISERROR(MATCH(A206,Index[Item],0)))</f>
        <v>1</v>
      </c>
    </row>
    <row r="207" spans="1:14" ht="37.5" x14ac:dyDescent="0.3">
      <c r="A207" s="34" t="s">
        <v>444</v>
      </c>
      <c r="B207" s="5">
        <f>20*$H207</f>
        <v>0</v>
      </c>
      <c r="C207" s="5">
        <f>3*$H207</f>
        <v>0</v>
      </c>
      <c r="D207" s="5">
        <f>1*$H207</f>
        <v>0</v>
      </c>
      <c r="E207" s="5">
        <f t="shared" si="28"/>
        <v>0</v>
      </c>
      <c r="F207" s="5">
        <f t="shared" si="28"/>
        <v>0</v>
      </c>
      <c r="G207" s="5">
        <f>1*$H207</f>
        <v>0</v>
      </c>
      <c r="I207" s="22" t="s">
        <v>443</v>
      </c>
      <c r="J207" s="2">
        <v>12</v>
      </c>
      <c r="L207" s="5">
        <f>Log[[#This Row],[Calories]]-(Log[[#This Row],[Fat Removed]]*Log[[#This Row],[Fat Calories]])</f>
        <v>0</v>
      </c>
      <c r="M207" s="5">
        <f>Log[[#This Row],[Fat]]*9</f>
        <v>0</v>
      </c>
      <c r="N207" s="74" t="b">
        <f>NOT(ISERROR(MATCH(A207,Index[Item],0)))</f>
        <v>1</v>
      </c>
    </row>
    <row r="208" spans="1:14" x14ac:dyDescent="0.3">
      <c r="A208" s="34" t="s">
        <v>445</v>
      </c>
      <c r="B208" s="5">
        <f>2410*$H208</f>
        <v>0</v>
      </c>
      <c r="C208" s="5">
        <f>258*$H208</f>
        <v>0</v>
      </c>
      <c r="D208" s="5">
        <f>104*$H208</f>
        <v>0</v>
      </c>
      <c r="E208" s="5">
        <f>114*$H208</f>
        <v>0</v>
      </c>
      <c r="F208" s="5">
        <f>15*$H208</f>
        <v>0</v>
      </c>
      <c r="G208" s="5">
        <f>17*$H208</f>
        <v>0</v>
      </c>
      <c r="J208" s="2">
        <v>12</v>
      </c>
      <c r="L208" s="5">
        <f>Log[[#This Row],[Calories]]-(Log[[#This Row],[Fat Removed]]*Log[[#This Row],[Fat Calories]])</f>
        <v>0</v>
      </c>
      <c r="M208" s="5">
        <f>Log[[#This Row],[Fat]]*9</f>
        <v>0</v>
      </c>
      <c r="N208" s="74" t="b">
        <f>NOT(ISERROR(MATCH(A208,Index[Item],0)))</f>
        <v>1</v>
      </c>
    </row>
    <row r="209" spans="1:14" ht="56.25" x14ac:dyDescent="0.3">
      <c r="A209" s="34" t="s">
        <v>446</v>
      </c>
      <c r="B209" s="5">
        <f>300*$H209</f>
        <v>0</v>
      </c>
      <c r="C209" s="5">
        <f>37*$H209</f>
        <v>0</v>
      </c>
      <c r="D209" s="5">
        <f>11*$H209</f>
        <v>0</v>
      </c>
      <c r="E209" s="5">
        <f>13*$H209</f>
        <v>0</v>
      </c>
      <c r="F209" s="5">
        <f>4*$H209</f>
        <v>0</v>
      </c>
      <c r="G209" s="5">
        <f>9*$H209</f>
        <v>0</v>
      </c>
      <c r="I209" s="22" t="s">
        <v>447</v>
      </c>
      <c r="J209" s="2">
        <v>12</v>
      </c>
      <c r="L209" s="5">
        <f>Log[[#This Row],[Calories]]-(Log[[#This Row],[Fat Removed]]*Log[[#This Row],[Fat Calories]])</f>
        <v>0</v>
      </c>
      <c r="M209" s="5">
        <f>Log[[#This Row],[Fat]]*9</f>
        <v>0</v>
      </c>
      <c r="N209" s="74" t="b">
        <f>NOT(ISERROR(MATCH(A209,Index[Item],0)))</f>
        <v>1</v>
      </c>
    </row>
    <row r="210" spans="1:14" x14ac:dyDescent="0.3">
      <c r="A210" s="34" t="s">
        <v>448</v>
      </c>
      <c r="B210" s="5">
        <f>530*$H210</f>
        <v>0</v>
      </c>
      <c r="C210" s="5">
        <f>55*$H210</f>
        <v>0</v>
      </c>
      <c r="D210" s="5">
        <f>20*$H210</f>
        <v>0</v>
      </c>
      <c r="E210" s="5">
        <f>30*$H210</f>
        <v>0</v>
      </c>
      <c r="F210" s="5">
        <f>3*$H210</f>
        <v>0</v>
      </c>
      <c r="G210" s="5">
        <f>3*$H210</f>
        <v>0</v>
      </c>
      <c r="J210" s="2">
        <v>12</v>
      </c>
      <c r="L210" s="5">
        <f>Log[[#This Row],[Calories]]-(Log[[#This Row],[Fat Removed]]*Log[[#This Row],[Fat Calories]])</f>
        <v>0</v>
      </c>
      <c r="M210" s="5">
        <f>Log[[#This Row],[Fat]]*9</f>
        <v>0</v>
      </c>
      <c r="N210" s="74" t="b">
        <f>NOT(ISERROR(MATCH(A210,Index[Item],0)))</f>
        <v>1</v>
      </c>
    </row>
    <row r="211" spans="1:14" x14ac:dyDescent="0.3">
      <c r="A211" s="34" t="s">
        <v>449</v>
      </c>
      <c r="B211" s="5">
        <f>350*$H211</f>
        <v>0</v>
      </c>
      <c r="C211" s="5">
        <f>24*$H211</f>
        <v>0</v>
      </c>
      <c r="D211" s="5">
        <f>21*$H211</f>
        <v>0</v>
      </c>
      <c r="E211" s="5">
        <f>16*$H211</f>
        <v>0</v>
      </c>
      <c r="F211" s="5">
        <f>2.5*$H211</f>
        <v>0</v>
      </c>
      <c r="G211" s="5">
        <f>1*$H211</f>
        <v>0</v>
      </c>
      <c r="I211" s="22" t="s">
        <v>450</v>
      </c>
      <c r="J211" s="2">
        <v>12</v>
      </c>
      <c r="L211" s="5">
        <f>Log[[#This Row],[Calories]]-(Log[[#This Row],[Fat Removed]]*Log[[#This Row],[Fat Calories]])</f>
        <v>0</v>
      </c>
      <c r="M211" s="5">
        <f>Log[[#This Row],[Fat]]*9</f>
        <v>0</v>
      </c>
      <c r="N211" s="74" t="b">
        <f>NOT(ISERROR(MATCH(A211,Index[Item],0)))</f>
        <v>1</v>
      </c>
    </row>
    <row r="212" spans="1:14" ht="37.5" x14ac:dyDescent="0.3">
      <c r="A212" s="34" t="s">
        <v>451</v>
      </c>
      <c r="B212" s="5">
        <f>115*$H212</f>
        <v>0</v>
      </c>
      <c r="C212" s="5">
        <f>9*$H212</f>
        <v>0</v>
      </c>
      <c r="D212" s="5">
        <f>5.5*$H212</f>
        <v>0</v>
      </c>
      <c r="E212" s="5">
        <f>7.5*$H212</f>
        <v>0</v>
      </c>
      <c r="F212" s="5">
        <f>0.5*$H212</f>
        <v>0</v>
      </c>
      <c r="G212" s="5">
        <f>0.5*$H212</f>
        <v>0</v>
      </c>
      <c r="I212" s="22" t="s">
        <v>452</v>
      </c>
      <c r="J212" s="2">
        <v>12</v>
      </c>
      <c r="L212" s="5">
        <f>Log[[#This Row],[Calories]]-(Log[[#This Row],[Fat Removed]]*Log[[#This Row],[Fat Calories]])</f>
        <v>0</v>
      </c>
      <c r="M212" s="5">
        <f>Log[[#This Row],[Fat]]*9</f>
        <v>0</v>
      </c>
      <c r="N212" s="74" t="b">
        <f>NOT(ISERROR(MATCH(A212,Index[Item],0)))</f>
        <v>1</v>
      </c>
    </row>
    <row r="213" spans="1:14" ht="37.5" x14ac:dyDescent="0.3">
      <c r="A213" s="34" t="s">
        <v>453</v>
      </c>
      <c r="B213" s="5">
        <f>603.7*$H213</f>
        <v>0</v>
      </c>
      <c r="C213" s="5">
        <f>75.7*$H213</f>
        <v>0</v>
      </c>
      <c r="D213" s="5">
        <f>19.5*$H213</f>
        <v>0</v>
      </c>
      <c r="E213" s="5">
        <f>33*$H213</f>
        <v>0</v>
      </c>
      <c r="F213" s="5">
        <f>5.7*$H213</f>
        <v>0</v>
      </c>
      <c r="G213" s="5">
        <f>9.8*$H213</f>
        <v>0</v>
      </c>
      <c r="J213" s="2">
        <v>12</v>
      </c>
      <c r="L213" s="5">
        <f>Log[[#This Row],[Calories]]-(Log[[#This Row],[Fat Removed]]*Log[[#This Row],[Fat Calories]])</f>
        <v>0</v>
      </c>
      <c r="M213" s="5">
        <f>Log[[#This Row],[Fat]]*9</f>
        <v>0</v>
      </c>
      <c r="N213" s="74" t="b">
        <f>NOT(ISERROR(MATCH(A213,Index[Item],0)))</f>
        <v>1</v>
      </c>
    </row>
    <row r="214" spans="1:14" ht="37.5" x14ac:dyDescent="0.3">
      <c r="A214" s="34" t="s">
        <v>454</v>
      </c>
      <c r="B214" s="5">
        <f>160*$H214</f>
        <v>0</v>
      </c>
      <c r="C214" s="5">
        <f>24*$H214</f>
        <v>0</v>
      </c>
      <c r="D214" s="5">
        <f>5*$H214</f>
        <v>0</v>
      </c>
      <c r="E214" s="5">
        <f>5*$H214</f>
        <v>0</v>
      </c>
      <c r="F214" s="5">
        <f>1*$H214</f>
        <v>0</v>
      </c>
      <c r="G214" s="5">
        <f>1*$H214</f>
        <v>0</v>
      </c>
      <c r="I214" s="22" t="s">
        <v>455</v>
      </c>
      <c r="J214" s="2">
        <v>12</v>
      </c>
      <c r="L214" s="5">
        <f>Log[[#This Row],[Calories]]-(Log[[#This Row],[Fat Removed]]*Log[[#This Row],[Fat Calories]])</f>
        <v>0</v>
      </c>
      <c r="M214" s="5">
        <f>Log[[#This Row],[Fat]]*9</f>
        <v>0</v>
      </c>
      <c r="N214" s="74" t="b">
        <f>NOT(ISERROR(MATCH(A214,Index[Item],0)))</f>
        <v>1</v>
      </c>
    </row>
    <row r="215" spans="1:14" ht="37.5" x14ac:dyDescent="0.3">
      <c r="A215" s="34" t="s">
        <v>456</v>
      </c>
      <c r="B215" s="5">
        <f>150*$H215</f>
        <v>0</v>
      </c>
      <c r="C215" s="5">
        <f>23*$H215</f>
        <v>0</v>
      </c>
      <c r="D215" s="5">
        <f>4.5*$H215</f>
        <v>0</v>
      </c>
      <c r="E215" s="5">
        <f>4*$H215</f>
        <v>0</v>
      </c>
      <c r="F215" s="5">
        <f>1*$H215</f>
        <v>0</v>
      </c>
      <c r="G215" s="5">
        <f>1*$H215</f>
        <v>0</v>
      </c>
      <c r="I215" s="22" t="s">
        <v>455</v>
      </c>
      <c r="J215" s="2">
        <v>12</v>
      </c>
      <c r="L215" s="5">
        <f>Log[[#This Row],[Calories]]-(Log[[#This Row],[Fat Removed]]*Log[[#This Row],[Fat Calories]])</f>
        <v>0</v>
      </c>
      <c r="M215" s="5">
        <f>Log[[#This Row],[Fat]]*9</f>
        <v>0</v>
      </c>
      <c r="N215" s="74" t="b">
        <f>NOT(ISERROR(MATCH(A215,Index[Item],0)))</f>
        <v>1</v>
      </c>
    </row>
    <row r="216" spans="1:14" x14ac:dyDescent="0.3">
      <c r="A216" s="34" t="s">
        <v>427</v>
      </c>
      <c r="B216" s="5">
        <f>120*$H216</f>
        <v>0</v>
      </c>
      <c r="C216" s="5">
        <f>11*$H216</f>
        <v>0</v>
      </c>
      <c r="D216" s="5">
        <f>8*$H216</f>
        <v>0</v>
      </c>
      <c r="E216" s="5">
        <f>2*$H216</f>
        <v>0</v>
      </c>
      <c r="F216" s="5">
        <f>0*$H216</f>
        <v>0</v>
      </c>
      <c r="G216" s="5">
        <f>10*$H216</f>
        <v>0</v>
      </c>
      <c r="I216" s="22" t="s">
        <v>397</v>
      </c>
      <c r="J216" s="2">
        <v>12</v>
      </c>
      <c r="L216" s="5">
        <f>Log[[#This Row],[Calories]]-(Log[[#This Row],[Fat Removed]]*Log[[#This Row],[Fat Calories]])</f>
        <v>0</v>
      </c>
      <c r="M216" s="5">
        <f>Log[[#This Row],[Fat]]*9</f>
        <v>0</v>
      </c>
      <c r="N216" s="74" t="b">
        <f>NOT(ISERROR(MATCH(A216,Index[Item],0)))</f>
        <v>1</v>
      </c>
    </row>
    <row r="217" spans="1:14" ht="37.5" x14ac:dyDescent="0.3">
      <c r="A217" s="34" t="s">
        <v>561</v>
      </c>
      <c r="B217" s="5">
        <f>420*$H217</f>
        <v>0</v>
      </c>
      <c r="C217" s="5">
        <f>54*$H217</f>
        <v>0</v>
      </c>
      <c r="D217" s="5">
        <f>19*$H217</f>
        <v>0</v>
      </c>
      <c r="E217" s="5">
        <f>7*$H217</f>
        <v>0</v>
      </c>
      <c r="F217" s="5">
        <f>2*$H217</f>
        <v>0</v>
      </c>
      <c r="G217" s="5">
        <f>33*$H217</f>
        <v>0</v>
      </c>
      <c r="J217" s="2">
        <v>12</v>
      </c>
      <c r="L217" s="5">
        <f>Log[[#This Row],[Calories]]-(Log[[#This Row],[Fat Removed]]*Log[[#This Row],[Fat Calories]])</f>
        <v>0</v>
      </c>
      <c r="M217" s="5">
        <f>Log[[#This Row],[Fat]]*9</f>
        <v>0</v>
      </c>
      <c r="N217" s="74" t="b">
        <f>NOT(ISERROR(MATCH(A217,Index[Item],0)))</f>
        <v>1</v>
      </c>
    </row>
    <row r="218" spans="1:14" ht="37.5" x14ac:dyDescent="0.3">
      <c r="A218" s="34" t="s">
        <v>646</v>
      </c>
      <c r="B218" s="5">
        <f>390*$H218</f>
        <v>0</v>
      </c>
      <c r="C218" s="5">
        <f>60*$H218</f>
        <v>0</v>
      </c>
      <c r="D218" s="5">
        <f>15*$H218</f>
        <v>0</v>
      </c>
      <c r="E218" s="5">
        <f>3*$H218</f>
        <v>0</v>
      </c>
      <c r="F218" s="5">
        <f>1*$H218</f>
        <v>0</v>
      </c>
      <c r="G218" s="5">
        <f>36*$H218</f>
        <v>0</v>
      </c>
      <c r="J218" s="2">
        <v>12</v>
      </c>
      <c r="L218" s="5">
        <f>Log[[#This Row],[Calories]]-(Log[[#This Row],[Fat Removed]]*Log[[#This Row],[Fat Calories]])</f>
        <v>0</v>
      </c>
      <c r="M218" s="5">
        <f>Log[[#This Row],[Fat]]*9</f>
        <v>0</v>
      </c>
      <c r="N218" s="74" t="b">
        <f>NOT(ISERROR(MATCH(A218,Index[Item],0)))</f>
        <v>1</v>
      </c>
    </row>
    <row r="219" spans="1:14" ht="37.5" x14ac:dyDescent="0.3">
      <c r="A219" s="34" t="s">
        <v>562</v>
      </c>
      <c r="B219" s="5">
        <f>450*$H219</f>
        <v>0</v>
      </c>
      <c r="C219" s="5">
        <f>61*$H219</f>
        <v>0</v>
      </c>
      <c r="D219" s="5">
        <f>21*$H219</f>
        <v>0</v>
      </c>
      <c r="E219" s="5">
        <f>5*$H219</f>
        <v>0</v>
      </c>
      <c r="F219" s="5">
        <f>2*$H219</f>
        <v>0</v>
      </c>
      <c r="G219" s="5">
        <f>39*$H219</f>
        <v>0</v>
      </c>
      <c r="J219" s="2">
        <v>12</v>
      </c>
      <c r="L219" s="5">
        <f>Log[[#This Row],[Calories]]-(Log[[#This Row],[Fat Removed]]*Log[[#This Row],[Fat Calories]])</f>
        <v>0</v>
      </c>
      <c r="M219" s="5">
        <f>Log[[#This Row],[Fat]]*9</f>
        <v>0</v>
      </c>
      <c r="N219" s="74" t="b">
        <f>NOT(ISERROR(MATCH(A219,Index[Item],0)))</f>
        <v>1</v>
      </c>
    </row>
    <row r="220" spans="1:14" x14ac:dyDescent="0.3">
      <c r="A220" s="34" t="s">
        <v>647</v>
      </c>
      <c r="B220" s="5">
        <f>1210*$H220</f>
        <v>0</v>
      </c>
      <c r="C220" s="5">
        <f>117*$H220</f>
        <v>0</v>
      </c>
      <c r="D220" s="5">
        <f>60*$H220</f>
        <v>0</v>
      </c>
      <c r="E220" s="5">
        <f>44*$H220</f>
        <v>0</v>
      </c>
      <c r="F220" s="5">
        <f>2*$H220</f>
        <v>0</v>
      </c>
      <c r="G220" s="5">
        <f>11*$H220</f>
        <v>0</v>
      </c>
      <c r="J220" s="2">
        <v>12</v>
      </c>
      <c r="L220" s="5">
        <f>Log[[#This Row],[Calories]]-(Log[[#This Row],[Fat Removed]]*Log[[#This Row],[Fat Calories]])</f>
        <v>0</v>
      </c>
      <c r="M220" s="5">
        <f>Log[[#This Row],[Fat]]*9</f>
        <v>0</v>
      </c>
      <c r="N220" s="74" t="b">
        <f>NOT(ISERROR(MATCH(A220,Index[Item],0)))</f>
        <v>1</v>
      </c>
    </row>
    <row r="221" spans="1:14" x14ac:dyDescent="0.3">
      <c r="A221" s="34" t="s">
        <v>641</v>
      </c>
      <c r="B221" s="5">
        <f>590*$H221</f>
        <v>0</v>
      </c>
      <c r="C221" s="5">
        <f>65*$H221</f>
        <v>0</v>
      </c>
      <c r="D221" s="5">
        <f>32*$H221</f>
        <v>0</v>
      </c>
      <c r="E221" s="5">
        <f>9*$H221</f>
        <v>0</v>
      </c>
      <c r="F221" s="5">
        <f>2*$H221</f>
        <v>0</v>
      </c>
      <c r="G221" s="5">
        <f>23*$H221</f>
        <v>0</v>
      </c>
      <c r="J221" s="2">
        <v>12</v>
      </c>
      <c r="L221" s="5">
        <f>Log[[#This Row],[Calories]]-(Log[[#This Row],[Fat Removed]]*Log[[#This Row],[Fat Calories]])</f>
        <v>0</v>
      </c>
      <c r="M221" s="5">
        <f>Log[[#This Row],[Fat]]*9</f>
        <v>0</v>
      </c>
      <c r="N221" s="74" t="b">
        <f>NOT(ISERROR(MATCH(A221,Index[Item],0)))</f>
        <v>1</v>
      </c>
    </row>
    <row r="222" spans="1:14" ht="37.5" x14ac:dyDescent="0.3">
      <c r="A222" s="34" t="s">
        <v>642</v>
      </c>
      <c r="B222" s="5">
        <f>261*$H222</f>
        <v>0</v>
      </c>
      <c r="C222" s="5">
        <f>39*$H222</f>
        <v>0</v>
      </c>
      <c r="D222" s="5">
        <f>11*$H222</f>
        <v>0</v>
      </c>
      <c r="E222" s="5">
        <f>4*$H222</f>
        <v>0</v>
      </c>
      <c r="F222" s="5">
        <f t="shared" ref="F222" si="29">2*$H222</f>
        <v>0</v>
      </c>
      <c r="G222" s="5">
        <f>27*$H222</f>
        <v>0</v>
      </c>
      <c r="J222" s="2">
        <v>12</v>
      </c>
      <c r="L222" s="5">
        <f>Log[[#This Row],[Calories]]-(Log[[#This Row],[Fat Removed]]*Log[[#This Row],[Fat Calories]])</f>
        <v>0</v>
      </c>
      <c r="M222" s="5">
        <f>Log[[#This Row],[Fat]]*9</f>
        <v>0</v>
      </c>
      <c r="N222" s="74" t="b">
        <f>NOT(ISERROR(MATCH(A222,Index[Item],0)))</f>
        <v>1</v>
      </c>
    </row>
    <row r="223" spans="1:14" ht="52.5" x14ac:dyDescent="0.4">
      <c r="B223" s="5"/>
      <c r="C223" s="5"/>
      <c r="D223" s="5"/>
      <c r="E223" s="5"/>
      <c r="F223" s="5"/>
      <c r="G223" s="67" t="s">
        <v>458</v>
      </c>
      <c r="J223" s="2">
        <v>12.01</v>
      </c>
      <c r="L223" s="5"/>
      <c r="M223" s="5"/>
      <c r="N223" s="74" t="b">
        <f>NOT(ISERROR(MATCH(A223,Index[Item],0)))</f>
        <v>0</v>
      </c>
    </row>
    <row r="224" spans="1:14" ht="37.5" x14ac:dyDescent="0.3">
      <c r="A224" s="34" t="s">
        <v>459</v>
      </c>
      <c r="B224" s="5">
        <f>140*$H224</f>
        <v>0</v>
      </c>
      <c r="C224" s="5">
        <f>33*$H224</f>
        <v>0</v>
      </c>
      <c r="D224" s="5">
        <f t="shared" ref="D224:F241" si="30">0*$H224</f>
        <v>0</v>
      </c>
      <c r="E224" s="5">
        <f t="shared" si="30"/>
        <v>0</v>
      </c>
      <c r="F224" s="5">
        <f t="shared" si="30"/>
        <v>0</v>
      </c>
      <c r="G224" s="5">
        <f>33*$H224</f>
        <v>0</v>
      </c>
      <c r="I224" s="22" t="s">
        <v>460</v>
      </c>
      <c r="J224" s="2">
        <v>13</v>
      </c>
      <c r="L224" s="5">
        <f>Log[[#This Row],[Calories]]-(Log[[#This Row],[Fat Removed]]*Log[[#This Row],[Fat Calories]])</f>
        <v>0</v>
      </c>
      <c r="M224" s="5">
        <f>Log[[#This Row],[Fat]]*9</f>
        <v>0</v>
      </c>
      <c r="N224" s="74" t="b">
        <f>NOT(ISERROR(MATCH(A224,Index[Item],0)))</f>
        <v>1</v>
      </c>
    </row>
    <row r="225" spans="1:14" x14ac:dyDescent="0.3">
      <c r="A225" s="34" t="s">
        <v>461</v>
      </c>
      <c r="B225" s="5">
        <f>145*$H225</f>
        <v>0</v>
      </c>
      <c r="C225" s="5">
        <f>37*$H225</f>
        <v>0</v>
      </c>
      <c r="D225" s="5">
        <f t="shared" si="30"/>
        <v>0</v>
      </c>
      <c r="E225" s="5">
        <f t="shared" si="30"/>
        <v>0</v>
      </c>
      <c r="F225" s="5">
        <f t="shared" si="30"/>
        <v>0</v>
      </c>
      <c r="G225" s="5">
        <f>37*$H225</f>
        <v>0</v>
      </c>
      <c r="I225" s="22" t="s">
        <v>460</v>
      </c>
      <c r="J225" s="2">
        <v>13</v>
      </c>
      <c r="L225" s="5">
        <f>Log[[#This Row],[Calories]]-(Log[[#This Row],[Fat Removed]]*Log[[#This Row],[Fat Calories]])</f>
        <v>0</v>
      </c>
      <c r="M225" s="5">
        <f>Log[[#This Row],[Fat]]*9</f>
        <v>0</v>
      </c>
      <c r="N225" s="74" t="b">
        <f>NOT(ISERROR(MATCH(A225,Index[Item],0)))</f>
        <v>1</v>
      </c>
    </row>
    <row r="226" spans="1:14" x14ac:dyDescent="0.3">
      <c r="A226" s="34" t="s">
        <v>462</v>
      </c>
      <c r="B226" s="5">
        <f>270*$H226</f>
        <v>0</v>
      </c>
      <c r="C226" s="5">
        <f>72*$H226</f>
        <v>0</v>
      </c>
      <c r="D226" s="5">
        <f t="shared" si="30"/>
        <v>0</v>
      </c>
      <c r="E226" s="5">
        <f t="shared" si="30"/>
        <v>0</v>
      </c>
      <c r="F226" s="5">
        <f t="shared" si="30"/>
        <v>0</v>
      </c>
      <c r="G226" s="5">
        <f>71*$H226</f>
        <v>0</v>
      </c>
      <c r="I226" s="22" t="s">
        <v>463</v>
      </c>
      <c r="J226" s="2">
        <v>13</v>
      </c>
      <c r="L226" s="5">
        <f>Log[[#This Row],[Calories]]-(Log[[#This Row],[Fat Removed]]*Log[[#This Row],[Fat Calories]])</f>
        <v>0</v>
      </c>
      <c r="M226" s="5">
        <f>Log[[#This Row],[Fat]]*9</f>
        <v>0</v>
      </c>
      <c r="N226" s="74" t="b">
        <f>NOT(ISERROR(MATCH(A226,Index[Item],0)))</f>
        <v>1</v>
      </c>
    </row>
    <row r="227" spans="1:14" x14ac:dyDescent="0.3">
      <c r="A227" s="34" t="s">
        <v>464</v>
      </c>
      <c r="B227" s="5">
        <f>120*$H227</f>
        <v>0</v>
      </c>
      <c r="C227" s="5">
        <f>30*$H227</f>
        <v>0</v>
      </c>
      <c r="D227" s="5">
        <f t="shared" si="30"/>
        <v>0</v>
      </c>
      <c r="E227" s="5">
        <f t="shared" si="30"/>
        <v>0</v>
      </c>
      <c r="F227" s="5">
        <f t="shared" si="30"/>
        <v>0</v>
      </c>
      <c r="G227" s="5">
        <f>30*$H227</f>
        <v>0</v>
      </c>
      <c r="I227" s="22" t="s">
        <v>460</v>
      </c>
      <c r="J227" s="2">
        <v>13</v>
      </c>
      <c r="L227" s="5">
        <f>Log[[#This Row],[Calories]]-(Log[[#This Row],[Fat Removed]]*Log[[#This Row],[Fat Calories]])</f>
        <v>0</v>
      </c>
      <c r="M227" s="5">
        <f>Log[[#This Row],[Fat]]*9</f>
        <v>0</v>
      </c>
      <c r="N227" s="74" t="b">
        <f>NOT(ISERROR(MATCH(A227,Index[Item],0)))</f>
        <v>1</v>
      </c>
    </row>
    <row r="228" spans="1:14" x14ac:dyDescent="0.3">
      <c r="A228" s="34" t="s">
        <v>465</v>
      </c>
      <c r="B228" s="5">
        <f>200*$H228</f>
        <v>0</v>
      </c>
      <c r="C228" s="5">
        <f>50*$H228</f>
        <v>0</v>
      </c>
      <c r="D228" s="5">
        <f t="shared" si="30"/>
        <v>0</v>
      </c>
      <c r="E228" s="5">
        <f t="shared" si="30"/>
        <v>0</v>
      </c>
      <c r="F228" s="5">
        <f t="shared" si="30"/>
        <v>0</v>
      </c>
      <c r="G228" s="5">
        <f>50*$H228</f>
        <v>0</v>
      </c>
      <c r="I228" s="22" t="s">
        <v>463</v>
      </c>
      <c r="J228" s="2">
        <v>13</v>
      </c>
      <c r="L228" s="5">
        <f>Log[[#This Row],[Calories]]-(Log[[#This Row],[Fat Removed]]*Log[[#This Row],[Fat Calories]])</f>
        <v>0</v>
      </c>
      <c r="M228" s="5">
        <f>Log[[#This Row],[Fat]]*9</f>
        <v>0</v>
      </c>
      <c r="N228" s="74" t="b">
        <f>NOT(ISERROR(MATCH(A228,Index[Item],0)))</f>
        <v>1</v>
      </c>
    </row>
    <row r="229" spans="1:14" x14ac:dyDescent="0.3">
      <c r="A229" s="34" t="s">
        <v>466</v>
      </c>
      <c r="B229" s="5">
        <f>310*$H229</f>
        <v>0</v>
      </c>
      <c r="C229" s="5">
        <f>78*$H229</f>
        <v>0</v>
      </c>
      <c r="D229" s="5">
        <f t="shared" si="30"/>
        <v>0</v>
      </c>
      <c r="E229" s="5">
        <f t="shared" si="30"/>
        <v>0</v>
      </c>
      <c r="F229" s="5">
        <f t="shared" si="30"/>
        <v>0</v>
      </c>
      <c r="G229" s="5">
        <f>77*$H229</f>
        <v>0</v>
      </c>
      <c r="I229" s="22" t="s">
        <v>463</v>
      </c>
      <c r="J229" s="2">
        <v>13</v>
      </c>
      <c r="L229" s="5">
        <f>Log[[#This Row],[Calories]]-(Log[[#This Row],[Fat Removed]]*Log[[#This Row],[Fat Calories]])</f>
        <v>0</v>
      </c>
      <c r="M229" s="5">
        <f>Log[[#This Row],[Fat]]*9</f>
        <v>0</v>
      </c>
      <c r="N229" s="74" t="b">
        <f>NOT(ISERROR(MATCH(A229,Index[Item],0)))</f>
        <v>1</v>
      </c>
    </row>
    <row r="230" spans="1:14" x14ac:dyDescent="0.3">
      <c r="A230" s="34" t="s">
        <v>467</v>
      </c>
      <c r="B230" s="5">
        <f>230*$H230</f>
        <v>0</v>
      </c>
      <c r="C230" s="5">
        <f>64*$H230</f>
        <v>0</v>
      </c>
      <c r="D230" s="5">
        <f t="shared" ref="D230:F231" si="31">0*$H230</f>
        <v>0</v>
      </c>
      <c r="E230" s="5">
        <f t="shared" si="31"/>
        <v>0</v>
      </c>
      <c r="F230" s="5">
        <f t="shared" si="31"/>
        <v>0</v>
      </c>
      <c r="G230" s="5">
        <f>63*$H230</f>
        <v>0</v>
      </c>
      <c r="I230" s="22" t="s">
        <v>463</v>
      </c>
      <c r="J230" s="2">
        <v>13</v>
      </c>
      <c r="L230" s="5">
        <f>Log[[#This Row],[Calories]]-(Log[[#This Row],[Fat Removed]]*Log[[#This Row],[Fat Calories]])</f>
        <v>0</v>
      </c>
      <c r="M230" s="5">
        <f>Log[[#This Row],[Fat]]*9</f>
        <v>0</v>
      </c>
      <c r="N230" s="74" t="b">
        <f>NOT(ISERROR(MATCH(A230,Index[Item],0)))</f>
        <v>1</v>
      </c>
    </row>
    <row r="231" spans="1:14" x14ac:dyDescent="0.3">
      <c r="A231" s="34" t="s">
        <v>469</v>
      </c>
      <c r="B231" s="5">
        <f>270*$H231</f>
        <v>0</v>
      </c>
      <c r="C231" s="5">
        <f>73*$H231</f>
        <v>0</v>
      </c>
      <c r="D231" s="5">
        <f t="shared" si="31"/>
        <v>0</v>
      </c>
      <c r="E231" s="5">
        <f t="shared" si="31"/>
        <v>0</v>
      </c>
      <c r="F231" s="5">
        <f t="shared" si="31"/>
        <v>0</v>
      </c>
      <c r="G231" s="5">
        <f>72*$H231</f>
        <v>0</v>
      </c>
      <c r="I231" s="22" t="s">
        <v>463</v>
      </c>
      <c r="J231" s="2">
        <v>13</v>
      </c>
      <c r="L231" s="5">
        <f>Log[[#This Row],[Calories]]-(Log[[#This Row],[Fat Removed]]*Log[[#This Row],[Fat Calories]])</f>
        <v>0</v>
      </c>
      <c r="M231" s="5">
        <f>Log[[#This Row],[Fat]]*9</f>
        <v>0</v>
      </c>
      <c r="N231" s="74" t="b">
        <f>NOT(ISERROR(MATCH(A231,Index[Item],0)))</f>
        <v>1</v>
      </c>
    </row>
    <row r="232" spans="1:14" x14ac:dyDescent="0.3">
      <c r="A232" s="34" t="s">
        <v>468</v>
      </c>
      <c r="B232" s="5">
        <f>250*$H232</f>
        <v>0</v>
      </c>
      <c r="C232" s="5">
        <f>69*$H232</f>
        <v>0</v>
      </c>
      <c r="D232" s="5">
        <f t="shared" si="30"/>
        <v>0</v>
      </c>
      <c r="E232" s="5">
        <f t="shared" si="30"/>
        <v>0</v>
      </c>
      <c r="F232" s="5">
        <f t="shared" si="30"/>
        <v>0</v>
      </c>
      <c r="G232" s="5">
        <f>69*$H232</f>
        <v>0</v>
      </c>
      <c r="I232" s="22" t="s">
        <v>463</v>
      </c>
      <c r="J232" s="2">
        <v>13</v>
      </c>
      <c r="L232" s="5">
        <f>Log[[#This Row],[Calories]]-(Log[[#This Row],[Fat Removed]]*Log[[#This Row],[Fat Calories]])</f>
        <v>0</v>
      </c>
      <c r="M232" s="5">
        <f>Log[[#This Row],[Fat]]*9</f>
        <v>0</v>
      </c>
      <c r="N232" s="74" t="b">
        <f>NOT(ISERROR(MATCH(A232,Index[Item],0)))</f>
        <v>1</v>
      </c>
    </row>
    <row r="233" spans="1:14" ht="37.5" x14ac:dyDescent="0.3">
      <c r="A233" s="34" t="s">
        <v>615</v>
      </c>
      <c r="B233" s="5">
        <f>420*$H233</f>
        <v>0</v>
      </c>
      <c r="C233" s="5">
        <f>111*$H233</f>
        <v>0</v>
      </c>
      <c r="D233" s="5">
        <f>0*$H233</f>
        <v>0</v>
      </c>
      <c r="E233" s="5">
        <f t="shared" si="30"/>
        <v>0</v>
      </c>
      <c r="F233" s="5">
        <f t="shared" si="30"/>
        <v>0</v>
      </c>
      <c r="G233" s="5">
        <f>111*$H233</f>
        <v>0</v>
      </c>
      <c r="H233" s="5"/>
      <c r="I233" s="22" t="s">
        <v>616</v>
      </c>
      <c r="J233" s="2">
        <v>13</v>
      </c>
      <c r="L233" s="5">
        <f>Log[[#This Row],[Calories]]-(Log[[#This Row],[Fat Removed]]*Log[[#This Row],[Fat Calories]])</f>
        <v>0</v>
      </c>
      <c r="M233" s="5">
        <f>Log[[#This Row],[Fat]]*9</f>
        <v>0</v>
      </c>
      <c r="N233" s="74" t="b">
        <f>NOT(ISERROR(MATCH(A233,Index[Item],0)))</f>
        <v>1</v>
      </c>
    </row>
    <row r="234" spans="1:14" x14ac:dyDescent="0.3">
      <c r="A234" s="34" t="s">
        <v>470</v>
      </c>
      <c r="B234" s="5">
        <f>13*$H234</f>
        <v>0</v>
      </c>
      <c r="C234" s="5">
        <f>3.2*$H234</f>
        <v>0</v>
      </c>
      <c r="D234" s="5">
        <f>0.1*$H234</f>
        <v>0</v>
      </c>
      <c r="E234" s="5">
        <f t="shared" si="30"/>
        <v>0</v>
      </c>
      <c r="F234" s="5">
        <f t="shared" si="30"/>
        <v>0</v>
      </c>
      <c r="G234" s="5">
        <f>3.1*$H234</f>
        <v>0</v>
      </c>
      <c r="I234" s="22" t="s">
        <v>207</v>
      </c>
      <c r="J234" s="2">
        <v>13</v>
      </c>
      <c r="L234" s="5">
        <f>Log[[#This Row],[Calories]]-(Log[[#This Row],[Fat Removed]]*Log[[#This Row],[Fat Calories]])</f>
        <v>0</v>
      </c>
      <c r="M234" s="5">
        <f>Log[[#This Row],[Fat]]*9</f>
        <v>0</v>
      </c>
      <c r="N234" s="74" t="b">
        <f>NOT(ISERROR(MATCH(A234,Index[Item],0)))</f>
        <v>1</v>
      </c>
    </row>
    <row r="235" spans="1:14" ht="37.5" x14ac:dyDescent="0.3">
      <c r="A235" s="34" t="s">
        <v>471</v>
      </c>
      <c r="B235" s="5">
        <f>14*$H235</f>
        <v>0</v>
      </c>
      <c r="C235" s="5">
        <f>3.8*$H235</f>
        <v>0</v>
      </c>
      <c r="D235" s="5">
        <f>0*$H235</f>
        <v>0</v>
      </c>
      <c r="E235" s="5">
        <f t="shared" si="30"/>
        <v>0</v>
      </c>
      <c r="F235" s="5">
        <f t="shared" si="30"/>
        <v>0</v>
      </c>
      <c r="G235" s="5">
        <f>3.8*$H235</f>
        <v>0</v>
      </c>
      <c r="I235" s="22" t="s">
        <v>207</v>
      </c>
      <c r="J235" s="2">
        <v>13</v>
      </c>
      <c r="L235" s="5">
        <f>Log[[#This Row],[Calories]]-(Log[[#This Row],[Fat Removed]]*Log[[#This Row],[Fat Calories]])</f>
        <v>0</v>
      </c>
      <c r="M235" s="5">
        <f>Log[[#This Row],[Fat]]*9</f>
        <v>0</v>
      </c>
      <c r="N235" s="74" t="b">
        <f>NOT(ISERROR(MATCH(A235,Index[Item],0)))</f>
        <v>1</v>
      </c>
    </row>
    <row r="236" spans="1:14" x14ac:dyDescent="0.3">
      <c r="A236" s="34" t="s">
        <v>472</v>
      </c>
      <c r="B236" s="5">
        <f>13*$H236</f>
        <v>0</v>
      </c>
      <c r="C236" s="5">
        <f>3.2*$H236</f>
        <v>0</v>
      </c>
      <c r="D236" s="5">
        <f>0*$H236</f>
        <v>0</v>
      </c>
      <c r="E236" s="5">
        <f t="shared" si="30"/>
        <v>0</v>
      </c>
      <c r="F236" s="5">
        <f t="shared" si="30"/>
        <v>0</v>
      </c>
      <c r="G236" s="5">
        <f>3.1*$H236</f>
        <v>0</v>
      </c>
      <c r="I236" s="22" t="s">
        <v>207</v>
      </c>
      <c r="J236" s="2">
        <v>13</v>
      </c>
      <c r="L236" s="5">
        <f>Log[[#This Row],[Calories]]-(Log[[#This Row],[Fat Removed]]*Log[[#This Row],[Fat Calories]])</f>
        <v>0</v>
      </c>
      <c r="M236" s="5">
        <f>Log[[#This Row],[Fat]]*9</f>
        <v>0</v>
      </c>
      <c r="N236" s="74" t="b">
        <f>NOT(ISERROR(MATCH(A236,Index[Item],0)))</f>
        <v>1</v>
      </c>
    </row>
    <row r="237" spans="1:14" x14ac:dyDescent="0.3">
      <c r="A237" s="34" t="s">
        <v>473</v>
      </c>
      <c r="B237" s="5">
        <f>13*$H237</f>
        <v>0</v>
      </c>
      <c r="C237" s="5">
        <f>3.2*$H237</f>
        <v>0</v>
      </c>
      <c r="D237" s="5">
        <f>0*$H237</f>
        <v>0</v>
      </c>
      <c r="E237" s="5">
        <f t="shared" si="30"/>
        <v>0</v>
      </c>
      <c r="F237" s="5">
        <f t="shared" si="30"/>
        <v>0</v>
      </c>
      <c r="G237" s="5">
        <f>3.2*$H237</f>
        <v>0</v>
      </c>
      <c r="I237" s="22" t="s">
        <v>207</v>
      </c>
      <c r="J237" s="2">
        <v>13</v>
      </c>
      <c r="L237" s="5">
        <f>Log[[#This Row],[Calories]]-(Log[[#This Row],[Fat Removed]]*Log[[#This Row],[Fat Calories]])</f>
        <v>0</v>
      </c>
      <c r="M237" s="5">
        <f>Log[[#This Row],[Fat]]*9</f>
        <v>0</v>
      </c>
      <c r="N237" s="74" t="b">
        <f>NOT(ISERROR(MATCH(A237,Index[Item],0)))</f>
        <v>1</v>
      </c>
    </row>
    <row r="238" spans="1:14" ht="37.5" x14ac:dyDescent="0.3">
      <c r="A238" s="34" t="s">
        <v>474</v>
      </c>
      <c r="B238" s="5">
        <f>11*$H238</f>
        <v>0</v>
      </c>
      <c r="C238" s="5">
        <f>3*$H238</f>
        <v>0</v>
      </c>
      <c r="D238" s="5">
        <f>0*$H238</f>
        <v>0</v>
      </c>
      <c r="E238" s="5">
        <f t="shared" si="30"/>
        <v>0</v>
      </c>
      <c r="F238" s="5">
        <f t="shared" si="30"/>
        <v>0</v>
      </c>
      <c r="G238" s="5">
        <f>3*$H238</f>
        <v>0</v>
      </c>
      <c r="I238" s="22" t="s">
        <v>207</v>
      </c>
      <c r="J238" s="2">
        <v>13</v>
      </c>
      <c r="L238" s="5">
        <f>Log[[#This Row],[Calories]]-(Log[[#This Row],[Fat Removed]]*Log[[#This Row],[Fat Calories]])</f>
        <v>0</v>
      </c>
      <c r="M238" s="5">
        <f>Log[[#This Row],[Fat]]*9</f>
        <v>0</v>
      </c>
      <c r="N238" s="74" t="b">
        <f>NOT(ISERROR(MATCH(A238,Index[Item],0)))</f>
        <v>1</v>
      </c>
    </row>
    <row r="239" spans="1:14" x14ac:dyDescent="0.3">
      <c r="A239" s="34" t="s">
        <v>475</v>
      </c>
      <c r="B239" s="5">
        <f>290*$H239</f>
        <v>0</v>
      </c>
      <c r="C239" s="5">
        <f>77*$H239</f>
        <v>0</v>
      </c>
      <c r="D239" s="5">
        <f t="shared" si="30"/>
        <v>0</v>
      </c>
      <c r="E239" s="5">
        <f t="shared" si="30"/>
        <v>0</v>
      </c>
      <c r="F239" s="5">
        <f t="shared" si="30"/>
        <v>0</v>
      </c>
      <c r="G239" s="5">
        <f>77*$H239</f>
        <v>0</v>
      </c>
      <c r="I239" s="22" t="s">
        <v>463</v>
      </c>
      <c r="J239" s="2">
        <v>13</v>
      </c>
      <c r="L239" s="5">
        <f>Log[[#This Row],[Calories]]-(Log[[#This Row],[Fat Removed]]*Log[[#This Row],[Fat Calories]])</f>
        <v>0</v>
      </c>
      <c r="M239" s="5">
        <f>Log[[#This Row],[Fat]]*9</f>
        <v>0</v>
      </c>
      <c r="N239" s="74" t="b">
        <f>NOT(ISERROR(MATCH(A239,Index[Item],0)))</f>
        <v>1</v>
      </c>
    </row>
    <row r="240" spans="1:14" x14ac:dyDescent="0.3">
      <c r="A240" s="34" t="s">
        <v>476</v>
      </c>
      <c r="B240" s="5">
        <f>240*$H240</f>
        <v>0</v>
      </c>
      <c r="C240" s="5">
        <f>65*$H240</f>
        <v>0</v>
      </c>
      <c r="D240" s="5">
        <f t="shared" si="30"/>
        <v>0</v>
      </c>
      <c r="E240" s="5">
        <f t="shared" si="30"/>
        <v>0</v>
      </c>
      <c r="F240" s="5">
        <f t="shared" si="30"/>
        <v>0</v>
      </c>
      <c r="G240" s="5">
        <f>65*$H240</f>
        <v>0</v>
      </c>
      <c r="I240" s="22" t="s">
        <v>463</v>
      </c>
      <c r="J240" s="2">
        <v>13</v>
      </c>
      <c r="L240" s="5">
        <f>Log[[#This Row],[Calories]]-(Log[[#This Row],[Fat Removed]]*Log[[#This Row],[Fat Calories]])</f>
        <v>0</v>
      </c>
      <c r="M240" s="5">
        <f>Log[[#This Row],[Fat]]*9</f>
        <v>0</v>
      </c>
      <c r="N240" s="74" t="b">
        <f>NOT(ISERROR(MATCH(A240,Index[Item],0)))</f>
        <v>1</v>
      </c>
    </row>
    <row r="241" spans="1:14" x14ac:dyDescent="0.3">
      <c r="A241" s="34" t="s">
        <v>477</v>
      </c>
      <c r="B241" s="5">
        <f>100*$H241</f>
        <v>0</v>
      </c>
      <c r="C241" s="5">
        <f>27*$H241</f>
        <v>0</v>
      </c>
      <c r="D241" s="5">
        <f t="shared" si="30"/>
        <v>0</v>
      </c>
      <c r="E241" s="5">
        <f t="shared" si="30"/>
        <v>0</v>
      </c>
      <c r="F241" s="5">
        <f t="shared" si="30"/>
        <v>0</v>
      </c>
      <c r="G241" s="5">
        <f>26*$H241</f>
        <v>0</v>
      </c>
      <c r="I241" s="22" t="s">
        <v>463</v>
      </c>
      <c r="J241" s="2">
        <v>13</v>
      </c>
      <c r="L241" s="5">
        <f>Log[[#This Row],[Calories]]-(Log[[#This Row],[Fat Removed]]*Log[[#This Row],[Fat Calories]])</f>
        <v>0</v>
      </c>
      <c r="M241" s="5">
        <f>Log[[#This Row],[Fat]]*9</f>
        <v>0</v>
      </c>
      <c r="N241" s="74" t="b">
        <f>NOT(ISERROR(MATCH(A241,Index[Item],0)))</f>
        <v>1</v>
      </c>
    </row>
    <row r="242" spans="1:14" ht="56.25" x14ac:dyDescent="0.3">
      <c r="A242" s="34" t="s">
        <v>540</v>
      </c>
      <c r="B242" s="5">
        <f>630*$H242</f>
        <v>0</v>
      </c>
      <c r="C242" s="5">
        <f>73.5*$H242</f>
        <v>0</v>
      </c>
      <c r="D242" s="5">
        <f>30*$H242</f>
        <v>0</v>
      </c>
      <c r="E242" s="5">
        <f>16.5*$H242</f>
        <v>0</v>
      </c>
      <c r="F242" s="5">
        <f>0*$H242</f>
        <v>0</v>
      </c>
      <c r="G242" s="5">
        <f>72*$H242</f>
        <v>0</v>
      </c>
      <c r="I242" s="22" t="s">
        <v>479</v>
      </c>
      <c r="J242" s="2">
        <v>13</v>
      </c>
      <c r="L242" s="5">
        <f>Log[[#This Row],[Calories]]-(Log[[#This Row],[Fat Removed]]*Log[[#This Row],[Fat Calories]])</f>
        <v>0</v>
      </c>
      <c r="M242" s="5">
        <f>Log[[#This Row],[Fat]]*9</f>
        <v>0</v>
      </c>
      <c r="N242" s="74" t="b">
        <f>NOT(ISERROR(MATCH(A242,Index[Item],0)))</f>
        <v>1</v>
      </c>
    </row>
    <row r="243" spans="1:14" ht="26.25" x14ac:dyDescent="0.4">
      <c r="B243" s="5"/>
      <c r="C243" s="5"/>
      <c r="D243" s="5"/>
      <c r="E243" s="5"/>
      <c r="F243" s="5"/>
      <c r="G243" s="62" t="s">
        <v>480</v>
      </c>
      <c r="J243" s="2">
        <v>13.01</v>
      </c>
      <c r="L243" s="5"/>
      <c r="M243" s="5"/>
      <c r="N243" s="74" t="b">
        <f>NOT(ISERROR(MATCH(A243,Index[Item],0)))</f>
        <v>0</v>
      </c>
    </row>
    <row r="244" spans="1:14" x14ac:dyDescent="0.3">
      <c r="A244" s="34" t="s">
        <v>541</v>
      </c>
      <c r="B244" s="5"/>
      <c r="C244" s="5"/>
      <c r="D244" s="5"/>
      <c r="E244" s="5"/>
      <c r="F244" s="5"/>
      <c r="G244" s="5"/>
      <c r="J244" s="2">
        <v>14</v>
      </c>
      <c r="L244" s="5">
        <f>Log[[#This Row],[Calories]]-(Log[[#This Row],[Fat Removed]]*Log[[#This Row],[Fat Calories]])</f>
        <v>0</v>
      </c>
      <c r="M244" s="5">
        <f>Log[[#This Row],[Fat]]*9</f>
        <v>0</v>
      </c>
      <c r="N244" s="74" t="b">
        <f>NOT(ISERROR(MATCH(A244,Index[Item],0)))</f>
        <v>1</v>
      </c>
    </row>
    <row r="245" spans="1:14" x14ac:dyDescent="0.3">
      <c r="A245" s="34" t="s">
        <v>598</v>
      </c>
      <c r="B245" s="5">
        <f>24*$H245</f>
        <v>0</v>
      </c>
      <c r="C245" s="5">
        <f>4.6*$H245</f>
        <v>0</v>
      </c>
      <c r="D245" s="5">
        <f>0.5*$H245</f>
        <v>0</v>
      </c>
      <c r="E245" s="5">
        <f t="shared" ref="D245:F247" si="32">0*$H245</f>
        <v>0</v>
      </c>
      <c r="F245" s="5">
        <f>0*$H245</f>
        <v>0</v>
      </c>
      <c r="G245" s="5">
        <f>3.4*$H245</f>
        <v>0</v>
      </c>
      <c r="I245" s="22" t="s">
        <v>422</v>
      </c>
      <c r="J245" s="2">
        <v>14</v>
      </c>
      <c r="L245" s="5">
        <f>Log[[#This Row],[Calories]]-(Log[[#This Row],[Fat Removed]]*Log[[#This Row],[Fat Calories]])</f>
        <v>0</v>
      </c>
      <c r="M245" s="5">
        <f>Log[[#This Row],[Fat]]*9</f>
        <v>0</v>
      </c>
      <c r="N245" s="74" t="b">
        <f>NOT(ISERROR(MATCH(A245,Index[Item],0)))</f>
        <v>1</v>
      </c>
    </row>
    <row r="246" spans="1:14" x14ac:dyDescent="0.3">
      <c r="A246" s="34" t="s">
        <v>481</v>
      </c>
      <c r="B246" s="5">
        <f>Spice[[#Totals],[Calories]]*$H246</f>
        <v>14</v>
      </c>
      <c r="C246" s="5">
        <f>Spice[[#Totals],[Carbs]]*$H246</f>
        <v>3.6</v>
      </c>
      <c r="D246" s="5">
        <f>Spice[[#Totals],[Fat]]*$H246</f>
        <v>0.2</v>
      </c>
      <c r="E246" s="5">
        <f>Spice[[#Totals],[Protein]]*$H246</f>
        <v>2.4</v>
      </c>
      <c r="F246" s="5">
        <f>Spice[[#Totals],[Fiber]]*$H246</f>
        <v>1.2</v>
      </c>
      <c r="G246" s="5">
        <f>Spice[[#Totals],[Sugar]]*$H246</f>
        <v>0</v>
      </c>
      <c r="H246" s="2">
        <v>1</v>
      </c>
      <c r="I246" s="22" t="s">
        <v>482</v>
      </c>
      <c r="J246" s="2">
        <v>14</v>
      </c>
      <c r="L246" s="5">
        <f>Log[[#This Row],[Calories]]-(Log[[#This Row],[Fat Removed]]*Log[[#This Row],[Fat Calories]])</f>
        <v>14</v>
      </c>
      <c r="M246" s="5">
        <f>Log[[#This Row],[Fat]]*9</f>
        <v>1.8</v>
      </c>
      <c r="N246" s="74" t="b">
        <f>NOT(ISERROR(MATCH(A246,Index[Item],0)))</f>
        <v>1</v>
      </c>
    </row>
    <row r="247" spans="1:14" x14ac:dyDescent="0.3">
      <c r="A247" s="34" t="s">
        <v>483</v>
      </c>
      <c r="B247" s="5">
        <f>10*$H247</f>
        <v>10</v>
      </c>
      <c r="C247" s="5">
        <f>3*$H247</f>
        <v>3</v>
      </c>
      <c r="D247" s="5">
        <f t="shared" si="32"/>
        <v>0</v>
      </c>
      <c r="E247" s="5">
        <f t="shared" si="32"/>
        <v>0</v>
      </c>
      <c r="F247" s="5">
        <f t="shared" si="32"/>
        <v>0</v>
      </c>
      <c r="G247" s="5">
        <f>2*$H247</f>
        <v>2</v>
      </c>
      <c r="H247" s="2">
        <v>1</v>
      </c>
      <c r="I247" s="22" t="s">
        <v>484</v>
      </c>
      <c r="J247" s="2">
        <v>14</v>
      </c>
      <c r="L247" s="5">
        <f>Log[[#This Row],[Calories]]-(Log[[#This Row],[Fat Removed]]*Log[[#This Row],[Fat Calories]])</f>
        <v>10</v>
      </c>
      <c r="M247" s="5">
        <f>Log[[#This Row],[Fat]]*9</f>
        <v>0</v>
      </c>
      <c r="N247" s="74" t="b">
        <f>NOT(ISERROR(MATCH(A247,Index[Item],0)))</f>
        <v>1</v>
      </c>
    </row>
    <row r="248" spans="1:14" x14ac:dyDescent="0.3">
      <c r="A248" s="34" t="s">
        <v>34</v>
      </c>
      <c r="B248" s="5">
        <f>SUBTOTAL(109,Log[Calories])</f>
        <v>1453.3583333333331</v>
      </c>
      <c r="C248" s="5">
        <f>SUBTOTAL(109,Log[Carbs])</f>
        <v>90.005555555555546</v>
      </c>
      <c r="D248" s="5">
        <f>SUBTOTAL(109,Log[Fat])</f>
        <v>75.7</v>
      </c>
      <c r="E248" s="5">
        <f>SUBTOTAL(109,Log[Protein])</f>
        <v>110.48611111111113</v>
      </c>
      <c r="F248" s="5">
        <f>SUBTOTAL(109,Log[Fiber])</f>
        <v>12.234722222222221</v>
      </c>
      <c r="G248" s="5">
        <f>SUBTOTAL(109,Log[Sugar])</f>
        <v>21.454166666666666</v>
      </c>
      <c r="H248" s="5">
        <f>SUBTOTAL(109,Log[Servings])</f>
        <v>13</v>
      </c>
      <c r="I248" s="5"/>
      <c r="J248" s="5"/>
      <c r="K248" s="5">
        <f>SUBTOTAL(109,K2:K247)</f>
        <v>0</v>
      </c>
      <c r="L248" s="5">
        <f>SUBTOTAL(109,Log[Calorie Prediction])</f>
        <v>1453.3583333333331</v>
      </c>
      <c r="M248" s="5">
        <f>SUBTOTAL(109,Log[Fat Calories])</f>
        <v>681.3</v>
      </c>
    </row>
    <row r="249" spans="1:14" x14ac:dyDescent="0.3">
      <c r="G249" s="2" t="s">
        <v>542</v>
      </c>
      <c r="H249" s="2">
        <v>0</v>
      </c>
    </row>
    <row r="250" spans="1:14" x14ac:dyDescent="0.3">
      <c r="D250" s="2" t="s">
        <v>498</v>
      </c>
      <c r="E250" s="2">
        <f>Log[[#Totals],[Carbs]]-Log[[#Totals],[Fiber]]</f>
        <v>77.770833333333329</v>
      </c>
      <c r="H250" s="2" t="s">
        <v>485</v>
      </c>
      <c r="I250" s="65" t="s">
        <v>486</v>
      </c>
    </row>
    <row r="251" spans="1:14" x14ac:dyDescent="0.3">
      <c r="A251" s="34" t="s">
        <v>487</v>
      </c>
      <c r="B251" s="5" t="s">
        <v>488</v>
      </c>
      <c r="H251" s="2">
        <v>1</v>
      </c>
      <c r="I251" s="22" t="s">
        <v>489</v>
      </c>
    </row>
    <row r="252" spans="1:14" x14ac:dyDescent="0.3">
      <c r="A252" s="34" t="s">
        <v>490</v>
      </c>
      <c r="B252" s="5">
        <f>Log[[#Totals],[Calories]]-Log[[#Totals],[Calorie Prediction]]</f>
        <v>0</v>
      </c>
      <c r="H252" s="2">
        <v>2</v>
      </c>
      <c r="I252" s="22" t="s">
        <v>60</v>
      </c>
    </row>
    <row r="253" spans="1:14" x14ac:dyDescent="0.3">
      <c r="A253" s="34" t="s">
        <v>491</v>
      </c>
      <c r="B253" s="5">
        <f>Log[[#Totals],[Calorie Prediction]]</f>
        <v>1453.3583333333331</v>
      </c>
      <c r="H253" s="2">
        <v>3</v>
      </c>
      <c r="I253" s="22" t="s">
        <v>78</v>
      </c>
    </row>
    <row r="254" spans="1:14" x14ac:dyDescent="0.3">
      <c r="A254" s="34" t="s">
        <v>492</v>
      </c>
      <c r="B254" s="5">
        <f>Log[[#Totals],[Fat]]-(Log[[#Totals],[Fat Calories]]/9)</f>
        <v>0</v>
      </c>
      <c r="H254" s="2">
        <v>4</v>
      </c>
      <c r="I254" s="22" t="s">
        <v>92</v>
      </c>
    </row>
    <row r="255" spans="1:14" x14ac:dyDescent="0.3">
      <c r="A255" s="34" t="s">
        <v>493</v>
      </c>
      <c r="B255" s="5">
        <f>(Log[[#Totals],[Fat Calories]]/9)</f>
        <v>75.699999999999989</v>
      </c>
      <c r="H255" s="2">
        <v>5</v>
      </c>
      <c r="I255" s="22" t="s">
        <v>148</v>
      </c>
    </row>
    <row r="256" spans="1:14" x14ac:dyDescent="0.3">
      <c r="A256" s="34" t="s">
        <v>494</v>
      </c>
      <c r="B256" s="5">
        <f>Log[[#Totals],[Calories]]*0.8</f>
        <v>1162.6866666666665</v>
      </c>
      <c r="C256" s="2" t="s">
        <v>495</v>
      </c>
      <c r="H256" s="2">
        <v>6</v>
      </c>
      <c r="I256" s="22" t="s">
        <v>166</v>
      </c>
    </row>
    <row r="257" spans="1:9" ht="37.5" x14ac:dyDescent="0.3">
      <c r="A257" s="34" t="s">
        <v>496</v>
      </c>
      <c r="B257" s="5">
        <f>Log[[#Totals],[Calorie Prediction]]*0.8</f>
        <v>1162.6866666666665</v>
      </c>
      <c r="H257" s="2">
        <v>7</v>
      </c>
      <c r="I257" s="22" t="s">
        <v>497</v>
      </c>
    </row>
    <row r="258" spans="1:9" ht="37.5" x14ac:dyDescent="0.3">
      <c r="A258" s="34" t="s">
        <v>498</v>
      </c>
      <c r="B258" s="5">
        <f>Log[[#Totals],[Carbs]]-Log[[#Totals],[Fiber]]</f>
        <v>77.770833333333329</v>
      </c>
      <c r="H258" s="2">
        <v>8</v>
      </c>
      <c r="I258" s="22" t="s">
        <v>499</v>
      </c>
    </row>
    <row r="259" spans="1:9" x14ac:dyDescent="0.3">
      <c r="B259" s="5"/>
      <c r="H259" s="2">
        <v>9</v>
      </c>
      <c r="I259" s="22" t="s">
        <v>346</v>
      </c>
    </row>
    <row r="260" spans="1:9" x14ac:dyDescent="0.3">
      <c r="A260" s="35" t="s">
        <v>500</v>
      </c>
      <c r="B260" s="5">
        <f>(16*B261)/12</f>
        <v>20</v>
      </c>
      <c r="H260" s="2">
        <v>10</v>
      </c>
      <c r="I260" s="22" t="s">
        <v>360</v>
      </c>
    </row>
    <row r="261" spans="1:9" x14ac:dyDescent="0.3">
      <c r="A261" s="35" t="s">
        <v>501</v>
      </c>
      <c r="B261" s="5">
        <v>15</v>
      </c>
      <c r="H261" s="2">
        <v>11</v>
      </c>
      <c r="I261" s="22" t="s">
        <v>375</v>
      </c>
    </row>
    <row r="262" spans="1:9" x14ac:dyDescent="0.3">
      <c r="H262" s="2">
        <v>12</v>
      </c>
      <c r="I262" s="22" t="s">
        <v>428</v>
      </c>
    </row>
    <row r="263" spans="1:9" x14ac:dyDescent="0.3">
      <c r="H263" s="2">
        <v>13</v>
      </c>
      <c r="I263" s="22" t="s">
        <v>458</v>
      </c>
    </row>
    <row r="264" spans="1:9" ht="21" customHeight="1" x14ac:dyDescent="0.3">
      <c r="H264" s="2">
        <v>14</v>
      </c>
      <c r="I264" s="22" t="s">
        <v>480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ACE27-6DEE-4921-89F5-74596114E55B}">
  <sheetPr codeName="Sheet7"/>
  <dimension ref="A1:J88"/>
  <sheetViews>
    <sheetView workbookViewId="0"/>
  </sheetViews>
  <sheetFormatPr defaultColWidth="9.140625" defaultRowHeight="18.75" x14ac:dyDescent="0.3"/>
  <cols>
    <col min="1" max="1" width="26.42578125" style="1" customWidth="1"/>
    <col min="2" max="6" width="13.85546875" style="2" customWidth="1"/>
    <col min="7" max="7" width="14.7109375" style="2" customWidth="1"/>
    <col min="8" max="8" width="21.140625" style="2" customWidth="1"/>
    <col min="9" max="9" width="39.42578125" style="2" customWidth="1"/>
    <col min="10" max="10" width="10.28515625" style="2" customWidth="1"/>
    <col min="11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x14ac:dyDescent="0.3">
      <c r="A2" s="1" t="s">
        <v>197</v>
      </c>
      <c r="B2" s="5">
        <f>350*$H2</f>
        <v>0</v>
      </c>
      <c r="C2" s="5">
        <f>0*$H2</f>
        <v>0</v>
      </c>
      <c r="D2" s="5">
        <f>31*$H2</f>
        <v>0</v>
      </c>
      <c r="E2" s="5">
        <f>17*$H2</f>
        <v>0</v>
      </c>
      <c r="F2" s="5">
        <f>0*$H2</f>
        <v>0</v>
      </c>
      <c r="G2" s="5">
        <f>0*$H2</f>
        <v>0</v>
      </c>
      <c r="H2" s="5"/>
      <c r="J2" s="68" t="b">
        <f>NOT(ISERROR(MATCH(A2,Index[Item],0)))</f>
        <v>1</v>
      </c>
    </row>
    <row r="3" spans="1:10" x14ac:dyDescent="0.3">
      <c r="A3" s="1" t="s">
        <v>198</v>
      </c>
      <c r="B3" s="5">
        <f>290*$H3</f>
        <v>0</v>
      </c>
      <c r="C3" s="5">
        <f>0*$H3</f>
        <v>0</v>
      </c>
      <c r="D3" s="5">
        <f>23*$H3</f>
        <v>0</v>
      </c>
      <c r="E3" s="5">
        <f>19*$H3</f>
        <v>0</v>
      </c>
      <c r="F3" s="5">
        <f>0*$H3</f>
        <v>0</v>
      </c>
      <c r="G3" s="5">
        <f>0*$H3</f>
        <v>0</v>
      </c>
      <c r="H3" s="5"/>
      <c r="J3" s="68" t="b">
        <f>NOT(ISERROR(MATCH(A3,Index[Item],0)))</f>
        <v>1</v>
      </c>
    </row>
    <row r="4" spans="1:10" x14ac:dyDescent="0.3">
      <c r="A4" s="1" t="s">
        <v>543</v>
      </c>
      <c r="B4" s="5">
        <f>28*$H4</f>
        <v>0</v>
      </c>
      <c r="C4" s="5">
        <f>6.7*$H4</f>
        <v>0</v>
      </c>
      <c r="D4" s="5">
        <f t="shared" ref="D4:D9" si="0">0.2*$H4</f>
        <v>0</v>
      </c>
      <c r="E4" s="5">
        <f>1.9*$H4</f>
        <v>0</v>
      </c>
      <c r="F4" s="5">
        <f>1.2*$H4</f>
        <v>0</v>
      </c>
      <c r="G4" s="5">
        <f>3.2*$H4</f>
        <v>0</v>
      </c>
      <c r="H4" s="5"/>
      <c r="I4" s="2" t="s">
        <v>96</v>
      </c>
      <c r="J4" s="68" t="b">
        <f>NOT(ISERROR(MATCH(A4,Index[Item],0)))</f>
        <v>1</v>
      </c>
    </row>
    <row r="5" spans="1:10" x14ac:dyDescent="0.3">
      <c r="A5" s="1" t="s">
        <v>27</v>
      </c>
      <c r="B5" s="5">
        <f>28*$H5</f>
        <v>0</v>
      </c>
      <c r="C5" s="5">
        <f>6.7*$H5</f>
        <v>0</v>
      </c>
      <c r="D5" s="5">
        <f t="shared" si="0"/>
        <v>0</v>
      </c>
      <c r="E5" s="5">
        <f>0.9*$H5</f>
        <v>0</v>
      </c>
      <c r="F5" s="5">
        <f>1.2*$H5</f>
        <v>0</v>
      </c>
      <c r="G5" s="5">
        <f>4.4*$H5</f>
        <v>0</v>
      </c>
      <c r="H5" s="5"/>
      <c r="I5" s="2" t="s">
        <v>96</v>
      </c>
      <c r="J5" s="68" t="b">
        <f>NOT(ISERROR(MATCH(A5,Index[Item],0)))</f>
        <v>1</v>
      </c>
    </row>
    <row r="6" spans="1:10" x14ac:dyDescent="0.3">
      <c r="A6" s="1" t="s">
        <v>102</v>
      </c>
      <c r="B6" s="5">
        <f>44*$H6</f>
        <v>0</v>
      </c>
      <c r="C6" s="5">
        <f>10*$H6</f>
        <v>0</v>
      </c>
      <c r="D6" s="5">
        <f t="shared" si="0"/>
        <v>0</v>
      </c>
      <c r="E6" s="5">
        <f>1.4*$H6</f>
        <v>0</v>
      </c>
      <c r="F6" s="5">
        <f>1.4*$H6</f>
        <v>0</v>
      </c>
      <c r="G6" s="5">
        <f>4.7*$H6</f>
        <v>0</v>
      </c>
      <c r="H6" s="5"/>
      <c r="I6" s="2" t="s">
        <v>96</v>
      </c>
      <c r="J6" s="68" t="b">
        <f>NOT(ISERROR(MATCH(A6,Index[Item],0)))</f>
        <v>1</v>
      </c>
    </row>
    <row r="7" spans="1:10" x14ac:dyDescent="0.3">
      <c r="A7" s="1" t="s">
        <v>98</v>
      </c>
      <c r="B7" s="5">
        <f>28*$H7</f>
        <v>0</v>
      </c>
      <c r="C7" s="5">
        <f>6.7*$H7</f>
        <v>0</v>
      </c>
      <c r="D7" s="5">
        <f t="shared" si="0"/>
        <v>0</v>
      </c>
      <c r="E7" s="5">
        <f>0.9*$H7</f>
        <v>0</v>
      </c>
      <c r="F7" s="5">
        <f>1.2*$H7</f>
        <v>0</v>
      </c>
      <c r="G7" s="5">
        <f>4.4*$H7</f>
        <v>0</v>
      </c>
      <c r="H7" s="5"/>
      <c r="I7" s="2" t="s">
        <v>96</v>
      </c>
      <c r="J7" s="68" t="b">
        <f>NOT(ISERROR(MATCH(A7,Index[Item],0)))</f>
        <v>1</v>
      </c>
    </row>
    <row r="8" spans="1:10" x14ac:dyDescent="0.3">
      <c r="A8" s="1" t="s">
        <v>99</v>
      </c>
      <c r="B8" s="5">
        <f>27*$H8</f>
        <v>0</v>
      </c>
      <c r="C8" s="5">
        <f>6.3*$H8</f>
        <v>0</v>
      </c>
      <c r="D8" s="5">
        <f t="shared" si="0"/>
        <v>0</v>
      </c>
      <c r="E8" s="5">
        <f>1*$H8</f>
        <v>0</v>
      </c>
      <c r="F8" s="5">
        <f>0.9*$H8</f>
        <v>0</v>
      </c>
      <c r="G8" s="5">
        <f>0*$H8</f>
        <v>0</v>
      </c>
      <c r="H8" s="5"/>
      <c r="I8" s="2" t="s">
        <v>96</v>
      </c>
      <c r="J8" s="68" t="b">
        <f>NOT(ISERROR(MATCH(A8,Index[Item],0)))</f>
        <v>1</v>
      </c>
    </row>
    <row r="9" spans="1:10" x14ac:dyDescent="0.3">
      <c r="A9" s="1" t="s">
        <v>95</v>
      </c>
      <c r="B9" s="5">
        <f>32*$H9</f>
        <v>0</v>
      </c>
      <c r="C9" s="5">
        <f>7.3*$H9</f>
        <v>0</v>
      </c>
      <c r="D9" s="5">
        <f t="shared" si="0"/>
        <v>0</v>
      </c>
      <c r="E9" s="5">
        <f>1.8*$H9</f>
        <v>0</v>
      </c>
      <c r="F9" s="5">
        <f t="shared" ref="F9" si="1">2.7*$H9</f>
        <v>0</v>
      </c>
      <c r="G9" s="5">
        <f>2.3*$H9</f>
        <v>0</v>
      </c>
      <c r="H9" s="5"/>
      <c r="I9" s="2" t="s">
        <v>96</v>
      </c>
      <c r="J9" s="68" t="b">
        <f>NOT(ISERROR(MATCH(A9,Index[Item],0)))</f>
        <v>1</v>
      </c>
    </row>
    <row r="10" spans="1:10" x14ac:dyDescent="0.3">
      <c r="A10" s="1" t="s">
        <v>101</v>
      </c>
      <c r="B10" s="5">
        <f>29*$H10</f>
        <v>0</v>
      </c>
      <c r="C10" s="5">
        <f>6.5*$H10</f>
        <v>0</v>
      </c>
      <c r="D10" s="5">
        <f>0.4*$H10</f>
        <v>0</v>
      </c>
      <c r="E10" s="5">
        <f>0.9*$H10</f>
        <v>0</v>
      </c>
      <c r="F10" s="5">
        <f>2.8*$H10</f>
        <v>0</v>
      </c>
      <c r="G10" s="5">
        <f>4.1*$H10</f>
        <v>0</v>
      </c>
      <c r="H10" s="5"/>
      <c r="I10" s="2" t="s">
        <v>96</v>
      </c>
      <c r="J10" s="68" t="b">
        <f>NOT(ISERROR(MATCH(A10,Index[Item],0)))</f>
        <v>1</v>
      </c>
    </row>
    <row r="11" spans="1:10" x14ac:dyDescent="0.3">
      <c r="A11" s="1" t="s">
        <v>100</v>
      </c>
      <c r="B11" s="5">
        <f>27*$H11</f>
        <v>0</v>
      </c>
      <c r="C11" s="5">
        <f>5.4*$H11</f>
        <v>0</v>
      </c>
      <c r="D11" s="5">
        <f>0.5*$H11</f>
        <v>0</v>
      </c>
      <c r="E11" s="5">
        <f>1.7*$H11</f>
        <v>0</v>
      </c>
      <c r="F11" s="5">
        <f>3.4*$H11</f>
        <v>0</v>
      </c>
      <c r="G11" s="5">
        <f>2*$H11</f>
        <v>0</v>
      </c>
      <c r="H11" s="5"/>
      <c r="I11" s="2" t="s">
        <v>96</v>
      </c>
      <c r="J11" s="68" t="b">
        <f>NOT(ISERROR(MATCH(A11,Index[Item],0)))</f>
        <v>1</v>
      </c>
    </row>
    <row r="12" spans="1:10" x14ac:dyDescent="0.3">
      <c r="A12" s="1" t="s">
        <v>282</v>
      </c>
      <c r="B12" s="5">
        <f>15*$H12</f>
        <v>0</v>
      </c>
      <c r="C12" s="5">
        <f>2*$H12</f>
        <v>0</v>
      </c>
      <c r="D12" s="5">
        <f>0*$H12</f>
        <v>0</v>
      </c>
      <c r="E12" s="5">
        <f>0*$H12</f>
        <v>0</v>
      </c>
      <c r="F12" s="5">
        <f t="shared" ref="F12:G14" si="2">0*$H12</f>
        <v>0</v>
      </c>
      <c r="G12" s="5">
        <f t="shared" si="2"/>
        <v>0</v>
      </c>
      <c r="H12" s="5"/>
      <c r="J12" s="68" t="b">
        <f>NOT(ISERROR(MATCH(A12,Index[Item],0)))</f>
        <v>1</v>
      </c>
    </row>
    <row r="13" spans="1:10" x14ac:dyDescent="0.3">
      <c r="A13" s="1" t="s">
        <v>283</v>
      </c>
      <c r="B13" s="5">
        <f>10*$H13</f>
        <v>0</v>
      </c>
      <c r="C13" s="5">
        <f>2*$H13</f>
        <v>0</v>
      </c>
      <c r="D13" s="5">
        <f>0*$H13</f>
        <v>0</v>
      </c>
      <c r="E13" s="5">
        <f>0*$H13</f>
        <v>0</v>
      </c>
      <c r="F13" s="5">
        <f t="shared" si="2"/>
        <v>0</v>
      </c>
      <c r="G13" s="5">
        <f t="shared" si="2"/>
        <v>0</v>
      </c>
      <c r="H13" s="5"/>
      <c r="J13" s="68" t="b">
        <f>NOT(ISERROR(MATCH(A13,Index[Item],0)))</f>
        <v>1</v>
      </c>
    </row>
    <row r="14" spans="1:10" ht="37.5" x14ac:dyDescent="0.3">
      <c r="A14" s="1" t="s">
        <v>287</v>
      </c>
      <c r="B14" s="5">
        <f>15*$H14</f>
        <v>0</v>
      </c>
      <c r="C14" s="5">
        <f>3*$H14</f>
        <v>0</v>
      </c>
      <c r="D14" s="5">
        <f t="shared" ref="D14:F14" si="3">0*$H14</f>
        <v>0</v>
      </c>
      <c r="E14" s="5">
        <f t="shared" si="3"/>
        <v>0</v>
      </c>
      <c r="F14" s="5">
        <f t="shared" si="3"/>
        <v>0</v>
      </c>
      <c r="G14" s="5">
        <f t="shared" si="2"/>
        <v>0</v>
      </c>
      <c r="H14" s="5"/>
      <c r="J14" s="68" t="b">
        <f>NOT(ISERROR(MATCH(A14,Index[Item],0)))</f>
        <v>1</v>
      </c>
    </row>
    <row r="15" spans="1:10" ht="37.5" x14ac:dyDescent="0.3">
      <c r="A15" s="1" t="s">
        <v>293</v>
      </c>
      <c r="B15" s="5">
        <f>25*$H15</f>
        <v>0</v>
      </c>
      <c r="C15" s="5">
        <f>4*$H15</f>
        <v>0</v>
      </c>
      <c r="D15" s="5">
        <f>1*$H15</f>
        <v>0</v>
      </c>
      <c r="E15" s="5">
        <f>0*$H15</f>
        <v>0</v>
      </c>
      <c r="F15" s="5">
        <f>0*$H15</f>
        <v>0</v>
      </c>
      <c r="G15" s="5">
        <f>1*$H15</f>
        <v>0</v>
      </c>
      <c r="H15" s="5"/>
      <c r="J15" s="68" t="b">
        <f>NOT(ISERROR(MATCH(A15,Index[Item],0)))</f>
        <v>1</v>
      </c>
    </row>
    <row r="16" spans="1:10" ht="37.5" x14ac:dyDescent="0.3">
      <c r="A16" s="1" t="s">
        <v>294</v>
      </c>
      <c r="B16" s="5">
        <f>15*$H16</f>
        <v>0</v>
      </c>
      <c r="C16" s="5">
        <f>3*$H16</f>
        <v>0</v>
      </c>
      <c r="D16" s="5">
        <f>0*$H16</f>
        <v>0</v>
      </c>
      <c r="E16" s="5">
        <f>1*$H16</f>
        <v>0</v>
      </c>
      <c r="F16" s="5">
        <f>1*$H16</f>
        <v>0</v>
      </c>
      <c r="G16" s="5">
        <f>2*$H16</f>
        <v>0</v>
      </c>
      <c r="H16" s="5"/>
      <c r="J16" s="68" t="b">
        <f>NOT(ISERROR(MATCH(A16,Index[Item],0)))</f>
        <v>1</v>
      </c>
    </row>
    <row r="17" spans="1:10" ht="37.5" x14ac:dyDescent="0.3">
      <c r="A17" s="1" t="s">
        <v>273</v>
      </c>
      <c r="B17" s="5">
        <f>100*$H17</f>
        <v>0</v>
      </c>
      <c r="C17" s="5">
        <f>15*$H17</f>
        <v>0</v>
      </c>
      <c r="D17" s="5">
        <f>2.5*$H17</f>
        <v>0</v>
      </c>
      <c r="E17" s="5">
        <f>5*$H17</f>
        <v>0</v>
      </c>
      <c r="F17" s="5">
        <f>5*$H17</f>
        <v>0</v>
      </c>
      <c r="G17" s="5">
        <f>0.5*$H17</f>
        <v>0</v>
      </c>
      <c r="H17" s="5"/>
      <c r="I17" s="2" t="s">
        <v>274</v>
      </c>
      <c r="J17" s="68" t="b">
        <f>NOT(ISERROR(MATCH(A17,Index[Item],0)))</f>
        <v>1</v>
      </c>
    </row>
    <row r="18" spans="1:10" ht="56.25" x14ac:dyDescent="0.3">
      <c r="A18" s="1" t="s">
        <v>277</v>
      </c>
      <c r="B18" s="5">
        <f>70*$H18</f>
        <v>0</v>
      </c>
      <c r="C18" s="5">
        <f>13*$H18</f>
        <v>0</v>
      </c>
      <c r="D18" s="5">
        <f>0.5*$H18</f>
        <v>0</v>
      </c>
      <c r="E18" s="5">
        <f>4*$H18</f>
        <v>0</v>
      </c>
      <c r="F18" s="5">
        <f>6*$H18</f>
        <v>0</v>
      </c>
      <c r="G18" s="5">
        <f>0.5*$H18</f>
        <v>0</v>
      </c>
      <c r="H18" s="5"/>
      <c r="I18" s="2" t="s">
        <v>278</v>
      </c>
      <c r="J18" s="68" t="b">
        <f>NOT(ISERROR(MATCH(A18,Index[Item],0)))</f>
        <v>1</v>
      </c>
    </row>
    <row r="19" spans="1:10" x14ac:dyDescent="0.3">
      <c r="A19" s="1" t="s">
        <v>268</v>
      </c>
      <c r="B19" s="5">
        <f>120*$H19</f>
        <v>0</v>
      </c>
      <c r="C19" s="5">
        <f>21*$H19</f>
        <v>0</v>
      </c>
      <c r="D19" s="5">
        <f>1.5*$H19</f>
        <v>0</v>
      </c>
      <c r="E19" s="5">
        <f>7*$H19</f>
        <v>0</v>
      </c>
      <c r="F19" s="5">
        <f>5*$H19</f>
        <v>0</v>
      </c>
      <c r="G19" s="5">
        <f>1*$H19</f>
        <v>0</v>
      </c>
      <c r="H19" s="5"/>
      <c r="I19" s="2" t="s">
        <v>269</v>
      </c>
      <c r="J19" s="68" t="b">
        <f>NOT(ISERROR(MATCH(A19,Index[Item],0)))</f>
        <v>1</v>
      </c>
    </row>
    <row r="20" spans="1:10" ht="37.5" x14ac:dyDescent="0.3">
      <c r="A20" s="1" t="s">
        <v>270</v>
      </c>
      <c r="B20" s="5">
        <f>120*$H20</f>
        <v>0</v>
      </c>
      <c r="C20" s="5">
        <f>23*$H20</f>
        <v>0</v>
      </c>
      <c r="D20" s="5">
        <f>0.5*$H20</f>
        <v>0</v>
      </c>
      <c r="E20" s="5">
        <f>6*$H20</f>
        <v>0</v>
      </c>
      <c r="F20" s="5">
        <f>10*$H20</f>
        <v>0</v>
      </c>
      <c r="G20" s="5">
        <f>2*$H20</f>
        <v>0</v>
      </c>
      <c r="H20" s="5"/>
      <c r="I20" s="2" t="s">
        <v>272</v>
      </c>
      <c r="J20" s="68" t="b">
        <f>NOT(ISERROR(MATCH(A20,Index[Item],0)))</f>
        <v>1</v>
      </c>
    </row>
    <row r="21" spans="1:10" ht="37.5" x14ac:dyDescent="0.3">
      <c r="A21" s="1" t="s">
        <v>271</v>
      </c>
      <c r="B21" s="5">
        <f>120*$H21</f>
        <v>0</v>
      </c>
      <c r="C21" s="5">
        <f>22*$H21</f>
        <v>0</v>
      </c>
      <c r="D21" s="5">
        <f>0*$H21</f>
        <v>0</v>
      </c>
      <c r="E21" s="5">
        <f>6*$H21</f>
        <v>0</v>
      </c>
      <c r="F21" s="5">
        <f>8*$H21</f>
        <v>0</v>
      </c>
      <c r="G21" s="5">
        <f>2*$H21</f>
        <v>0</v>
      </c>
      <c r="H21" s="5"/>
      <c r="I21" s="2" t="s">
        <v>272</v>
      </c>
      <c r="J21" s="68" t="b">
        <f>NOT(ISERROR(MATCH(A21,Index[Item],0)))</f>
        <v>1</v>
      </c>
    </row>
    <row r="22" spans="1:10" x14ac:dyDescent="0.3">
      <c r="A22" s="1" t="s">
        <v>481</v>
      </c>
      <c r="B22" s="5">
        <f>MexicanSpice[[#Totals],[Calories]]</f>
        <v>33.6</v>
      </c>
      <c r="C22" s="5">
        <f>MexicanSpice[[#Totals],[Carbs]]</f>
        <v>6.6999999999999993</v>
      </c>
      <c r="D22" s="5">
        <f>MexicanSpice[[#Totals],[Fat]]</f>
        <v>1.2000000000000002</v>
      </c>
      <c r="E22" s="5">
        <f>MexicanSpice[[#Totals],[Protein]]</f>
        <v>1.4000000000000001</v>
      </c>
      <c r="F22" s="5">
        <f>MexicanSpice[[#Totals],[Fiber]]</f>
        <v>3.2</v>
      </c>
      <c r="G22" s="5">
        <f>MexicanSpice[[#Totals],[Sugar]]</f>
        <v>0.60000000000000009</v>
      </c>
      <c r="H22" s="5">
        <f>MexicanSpice[[#Totals],[Carbs]]</f>
        <v>6.6999999999999993</v>
      </c>
      <c r="J22" s="68" t="b">
        <f>NOT(ISERROR(MATCH(A22,Index[Item],0)))</f>
        <v>1</v>
      </c>
    </row>
    <row r="23" spans="1:10" x14ac:dyDescent="0.3">
      <c r="A23" s="1" t="s">
        <v>544</v>
      </c>
      <c r="B23" s="5">
        <f>SUBTOTAL(109,BeefMexican[Calories])/$I$23</f>
        <v>8.4</v>
      </c>
      <c r="C23" s="5">
        <f>SUBTOTAL(109,BeefMexican[Carbs])/$I$23</f>
        <v>1.6749999999999998</v>
      </c>
      <c r="D23" s="5">
        <f>SUBTOTAL(109,BeefMexican[[Fat ]])/$I$23</f>
        <v>0.30000000000000004</v>
      </c>
      <c r="E23" s="5">
        <f>SUBTOTAL(109,BeefMexican[Protein])/$I$23</f>
        <v>0.35000000000000003</v>
      </c>
      <c r="F23" s="5">
        <f>SUBTOTAL(109,BeefMexican[Fiber])/$I$23</f>
        <v>0.8</v>
      </c>
      <c r="G23" s="5">
        <f>SUBTOTAL(109,BeefMexican[Sugar])/$I$23</f>
        <v>0.15000000000000002</v>
      </c>
      <c r="H23" s="5">
        <f>SUBTOTAL(109,BeefMexican[Servings])/$I$23</f>
        <v>1.6749999999999998</v>
      </c>
      <c r="I23" s="2" t="s">
        <v>546</v>
      </c>
    </row>
    <row r="24" spans="1:10" x14ac:dyDescent="0.3">
      <c r="B24" s="5"/>
      <c r="C24" s="5"/>
      <c r="D24" s="5"/>
      <c r="E24" s="5"/>
      <c r="F24" s="5"/>
      <c r="G24" s="5"/>
      <c r="H24" s="5"/>
    </row>
    <row r="25" spans="1:10" x14ac:dyDescent="0.3">
      <c r="A25" s="2" t="s">
        <v>35</v>
      </c>
      <c r="B25" s="2" t="s">
        <v>1</v>
      </c>
      <c r="C25" s="2" t="s">
        <v>2</v>
      </c>
      <c r="D25" s="2" t="s">
        <v>36</v>
      </c>
      <c r="E25" s="2" t="s">
        <v>4</v>
      </c>
      <c r="F25" s="2" t="s">
        <v>5</v>
      </c>
      <c r="G25" s="2" t="s">
        <v>6</v>
      </c>
      <c r="H25" s="2" t="s">
        <v>37</v>
      </c>
      <c r="I25" s="2" t="s">
        <v>38</v>
      </c>
      <c r="J25" s="2" t="s">
        <v>536</v>
      </c>
    </row>
    <row r="26" spans="1:10" x14ac:dyDescent="0.3">
      <c r="A26" s="1" t="s">
        <v>229</v>
      </c>
      <c r="B26" s="5">
        <f>110*$H26</f>
        <v>880</v>
      </c>
      <c r="C26" s="5">
        <f>0*$H26</f>
        <v>0</v>
      </c>
      <c r="D26" s="5">
        <f>3*$H26</f>
        <v>24</v>
      </c>
      <c r="E26" s="5">
        <f>22*$H26</f>
        <v>176</v>
      </c>
      <c r="F26" s="5">
        <f>0*$H26</f>
        <v>0</v>
      </c>
      <c r="G26" s="5">
        <f>0*$H26</f>
        <v>0</v>
      </c>
      <c r="H26" s="5">
        <v>8</v>
      </c>
      <c r="I26" s="2" t="s">
        <v>204</v>
      </c>
      <c r="J26" s="5" t="b">
        <f>NOT(ISERROR(MATCH(A26,Index[Item],0)))</f>
        <v>1</v>
      </c>
    </row>
    <row r="27" spans="1:10" x14ac:dyDescent="0.3">
      <c r="A27" s="1" t="s">
        <v>230</v>
      </c>
      <c r="B27" s="5">
        <f>140*$H27</f>
        <v>0</v>
      </c>
      <c r="C27" s="5">
        <f>0*$H27</f>
        <v>0</v>
      </c>
      <c r="D27" s="5">
        <f>9*$H27</f>
        <v>0</v>
      </c>
      <c r="E27" s="5">
        <f>18*$H27</f>
        <v>0</v>
      </c>
      <c r="F27" s="5">
        <f>0*$H27</f>
        <v>0</v>
      </c>
      <c r="G27" s="5">
        <f>0*$H27</f>
        <v>0</v>
      </c>
      <c r="H27" s="5"/>
      <c r="I27" s="2" t="s">
        <v>204</v>
      </c>
      <c r="J27" s="5" t="b">
        <f>NOT(ISERROR(MATCH(A27,Index[Item],0)))</f>
        <v>1</v>
      </c>
    </row>
    <row r="28" spans="1:10" x14ac:dyDescent="0.3">
      <c r="A28" s="1" t="s">
        <v>235</v>
      </c>
      <c r="B28" s="5">
        <f>160*$H28</f>
        <v>0</v>
      </c>
      <c r="C28" s="5">
        <f>36*$H28</f>
        <v>0</v>
      </c>
      <c r="D28" s="5">
        <f>0*$H28</f>
        <v>0</v>
      </c>
      <c r="E28" s="5">
        <f>3*$H28</f>
        <v>0</v>
      </c>
      <c r="F28" s="5">
        <f>1*$H28</f>
        <v>0</v>
      </c>
      <c r="G28" s="5">
        <f>1*$H28</f>
        <v>0</v>
      </c>
      <c r="H28" s="5"/>
      <c r="I28" s="2" t="s">
        <v>236</v>
      </c>
      <c r="J28" s="5" t="b">
        <f>NOT(ISERROR(MATCH(A28,Index[Item],0)))</f>
        <v>1</v>
      </c>
    </row>
    <row r="29" spans="1:10" x14ac:dyDescent="0.3">
      <c r="A29" s="1" t="s">
        <v>237</v>
      </c>
      <c r="B29" s="5">
        <f>160*$H29</f>
        <v>320</v>
      </c>
      <c r="C29" s="5">
        <v>1</v>
      </c>
      <c r="D29" s="5">
        <f>0*$H29</f>
        <v>0</v>
      </c>
      <c r="E29" s="5">
        <f>3*$H29</f>
        <v>6</v>
      </c>
      <c r="F29" s="5">
        <f>0*$H29</f>
        <v>0</v>
      </c>
      <c r="G29" s="5">
        <f>0*$H29</f>
        <v>0</v>
      </c>
      <c r="H29" s="5">
        <v>2</v>
      </c>
      <c r="I29" s="2" t="s">
        <v>236</v>
      </c>
      <c r="J29" s="5" t="b">
        <f>NOT(ISERROR(MATCH(A29,Index[Item],0)))</f>
        <v>1</v>
      </c>
    </row>
    <row r="30" spans="1:10" ht="37.5" x14ac:dyDescent="0.3">
      <c r="A30" s="1" t="s">
        <v>238</v>
      </c>
      <c r="B30" s="5">
        <f>160*$H30</f>
        <v>0</v>
      </c>
      <c r="C30" s="5">
        <f>36*$H30</f>
        <v>0</v>
      </c>
      <c r="D30" s="5">
        <f>0*$H30</f>
        <v>0</v>
      </c>
      <c r="E30" s="5">
        <f>3*$H30</f>
        <v>0</v>
      </c>
      <c r="F30" s="5">
        <f>0*$H30</f>
        <v>0</v>
      </c>
      <c r="G30" s="5">
        <f>0*$H30</f>
        <v>0</v>
      </c>
      <c r="H30" s="5"/>
      <c r="I30" s="2" t="s">
        <v>236</v>
      </c>
      <c r="J30" s="5" t="b">
        <f>NOT(ISERROR(MATCH(A30,Index[Item],0)))</f>
        <v>1</v>
      </c>
    </row>
    <row r="31" spans="1:10" ht="37.5" x14ac:dyDescent="0.3">
      <c r="A31" s="1" t="s">
        <v>239</v>
      </c>
      <c r="B31" s="5">
        <f>160*$H31</f>
        <v>0</v>
      </c>
      <c r="C31" s="5">
        <f>34*$H31</f>
        <v>0</v>
      </c>
      <c r="D31" s="5">
        <f>1*$H31</f>
        <v>0</v>
      </c>
      <c r="E31" s="5">
        <f>3*$H31</f>
        <v>0</v>
      </c>
      <c r="F31" s="5">
        <f>1*$H31</f>
        <v>0</v>
      </c>
      <c r="G31" s="5">
        <f>0*$H31</f>
        <v>0</v>
      </c>
      <c r="H31" s="5"/>
      <c r="I31" s="2" t="s">
        <v>236</v>
      </c>
      <c r="J31" s="5" t="b">
        <f>NOT(ISERROR(MATCH(A31,Index[Item],0)))</f>
        <v>1</v>
      </c>
    </row>
    <row r="32" spans="1:10" ht="37.5" x14ac:dyDescent="0.3">
      <c r="A32" s="1" t="s">
        <v>240</v>
      </c>
      <c r="B32" s="5">
        <f>160*$H32</f>
        <v>0</v>
      </c>
      <c r="C32" s="5">
        <f>36*$H32</f>
        <v>0</v>
      </c>
      <c r="D32" s="5">
        <f>0*$H32</f>
        <v>0</v>
      </c>
      <c r="E32" s="5">
        <f>3*$H32</f>
        <v>0</v>
      </c>
      <c r="F32" s="5">
        <f>1*$H32</f>
        <v>0</v>
      </c>
      <c r="G32" s="5">
        <f>0*$H32</f>
        <v>0</v>
      </c>
      <c r="H32" s="5"/>
      <c r="I32" s="2" t="s">
        <v>236</v>
      </c>
      <c r="J32" s="5" t="b">
        <f>NOT(ISERROR(MATCH(A32,Index[Item],0)))</f>
        <v>1</v>
      </c>
    </row>
    <row r="33" spans="1:10" x14ac:dyDescent="0.3">
      <c r="A33" s="1" t="s">
        <v>543</v>
      </c>
      <c r="B33" s="5">
        <f>28*$H33</f>
        <v>56</v>
      </c>
      <c r="C33" s="5">
        <f>6.7*$H33</f>
        <v>13.4</v>
      </c>
      <c r="D33" s="5">
        <f t="shared" ref="D33:D39" si="4">0.2*$H33</f>
        <v>0.4</v>
      </c>
      <c r="E33" s="5">
        <f>1.9*$H33</f>
        <v>3.8</v>
      </c>
      <c r="F33" s="5">
        <f>1.2*$H33</f>
        <v>2.4</v>
      </c>
      <c r="G33" s="5">
        <f>3.2*$H33</f>
        <v>6.4</v>
      </c>
      <c r="H33" s="5">
        <v>2</v>
      </c>
      <c r="I33" s="2" t="s">
        <v>96</v>
      </c>
      <c r="J33" s="5" t="b">
        <f>NOT(ISERROR(MATCH(A33,Index[Item],0)))</f>
        <v>1</v>
      </c>
    </row>
    <row r="34" spans="1:10" x14ac:dyDescent="0.3">
      <c r="A34" s="1" t="s">
        <v>27</v>
      </c>
      <c r="B34" s="5">
        <f>28*$H34</f>
        <v>0</v>
      </c>
      <c r="C34" s="5">
        <f>6.7*$H34</f>
        <v>0</v>
      </c>
      <c r="D34" s="5">
        <f t="shared" si="4"/>
        <v>0</v>
      </c>
      <c r="E34" s="5">
        <f>0.9*$H34</f>
        <v>0</v>
      </c>
      <c r="F34" s="5">
        <f>1.2*$H34</f>
        <v>0</v>
      </c>
      <c r="G34" s="5">
        <f>4.4*$H34</f>
        <v>0</v>
      </c>
      <c r="H34" s="5"/>
      <c r="I34" s="2" t="s">
        <v>96</v>
      </c>
      <c r="J34" s="5" t="b">
        <f>NOT(ISERROR(MATCH(A34,Index[Item],0)))</f>
        <v>1</v>
      </c>
    </row>
    <row r="35" spans="1:10" x14ac:dyDescent="0.3">
      <c r="A35" s="1" t="s">
        <v>102</v>
      </c>
      <c r="B35" s="5">
        <f>44*$H35</f>
        <v>88</v>
      </c>
      <c r="C35" s="5">
        <f>10*$H35</f>
        <v>20</v>
      </c>
      <c r="D35" s="5">
        <f t="shared" si="4"/>
        <v>0.4</v>
      </c>
      <c r="E35" s="5">
        <f>1.4*$H35</f>
        <v>2.8</v>
      </c>
      <c r="F35" s="5">
        <f>1.4*$H35</f>
        <v>2.8</v>
      </c>
      <c r="G35" s="5">
        <f>4.7*$H35</f>
        <v>9.4</v>
      </c>
      <c r="H35" s="5">
        <v>2</v>
      </c>
      <c r="I35" s="2" t="s">
        <v>96</v>
      </c>
      <c r="J35" s="5" t="b">
        <f>NOT(ISERROR(MATCH(A35,Index[Item],0)))</f>
        <v>1</v>
      </c>
    </row>
    <row r="36" spans="1:10" x14ac:dyDescent="0.3">
      <c r="A36" s="1" t="s">
        <v>655</v>
      </c>
      <c r="B36" s="5">
        <f>44*$H36</f>
        <v>0</v>
      </c>
      <c r="C36" s="5">
        <f>10*$H36</f>
        <v>0</v>
      </c>
      <c r="D36" s="5">
        <f>0*$H36</f>
        <v>0</v>
      </c>
      <c r="E36" s="5">
        <f>1*$H36</f>
        <v>0</v>
      </c>
      <c r="F36" s="5">
        <f>1*$H36</f>
        <v>0</v>
      </c>
      <c r="G36" s="5">
        <f>5*$H36</f>
        <v>0</v>
      </c>
      <c r="H36" s="5"/>
      <c r="I36" s="2" t="s">
        <v>96</v>
      </c>
      <c r="J36" s="5" t="b">
        <f>NOT(ISERROR(MATCH(A36,Index[Item],0)))</f>
        <v>1</v>
      </c>
    </row>
    <row r="37" spans="1:10" x14ac:dyDescent="0.3">
      <c r="A37" s="1" t="s">
        <v>98</v>
      </c>
      <c r="B37" s="5">
        <f>28*$H37</f>
        <v>0</v>
      </c>
      <c r="C37" s="5">
        <f>6.7*$H37</f>
        <v>0</v>
      </c>
      <c r="D37" s="5">
        <f t="shared" si="4"/>
        <v>0</v>
      </c>
      <c r="E37" s="5">
        <f>0.9*$H37</f>
        <v>0</v>
      </c>
      <c r="F37" s="5">
        <f>1.2*$H37</f>
        <v>0</v>
      </c>
      <c r="G37" s="5">
        <f>4.4*$H37</f>
        <v>0</v>
      </c>
      <c r="H37" s="5"/>
      <c r="I37" s="2" t="s">
        <v>96</v>
      </c>
      <c r="J37" s="5" t="b">
        <f>NOT(ISERROR(MATCH(A37,Index[Item],0)))</f>
        <v>1</v>
      </c>
    </row>
    <row r="38" spans="1:10" x14ac:dyDescent="0.3">
      <c r="A38" s="1" t="s">
        <v>99</v>
      </c>
      <c r="B38" s="5">
        <f>27*$H38</f>
        <v>0</v>
      </c>
      <c r="C38" s="5">
        <f>6.3*$H38</f>
        <v>0</v>
      </c>
      <c r="D38" s="5">
        <f t="shared" si="4"/>
        <v>0</v>
      </c>
      <c r="E38" s="5">
        <f>1*$H38</f>
        <v>0</v>
      </c>
      <c r="F38" s="5">
        <f>0.9*$H38</f>
        <v>0</v>
      </c>
      <c r="G38" s="5">
        <f>0*$H38</f>
        <v>0</v>
      </c>
      <c r="H38" s="5"/>
      <c r="I38" s="2" t="s">
        <v>96</v>
      </c>
      <c r="J38" s="5" t="b">
        <f>NOT(ISERROR(MATCH(A38,Index[Item],0)))</f>
        <v>1</v>
      </c>
    </row>
    <row r="39" spans="1:10" x14ac:dyDescent="0.3">
      <c r="A39" s="1" t="s">
        <v>95</v>
      </c>
      <c r="B39" s="5">
        <f>32*$H39</f>
        <v>0</v>
      </c>
      <c r="C39" s="5">
        <f>7.3*$H39</f>
        <v>0</v>
      </c>
      <c r="D39" s="5">
        <f t="shared" si="4"/>
        <v>0</v>
      </c>
      <c r="E39" s="5">
        <f>1.8*$H39</f>
        <v>0</v>
      </c>
      <c r="F39" s="5">
        <f>2.7*$H39</f>
        <v>0</v>
      </c>
      <c r="G39" s="5">
        <f>2.3*$H39</f>
        <v>0</v>
      </c>
      <c r="H39" s="5"/>
      <c r="I39" s="2" t="s">
        <v>96</v>
      </c>
      <c r="J39" s="5" t="b">
        <f>NOT(ISERROR(MATCH(A39,Index[Item],0)))</f>
        <v>1</v>
      </c>
    </row>
    <row r="40" spans="1:10" x14ac:dyDescent="0.3">
      <c r="A40" s="1" t="s">
        <v>101</v>
      </c>
      <c r="B40" s="5">
        <f>29*$H40</f>
        <v>58</v>
      </c>
      <c r="C40" s="5">
        <f>6.5*$H40</f>
        <v>13</v>
      </c>
      <c r="D40" s="5">
        <f>0.4*$H40</f>
        <v>0.8</v>
      </c>
      <c r="E40" s="5">
        <f>0.9*$H40</f>
        <v>1.8</v>
      </c>
      <c r="F40" s="5">
        <f>2.8*$H40</f>
        <v>5.6</v>
      </c>
      <c r="G40" s="5">
        <f>4.1*$H40</f>
        <v>8.1999999999999993</v>
      </c>
      <c r="H40" s="5">
        <v>2</v>
      </c>
      <c r="I40" s="2" t="s">
        <v>96</v>
      </c>
      <c r="J40" s="5" t="b">
        <f>NOT(ISERROR(MATCH(A40,Index[Item],0)))</f>
        <v>1</v>
      </c>
    </row>
    <row r="41" spans="1:10" x14ac:dyDescent="0.3">
      <c r="A41" s="1" t="s">
        <v>100</v>
      </c>
      <c r="B41" s="5">
        <f>27*$H41</f>
        <v>0</v>
      </c>
      <c r="C41" s="5">
        <f>5.4*$H41</f>
        <v>0</v>
      </c>
      <c r="D41" s="5">
        <f>0.5*$H41</f>
        <v>0</v>
      </c>
      <c r="E41" s="5">
        <f>1.7*$H41</f>
        <v>0</v>
      </c>
      <c r="F41" s="5">
        <f>3.4*$H41</f>
        <v>0</v>
      </c>
      <c r="G41" s="5">
        <f>2*$H41</f>
        <v>0</v>
      </c>
      <c r="H41" s="5"/>
      <c r="I41" s="2" t="s">
        <v>96</v>
      </c>
      <c r="J41" s="5" t="b">
        <f>NOT(ISERROR(MATCH(A41,Index[Item],0)))</f>
        <v>1</v>
      </c>
    </row>
    <row r="42" spans="1:10" x14ac:dyDescent="0.3">
      <c r="A42" s="1" t="s">
        <v>557</v>
      </c>
      <c r="B42" s="5">
        <f>20*$H42</f>
        <v>40</v>
      </c>
      <c r="C42" s="5">
        <f>5*$H42</f>
        <v>10</v>
      </c>
      <c r="D42" s="5">
        <f>0*$H42</f>
        <v>0</v>
      </c>
      <c r="E42" s="5">
        <f>1*$H42</f>
        <v>2</v>
      </c>
      <c r="F42" s="5">
        <f>2*$H42</f>
        <v>4</v>
      </c>
      <c r="G42" s="5">
        <f>2*$H42</f>
        <v>4</v>
      </c>
      <c r="H42" s="5">
        <v>2</v>
      </c>
      <c r="I42" s="2" t="s">
        <v>96</v>
      </c>
      <c r="J42" s="5" t="b">
        <f>NOT(ISERROR(MATCH(A42,Index[Item],0)))</f>
        <v>1</v>
      </c>
    </row>
    <row r="43" spans="1:10" x14ac:dyDescent="0.3">
      <c r="A43" s="1" t="s">
        <v>649</v>
      </c>
      <c r="B43" s="5">
        <f>20*$H43</f>
        <v>40</v>
      </c>
      <c r="C43" s="5">
        <f>5*$H43</f>
        <v>10</v>
      </c>
      <c r="D43" s="5">
        <f>0*$H43</f>
        <v>0</v>
      </c>
      <c r="E43" s="5">
        <f>1*$H43</f>
        <v>2</v>
      </c>
      <c r="F43" s="5">
        <f>2*$H43</f>
        <v>4</v>
      </c>
      <c r="G43" s="5">
        <f>2*$H43</f>
        <v>4</v>
      </c>
      <c r="H43" s="5">
        <v>2</v>
      </c>
      <c r="I43" s="2" t="s">
        <v>96</v>
      </c>
      <c r="J43" s="5" t="b">
        <f>NOT(ISERROR(MATCH(A43,Index[Item],0)))</f>
        <v>1</v>
      </c>
    </row>
    <row r="44" spans="1:10" x14ac:dyDescent="0.3">
      <c r="A44" s="1" t="s">
        <v>282</v>
      </c>
      <c r="B44" s="5">
        <f>15*$H44</f>
        <v>90</v>
      </c>
      <c r="C44" s="5">
        <f>2*$H44</f>
        <v>12</v>
      </c>
      <c r="D44" s="5">
        <f t="shared" ref="D44:G46" si="5">0*$H44</f>
        <v>0</v>
      </c>
      <c r="E44" s="5">
        <f t="shared" si="5"/>
        <v>0</v>
      </c>
      <c r="F44" s="5">
        <f t="shared" si="5"/>
        <v>0</v>
      </c>
      <c r="G44" s="5">
        <f t="shared" si="5"/>
        <v>0</v>
      </c>
      <c r="H44" s="5">
        <v>6</v>
      </c>
      <c r="I44" s="2" t="s">
        <v>281</v>
      </c>
      <c r="J44" s="5" t="b">
        <f>NOT(ISERROR(MATCH(A44,Index[Item],0)))</f>
        <v>1</v>
      </c>
    </row>
    <row r="45" spans="1:10" x14ac:dyDescent="0.3">
      <c r="A45" s="1" t="s">
        <v>283</v>
      </c>
      <c r="B45" s="5">
        <f>10*$H45</f>
        <v>0</v>
      </c>
      <c r="C45" s="5">
        <f>2*$H45</f>
        <v>0</v>
      </c>
      <c r="D45" s="5">
        <f t="shared" si="5"/>
        <v>0</v>
      </c>
      <c r="E45" s="5">
        <f t="shared" si="5"/>
        <v>0</v>
      </c>
      <c r="F45" s="5">
        <f t="shared" si="5"/>
        <v>0</v>
      </c>
      <c r="G45" s="5">
        <f t="shared" si="5"/>
        <v>0</v>
      </c>
      <c r="H45" s="5"/>
      <c r="I45" s="2" t="s">
        <v>281</v>
      </c>
      <c r="J45" s="5" t="b">
        <f>NOT(ISERROR(MATCH(A45,Index[Item],0)))</f>
        <v>1</v>
      </c>
    </row>
    <row r="46" spans="1:10" ht="37.5" x14ac:dyDescent="0.3">
      <c r="A46" s="1" t="s">
        <v>284</v>
      </c>
      <c r="B46" s="5">
        <f>15*$H46</f>
        <v>0</v>
      </c>
      <c r="C46" s="5">
        <f>3*$H46</f>
        <v>0</v>
      </c>
      <c r="D46" s="5">
        <f t="shared" si="5"/>
        <v>0</v>
      </c>
      <c r="E46" s="5">
        <f t="shared" si="5"/>
        <v>0</v>
      </c>
      <c r="F46" s="5">
        <f t="shared" si="5"/>
        <v>0</v>
      </c>
      <c r="G46" s="5">
        <f t="shared" si="5"/>
        <v>0</v>
      </c>
      <c r="H46" s="5"/>
      <c r="I46" s="2" t="s">
        <v>281</v>
      </c>
      <c r="J46" s="5" t="b">
        <f>NOT(ISERROR(MATCH(A46,Index[Item],0)))</f>
        <v>1</v>
      </c>
    </row>
    <row r="47" spans="1:10" ht="37.5" x14ac:dyDescent="0.3">
      <c r="A47" s="1" t="s">
        <v>280</v>
      </c>
      <c r="B47" s="5">
        <f>15*$H47</f>
        <v>0</v>
      </c>
      <c r="C47" s="5">
        <f>3*$H47</f>
        <v>0</v>
      </c>
      <c r="D47" s="5">
        <f t="shared" ref="D47:F48" si="6">0*$H47</f>
        <v>0</v>
      </c>
      <c r="E47" s="5">
        <f t="shared" si="6"/>
        <v>0</v>
      </c>
      <c r="F47" s="5">
        <f t="shared" si="6"/>
        <v>0</v>
      </c>
      <c r="G47" s="5">
        <f>0.5*$H47</f>
        <v>0</v>
      </c>
      <c r="H47" s="5"/>
      <c r="I47" s="2" t="s">
        <v>281</v>
      </c>
      <c r="J47" s="5" t="b">
        <f>NOT(ISERROR(MATCH(A47,Index[Item],0)))</f>
        <v>1</v>
      </c>
    </row>
    <row r="48" spans="1:10" x14ac:dyDescent="0.3">
      <c r="A48" s="1" t="s">
        <v>285</v>
      </c>
      <c r="B48" s="5">
        <f>15*$H48</f>
        <v>0</v>
      </c>
      <c r="C48" s="5">
        <f>3*$H48</f>
        <v>0</v>
      </c>
      <c r="D48" s="5">
        <f t="shared" si="6"/>
        <v>0</v>
      </c>
      <c r="E48" s="5">
        <f t="shared" si="6"/>
        <v>0</v>
      </c>
      <c r="F48" s="5">
        <f t="shared" si="6"/>
        <v>0</v>
      </c>
      <c r="G48" s="5">
        <f>0*$H48</f>
        <v>0</v>
      </c>
      <c r="H48" s="5"/>
      <c r="I48" s="2" t="s">
        <v>286</v>
      </c>
      <c r="J48" s="5" t="b">
        <f>NOT(ISERROR(MATCH(A48,Index[Item],0)))</f>
        <v>1</v>
      </c>
    </row>
    <row r="49" spans="1:10" ht="37.5" x14ac:dyDescent="0.3">
      <c r="A49" s="1" t="s">
        <v>287</v>
      </c>
      <c r="B49" s="5">
        <f>15*$H49</f>
        <v>0</v>
      </c>
      <c r="C49" s="5">
        <f>3*$H49</f>
        <v>0</v>
      </c>
      <c r="D49" s="5">
        <f>0*$H49</f>
        <v>0</v>
      </c>
      <c r="E49" s="5">
        <f>0*$H49</f>
        <v>0</v>
      </c>
      <c r="F49" s="5">
        <f>0*$H49</f>
        <v>0</v>
      </c>
      <c r="G49" s="5">
        <f>0*$H49</f>
        <v>0</v>
      </c>
      <c r="H49" s="5"/>
      <c r="I49" s="2" t="s">
        <v>288</v>
      </c>
      <c r="J49" s="5" t="b">
        <f>NOT(ISERROR(MATCH(A49,Index[Item],0)))</f>
        <v>1</v>
      </c>
    </row>
    <row r="50" spans="1:10" ht="37.5" x14ac:dyDescent="0.3">
      <c r="A50" s="1" t="s">
        <v>293</v>
      </c>
      <c r="B50" s="5">
        <f>25*$H50</f>
        <v>0</v>
      </c>
      <c r="C50" s="5">
        <f>4*$H50</f>
        <v>0</v>
      </c>
      <c r="D50" s="5">
        <f>1*$H50</f>
        <v>0</v>
      </c>
      <c r="E50" s="5">
        <f>0*$H50</f>
        <v>0</v>
      </c>
      <c r="F50" s="5">
        <f>0*$H50</f>
        <v>0</v>
      </c>
      <c r="G50" s="5">
        <f>1*$H50</f>
        <v>0</v>
      </c>
      <c r="H50" s="5"/>
      <c r="J50" s="5" t="b">
        <f>NOT(ISERROR(MATCH(A50,Index[Item],0)))</f>
        <v>1</v>
      </c>
    </row>
    <row r="51" spans="1:10" ht="37.5" x14ac:dyDescent="0.3">
      <c r="A51" s="1" t="s">
        <v>294</v>
      </c>
      <c r="B51" s="5">
        <f>15*$H51</f>
        <v>0</v>
      </c>
      <c r="C51" s="5">
        <f>3*$H51</f>
        <v>0</v>
      </c>
      <c r="D51" s="5">
        <f>0*$H51</f>
        <v>0</v>
      </c>
      <c r="E51" s="5">
        <f>1*$H51</f>
        <v>0</v>
      </c>
      <c r="F51" s="5">
        <f>1*$H51</f>
        <v>0</v>
      </c>
      <c r="G51" s="5">
        <f>2*$H51</f>
        <v>0</v>
      </c>
      <c r="H51" s="5"/>
      <c r="J51" s="5" t="b">
        <f>NOT(ISERROR(MATCH(A51,Index[Item],0)))</f>
        <v>1</v>
      </c>
    </row>
    <row r="52" spans="1:10" ht="37.5" x14ac:dyDescent="0.3">
      <c r="A52" s="1" t="s">
        <v>273</v>
      </c>
      <c r="B52" s="5">
        <f>100*$H52</f>
        <v>0</v>
      </c>
      <c r="C52" s="5">
        <f>15*$H52</f>
        <v>0</v>
      </c>
      <c r="D52" s="5">
        <f>2.5*$H52</f>
        <v>0</v>
      </c>
      <c r="E52" s="5">
        <f t="shared" ref="E52:F54" si="7">5*$H52</f>
        <v>0</v>
      </c>
      <c r="F52" s="5">
        <f t="shared" si="7"/>
        <v>0</v>
      </c>
      <c r="G52" s="5">
        <f>0.5*$H52</f>
        <v>0</v>
      </c>
      <c r="H52" s="5"/>
      <c r="I52" s="2" t="s">
        <v>274</v>
      </c>
      <c r="J52" s="5" t="b">
        <f>NOT(ISERROR(MATCH(A52,Index[Item],0)))</f>
        <v>1</v>
      </c>
    </row>
    <row r="53" spans="1:10" ht="37.5" x14ac:dyDescent="0.3">
      <c r="A53" s="1" t="s">
        <v>275</v>
      </c>
      <c r="B53" s="5">
        <f>80*$H53</f>
        <v>280</v>
      </c>
      <c r="C53" s="5">
        <f>16*$H53</f>
        <v>56</v>
      </c>
      <c r="D53" s="5">
        <f>0*$H53</f>
        <v>0</v>
      </c>
      <c r="E53" s="5">
        <f t="shared" si="7"/>
        <v>17.5</v>
      </c>
      <c r="F53" s="5">
        <f t="shared" si="7"/>
        <v>17.5</v>
      </c>
      <c r="G53" s="5">
        <f>0.5*$H53</f>
        <v>1.75</v>
      </c>
      <c r="H53" s="5">
        <v>3.5</v>
      </c>
      <c r="I53" s="2" t="s">
        <v>274</v>
      </c>
      <c r="J53" s="5" t="b">
        <f>NOT(ISERROR(MATCH(A53,Index[Item],0)))</f>
        <v>1</v>
      </c>
    </row>
    <row r="54" spans="1:10" ht="56.25" x14ac:dyDescent="0.3">
      <c r="A54" s="1" t="s">
        <v>276</v>
      </c>
      <c r="B54" s="5">
        <f>90*$H54</f>
        <v>0</v>
      </c>
      <c r="C54" s="5">
        <f>16*$H54</f>
        <v>0</v>
      </c>
      <c r="D54" s="5">
        <f>0*$H54</f>
        <v>0</v>
      </c>
      <c r="E54" s="5">
        <f t="shared" si="7"/>
        <v>0</v>
      </c>
      <c r="F54" s="5">
        <f t="shared" si="7"/>
        <v>0</v>
      </c>
      <c r="G54" s="5">
        <f>0.5*$H54</f>
        <v>0</v>
      </c>
      <c r="H54" s="5"/>
      <c r="I54" s="2" t="s">
        <v>274</v>
      </c>
      <c r="J54" s="5" t="b">
        <f>NOT(ISERROR(MATCH(A54,Index[Item],0)))</f>
        <v>1</v>
      </c>
    </row>
    <row r="55" spans="1:10" ht="56.25" x14ac:dyDescent="0.3">
      <c r="A55" s="1" t="s">
        <v>277</v>
      </c>
      <c r="B55" s="5">
        <f>90*$H55</f>
        <v>0</v>
      </c>
      <c r="C55" s="5">
        <f>13*$H55</f>
        <v>0</v>
      </c>
      <c r="D55" s="5">
        <f>1.5*$H55</f>
        <v>0</v>
      </c>
      <c r="E55" s="5">
        <f>5*$H55</f>
        <v>0</v>
      </c>
      <c r="F55" s="5">
        <f>3*$H55</f>
        <v>0</v>
      </c>
      <c r="G55" s="5">
        <f>0.5*$H55</f>
        <v>0</v>
      </c>
      <c r="H55" s="5"/>
      <c r="I55" s="2" t="s">
        <v>547</v>
      </c>
      <c r="J55" s="5" t="b">
        <f>NOT(ISERROR(MATCH(A55,Index[Item],0)))</f>
        <v>1</v>
      </c>
    </row>
    <row r="56" spans="1:10" x14ac:dyDescent="0.3">
      <c r="A56" s="1" t="s">
        <v>268</v>
      </c>
      <c r="B56" s="5">
        <f>120*$H56</f>
        <v>0</v>
      </c>
      <c r="C56" s="5">
        <f>21*$H56</f>
        <v>0</v>
      </c>
      <c r="D56" s="5">
        <f>1.5*$H56</f>
        <v>0</v>
      </c>
      <c r="E56" s="5">
        <f>7*$H56</f>
        <v>0</v>
      </c>
      <c r="F56" s="5">
        <f>5*$H56</f>
        <v>0</v>
      </c>
      <c r="G56" s="5">
        <f>1*$H56</f>
        <v>0</v>
      </c>
      <c r="H56" s="5"/>
      <c r="I56" s="2" t="s">
        <v>269</v>
      </c>
      <c r="J56" s="5" t="b">
        <f>NOT(ISERROR(MATCH(A56,Index[Item],0)))</f>
        <v>1</v>
      </c>
    </row>
    <row r="57" spans="1:10" ht="37.5" x14ac:dyDescent="0.3">
      <c r="A57" s="1" t="s">
        <v>270</v>
      </c>
      <c r="B57" s="5">
        <f>120*$H57</f>
        <v>420</v>
      </c>
      <c r="C57" s="5">
        <f>23*$H57</f>
        <v>80.5</v>
      </c>
      <c r="D57" s="5">
        <f>0.5*$H57</f>
        <v>1.75</v>
      </c>
      <c r="E57" s="5">
        <f>6*$H57</f>
        <v>21</v>
      </c>
      <c r="F57" s="5">
        <f>10*$H57</f>
        <v>35</v>
      </c>
      <c r="G57" s="5">
        <f>2*$H57</f>
        <v>7</v>
      </c>
      <c r="H57" s="5">
        <v>3.5</v>
      </c>
      <c r="I57" s="2" t="s">
        <v>272</v>
      </c>
      <c r="J57" s="5" t="b">
        <f>NOT(ISERROR(MATCH(A57,Index[Item],0)))</f>
        <v>1</v>
      </c>
    </row>
    <row r="58" spans="1:10" ht="37.5" x14ac:dyDescent="0.3">
      <c r="A58" s="1" t="s">
        <v>271</v>
      </c>
      <c r="B58" s="5">
        <f>120*$H58</f>
        <v>0</v>
      </c>
      <c r="C58" s="5">
        <f>22*$H58</f>
        <v>0</v>
      </c>
      <c r="D58" s="5">
        <f>0*$H58</f>
        <v>0</v>
      </c>
      <c r="E58" s="5">
        <f>6*$H58</f>
        <v>0</v>
      </c>
      <c r="F58" s="5">
        <f>8*$H58</f>
        <v>0</v>
      </c>
      <c r="G58" s="5">
        <f>2*$H58</f>
        <v>0</v>
      </c>
      <c r="H58" s="5"/>
      <c r="I58" s="2" t="s">
        <v>272</v>
      </c>
      <c r="J58" s="5" t="b">
        <f>NOT(ISERROR(MATCH(A58,Index[Item],0)))</f>
        <v>1</v>
      </c>
    </row>
    <row r="59" spans="1:10" x14ac:dyDescent="0.3">
      <c r="A59" s="1" t="s">
        <v>481</v>
      </c>
      <c r="B59" s="5">
        <f>MexicanSpice[[#Totals],[Calories]]</f>
        <v>33.6</v>
      </c>
      <c r="C59" s="5">
        <f>MexicanSpice[[#Totals],[Carbs]]</f>
        <v>6.6999999999999993</v>
      </c>
      <c r="D59" s="5">
        <f>MexicanSpice[[#Totals],[Fat]]</f>
        <v>1.2000000000000002</v>
      </c>
      <c r="E59" s="5">
        <f>MexicanSpice[[#Totals],[Protein]]</f>
        <v>1.4000000000000001</v>
      </c>
      <c r="F59" s="5">
        <f>MexicanSpice[[#Totals],[Fiber]]</f>
        <v>3.2</v>
      </c>
      <c r="G59" s="5">
        <f>MexicanSpice[[#Totals],[Sugar]]</f>
        <v>0.60000000000000009</v>
      </c>
      <c r="H59" s="5">
        <f>MexicanSpice[[#Totals],[Serving by TSP]]</f>
        <v>6</v>
      </c>
      <c r="J59" s="5" t="b">
        <f>NOT(ISERROR(MATCH(A59,Index[Item],0)))</f>
        <v>1</v>
      </c>
    </row>
    <row r="60" spans="1:10" x14ac:dyDescent="0.3">
      <c r="A60" s="2" t="s">
        <v>34</v>
      </c>
      <c r="B60" s="5">
        <f>SUBTOTAL(109,ChickenMexican[Calories])/ChickenMexican[[#Totals],[Measurement]]</f>
        <v>384.26666666666665</v>
      </c>
      <c r="C60" s="5">
        <f>SUBTOTAL(109,ChickenMexican[Carbs])/ChickenMexican[[#Totals],[Measurement]]</f>
        <v>37.1</v>
      </c>
      <c r="D60" s="5">
        <f>SUBTOTAL(109,ChickenMexican[[Fat ]])/ChickenMexican[[#Totals],[Measurement]]</f>
        <v>4.7583333333333329</v>
      </c>
      <c r="E60" s="5">
        <f>SUBTOTAL(109,ChickenMexican[Protein])/ChickenMexican[[#Totals],[Measurement]]</f>
        <v>39.050000000000004</v>
      </c>
      <c r="F60" s="5">
        <f>SUBTOTAL(109,ChickenMexican[Fiber])/ChickenMexican[[#Totals],[Measurement]]</f>
        <v>12.416666666666666</v>
      </c>
      <c r="G60" s="5">
        <f>SUBTOTAL(109,ChickenMexican[Sugar])/ChickenMexican[[#Totals],[Measurement]]</f>
        <v>6.8916666666666666</v>
      </c>
      <c r="H60" s="5">
        <f>SUBTOTAL(109,ChickenMexican[Servings])/ChickenMexican[[#Totals],[Measurement]]</f>
        <v>6.5</v>
      </c>
      <c r="I60" s="2" t="s">
        <v>545</v>
      </c>
    </row>
    <row r="61" spans="1:10" x14ac:dyDescent="0.3">
      <c r="A61"/>
      <c r="B61"/>
      <c r="C61"/>
      <c r="D61"/>
      <c r="E61"/>
      <c r="F61"/>
      <c r="G61"/>
      <c r="H61"/>
      <c r="I61"/>
    </row>
    <row r="62" spans="1:10" x14ac:dyDescent="0.3">
      <c r="B62" s="5"/>
      <c r="C62" s="5"/>
      <c r="D62" s="5"/>
      <c r="E62" s="5"/>
      <c r="F62" s="5"/>
      <c r="G62" s="5"/>
      <c r="H62" s="5"/>
    </row>
    <row r="63" spans="1:10" x14ac:dyDescent="0.3">
      <c r="A63" s="10" t="s">
        <v>0</v>
      </c>
      <c r="B63" s="11" t="s">
        <v>1</v>
      </c>
      <c r="C63" s="11" t="s">
        <v>2</v>
      </c>
      <c r="D63" s="11" t="s">
        <v>3</v>
      </c>
      <c r="E63" s="11" t="s">
        <v>4</v>
      </c>
      <c r="F63" s="11" t="s">
        <v>5</v>
      </c>
      <c r="G63" s="11" t="s">
        <v>6</v>
      </c>
      <c r="H63" s="11" t="s">
        <v>7</v>
      </c>
    </row>
    <row r="64" spans="1:10" x14ac:dyDescent="0.3">
      <c r="A64" s="8" t="s">
        <v>8</v>
      </c>
      <c r="B64" s="6">
        <f>1.6*$H64</f>
        <v>0</v>
      </c>
      <c r="C64" s="6">
        <f>0.3*$H64</f>
        <v>0</v>
      </c>
      <c r="D64" s="6">
        <f>0*$H64</f>
        <v>0</v>
      </c>
      <c r="E64" s="6">
        <f>0.2*$H64</f>
        <v>0</v>
      </c>
      <c r="F64" s="6">
        <f>0.3*$H64</f>
        <v>0</v>
      </c>
      <c r="G64" s="6">
        <f>0*$H64</f>
        <v>0</v>
      </c>
      <c r="H64" s="3"/>
      <c r="J64" s="2" t="b">
        <f>NOT(ISERROR(MATCH(A64,Spice[Spice],0)))</f>
        <v>1</v>
      </c>
    </row>
    <row r="65" spans="1:10" x14ac:dyDescent="0.3">
      <c r="A65" s="9" t="s">
        <v>9</v>
      </c>
      <c r="B65" s="7">
        <f>5.8*$H65</f>
        <v>5.8</v>
      </c>
      <c r="C65" s="7">
        <f>1.5*$H65</f>
        <v>1.5</v>
      </c>
      <c r="D65" s="7">
        <f>0.1*$H65</f>
        <v>0.1</v>
      </c>
      <c r="E65" s="7">
        <f>0.2*$H65</f>
        <v>0.2</v>
      </c>
      <c r="F65" s="7">
        <f>0.6*$H65</f>
        <v>0.6</v>
      </c>
      <c r="G65" s="7">
        <f>0*$H65</f>
        <v>0</v>
      </c>
      <c r="H65" s="4">
        <v>1</v>
      </c>
      <c r="J65" s="2" t="b">
        <f>NOT(ISERROR(MATCH(A65,Spice[Spice],0)))</f>
        <v>1</v>
      </c>
    </row>
    <row r="66" spans="1:10" x14ac:dyDescent="0.3">
      <c r="A66" s="8" t="s">
        <v>10</v>
      </c>
      <c r="B66" s="6">
        <f>7.6*$H66</f>
        <v>7.6</v>
      </c>
      <c r="C66" s="6">
        <f>1.3*$H66</f>
        <v>1.3</v>
      </c>
      <c r="D66" s="6">
        <f>0.4*$H66</f>
        <v>0.4</v>
      </c>
      <c r="E66" s="6">
        <f>0.4*$H66</f>
        <v>0.4</v>
      </c>
      <c r="F66" s="6">
        <f>0.9*$H66</f>
        <v>0.9</v>
      </c>
      <c r="G66" s="6">
        <f>0.2*$H66</f>
        <v>0.2</v>
      </c>
      <c r="H66" s="3">
        <v>1</v>
      </c>
      <c r="J66" s="2" t="b">
        <f>NOT(ISERROR(MATCH(A66,Spice[Spice],0)))</f>
        <v>1</v>
      </c>
    </row>
    <row r="67" spans="1:10" ht="18" customHeight="1" x14ac:dyDescent="0.3">
      <c r="A67" s="9" t="s">
        <v>11</v>
      </c>
      <c r="B67" s="7">
        <f>48*$H67</f>
        <v>0</v>
      </c>
      <c r="C67" s="7">
        <f>8*$H67</f>
        <v>0</v>
      </c>
      <c r="D67" s="7">
        <f>0*$H67</f>
        <v>0</v>
      </c>
      <c r="E67" s="7">
        <f>0*$H67</f>
        <v>0</v>
      </c>
      <c r="F67" s="7">
        <f>0*$H67</f>
        <v>0</v>
      </c>
      <c r="G67" s="7">
        <f>0*$H67</f>
        <v>0</v>
      </c>
      <c r="H67" s="4"/>
      <c r="J67" s="2" t="b">
        <f>NOT(ISERROR(MATCH(A67,Spice[Spice],0)))</f>
        <v>1</v>
      </c>
    </row>
    <row r="68" spans="1:10" x14ac:dyDescent="0.3">
      <c r="A68" s="8" t="s">
        <v>12</v>
      </c>
      <c r="B68" s="6">
        <f>6.4*$H68</f>
        <v>0</v>
      </c>
      <c r="C68" s="6">
        <f>2.1*$H68</f>
        <v>0</v>
      </c>
      <c r="D68" s="6">
        <f>0*$H67</f>
        <v>0</v>
      </c>
      <c r="E68" s="6">
        <f>0.1*$H68</f>
        <v>0</v>
      </c>
      <c r="F68" s="6">
        <f>1.4*$H68</f>
        <v>0</v>
      </c>
      <c r="G68" s="6">
        <f>0.1*$H68</f>
        <v>0</v>
      </c>
      <c r="H68" s="3"/>
      <c r="J68" s="2" t="b">
        <f>NOT(ISERROR(MATCH(A68,Spice[Spice],0)))</f>
        <v>1</v>
      </c>
    </row>
    <row r="69" spans="1:10" x14ac:dyDescent="0.3">
      <c r="A69" s="9" t="s">
        <v>13</v>
      </c>
      <c r="B69" s="7">
        <f>1.7*$H69</f>
        <v>1.7</v>
      </c>
      <c r="C69" s="7">
        <f>0.3*$H69</f>
        <v>0.3</v>
      </c>
      <c r="D69" s="7">
        <f>0*$H69</f>
        <v>0</v>
      </c>
      <c r="E69" s="7">
        <f>0.1*$H69</f>
        <v>0.1</v>
      </c>
      <c r="F69" s="7">
        <f>0.1*$H69</f>
        <v>0.1</v>
      </c>
      <c r="G69" s="7">
        <f>0*$H69</f>
        <v>0</v>
      </c>
      <c r="H69" s="4">
        <v>1</v>
      </c>
      <c r="J69" s="2" t="b">
        <f>NOT(ISERROR(MATCH(A69,Spice[Spice],0)))</f>
        <v>1</v>
      </c>
    </row>
    <row r="70" spans="1:10" ht="37.5" x14ac:dyDescent="0.3">
      <c r="A70" s="8" t="s">
        <v>14</v>
      </c>
      <c r="B70" s="6">
        <f>5.7*$H70</f>
        <v>0</v>
      </c>
      <c r="C70" s="6">
        <f>1*$H70</f>
        <v>0</v>
      </c>
      <c r="D70" s="6">
        <f>0*$H70</f>
        <v>0</v>
      </c>
      <c r="E70" s="6">
        <f>0.2*$H70</f>
        <v>0</v>
      </c>
      <c r="F70" s="6">
        <f>0.5*$H70</f>
        <v>0</v>
      </c>
      <c r="G70" s="6">
        <f>0.2*$H70</f>
        <v>0</v>
      </c>
      <c r="H70" s="3"/>
      <c r="J70" s="2" t="b">
        <f>NOT(ISERROR(MATCH(A70,Spice[Spice],0)))</f>
        <v>1</v>
      </c>
    </row>
    <row r="71" spans="1:10" x14ac:dyDescent="0.3">
      <c r="A71" s="9" t="s">
        <v>15</v>
      </c>
      <c r="B71" s="7">
        <f>7.6*$H71</f>
        <v>0</v>
      </c>
      <c r="C71" s="7">
        <f>0.9*$H71</f>
        <v>0</v>
      </c>
      <c r="D71" s="7">
        <f>0.5*$H71</f>
        <v>0</v>
      </c>
      <c r="E71" s="7">
        <f>0.4*$H71</f>
        <v>0</v>
      </c>
      <c r="F71" s="7">
        <f>0.2*$H71</f>
        <v>0</v>
      </c>
      <c r="G71" s="7">
        <f>0.1*$H71</f>
        <v>0</v>
      </c>
      <c r="H71" s="4"/>
      <c r="J71" s="2" t="b">
        <f>NOT(ISERROR(MATCH(A71,Spice[Spice],0)))</f>
        <v>1</v>
      </c>
    </row>
    <row r="72" spans="1:10" x14ac:dyDescent="0.3">
      <c r="A72" s="8" t="s">
        <v>16</v>
      </c>
      <c r="B72" s="6">
        <f>(36/5)*$H72</f>
        <v>0</v>
      </c>
      <c r="C72" s="6">
        <f>(5/5)*$H72</f>
        <v>0</v>
      </c>
      <c r="D72" s="6">
        <f>(1.2/5)*$H72</f>
        <v>0</v>
      </c>
      <c r="E72" s="6">
        <f>(1.3/5)*$H72</f>
        <v>0</v>
      </c>
      <c r="F72" s="6">
        <f>(3/5)*$H72</f>
        <v>0</v>
      </c>
      <c r="G72" s="6">
        <f>(0.2/5)*$H72</f>
        <v>0</v>
      </c>
      <c r="H72" s="3"/>
      <c r="J72" s="2" t="b">
        <f>NOT(ISERROR(MATCH(A72,Spice[Spice],0)))</f>
        <v>1</v>
      </c>
    </row>
    <row r="73" spans="1:10" x14ac:dyDescent="0.3">
      <c r="A73" s="9" t="s">
        <v>17</v>
      </c>
      <c r="B73" s="7">
        <f>5*$H73</f>
        <v>0</v>
      </c>
      <c r="C73" s="7">
        <f>1*$H73</f>
        <v>0</v>
      </c>
      <c r="D73" s="7">
        <f>0*$H73</f>
        <v>0</v>
      </c>
      <c r="E73" s="7">
        <f>0*$H73</f>
        <v>0</v>
      </c>
      <c r="F73" s="7">
        <f>0*$H73</f>
        <v>0</v>
      </c>
      <c r="G73" s="7">
        <f>0*$H73</f>
        <v>0</v>
      </c>
      <c r="H73" s="4"/>
      <c r="J73" s="2" t="b">
        <f>NOT(ISERROR(MATCH(A73,Spice[Spice],0)))</f>
        <v>1</v>
      </c>
    </row>
    <row r="74" spans="1:10" x14ac:dyDescent="0.3">
      <c r="A74" s="8" t="s">
        <v>18</v>
      </c>
      <c r="B74" s="6">
        <f>10*$H74</f>
        <v>0</v>
      </c>
      <c r="C74" s="6">
        <f>2.3*$H74</f>
        <v>0</v>
      </c>
      <c r="D74" s="6">
        <f>0*$H74</f>
        <v>0</v>
      </c>
      <c r="E74" s="6">
        <f>0.5*$H74</f>
        <v>0</v>
      </c>
      <c r="F74" s="6">
        <f>0.3*$H74</f>
        <v>0</v>
      </c>
      <c r="G74" s="6">
        <f>0.1*$H74</f>
        <v>0</v>
      </c>
      <c r="H74" s="3"/>
      <c r="J74" s="2" t="b">
        <f>NOT(ISERROR(MATCH(A74,Spice[Spice],0)))</f>
        <v>1</v>
      </c>
    </row>
    <row r="75" spans="1:10" x14ac:dyDescent="0.3">
      <c r="A75" s="9" t="s">
        <v>19</v>
      </c>
      <c r="B75" s="7">
        <f>1.2*$H75</f>
        <v>0</v>
      </c>
      <c r="C75" s="7">
        <f>0.3*$H75</f>
        <v>0</v>
      </c>
      <c r="D75" s="7">
        <f>0*$H75</f>
        <v>0</v>
      </c>
      <c r="E75" s="7">
        <f>1*$H75</f>
        <v>0</v>
      </c>
      <c r="F75" s="7">
        <f>0*$H75</f>
        <v>0</v>
      </c>
      <c r="G75" s="7">
        <f>0*$H75</f>
        <v>0</v>
      </c>
      <c r="H75" s="4"/>
      <c r="J75" s="2" t="b">
        <f>NOT(ISERROR(MATCH(A75,Spice[Spice],0)))</f>
        <v>1</v>
      </c>
    </row>
    <row r="76" spans="1:10" x14ac:dyDescent="0.3">
      <c r="A76" s="9" t="s">
        <v>20</v>
      </c>
      <c r="B76" s="7">
        <f>6*$H76</f>
        <v>0</v>
      </c>
      <c r="C76" s="7">
        <f>1.3*$H76</f>
        <v>0</v>
      </c>
      <c r="D76" s="7">
        <f>0.1*$H76</f>
        <v>0</v>
      </c>
      <c r="E76" s="7">
        <f>0.2*$H76</f>
        <v>0</v>
      </c>
      <c r="F76" s="7">
        <f>0.3*$H76</f>
        <v>0</v>
      </c>
      <c r="G76" s="7">
        <f>0.1*$H76</f>
        <v>0</v>
      </c>
      <c r="H76" s="4"/>
      <c r="J76" s="2" t="b">
        <f>NOT(ISERROR(MATCH(A76,Spice[Spice],0)))</f>
        <v>1</v>
      </c>
    </row>
    <row r="77" spans="1:10" x14ac:dyDescent="0.3">
      <c r="A77" s="8" t="s">
        <v>21</v>
      </c>
      <c r="B77" s="6">
        <f>2.2*$H77</f>
        <v>0</v>
      </c>
      <c r="C77" s="6">
        <f>0.5*$H77</f>
        <v>0</v>
      </c>
      <c r="D77" s="6">
        <f>0.1*$H77</f>
        <v>0</v>
      </c>
      <c r="E77" s="6">
        <f>0.1*$H77</f>
        <v>0</v>
      </c>
      <c r="F77" s="6">
        <f>0.3*$H77</f>
        <v>0</v>
      </c>
      <c r="G77" s="6">
        <f>0*$H77</f>
        <v>0</v>
      </c>
      <c r="H77" s="3"/>
      <c r="J77" s="2" t="b">
        <f>NOT(ISERROR(MATCH(A77,Spice[Spice],0)))</f>
        <v>1</v>
      </c>
    </row>
    <row r="78" spans="1:10" x14ac:dyDescent="0.3">
      <c r="A78" s="9" t="s">
        <v>22</v>
      </c>
      <c r="B78" s="7">
        <f>0*$H78</f>
        <v>0</v>
      </c>
      <c r="C78" s="7">
        <f>0*$H78</f>
        <v>0</v>
      </c>
      <c r="D78" s="7">
        <f>0*$H78</f>
        <v>0</v>
      </c>
      <c r="E78" s="7">
        <f>0*$H78</f>
        <v>0</v>
      </c>
      <c r="F78" s="7">
        <f>0*$H78</f>
        <v>0</v>
      </c>
      <c r="G78" s="7">
        <f>0*$H78</f>
        <v>0</v>
      </c>
      <c r="H78" s="4"/>
      <c r="J78" s="2" t="b">
        <f>NOT(ISERROR(MATCH(A78,Spice[Spice],0)))</f>
        <v>1</v>
      </c>
    </row>
    <row r="79" spans="1:10" x14ac:dyDescent="0.3">
      <c r="A79" s="8" t="s">
        <v>23</v>
      </c>
      <c r="B79" s="6">
        <f>8.2*$H79</f>
        <v>0</v>
      </c>
      <c r="C79" s="6">
        <f>1.9*$H79</f>
        <v>0</v>
      </c>
      <c r="D79" s="6">
        <f>0*$H79</f>
        <v>0</v>
      </c>
      <c r="E79" s="6">
        <f>0.3*$H79</f>
        <v>0</v>
      </c>
      <c r="F79" s="6">
        <f>0.4*$H79</f>
        <v>0</v>
      </c>
      <c r="G79" s="6">
        <f>0.2*$H79</f>
        <v>0</v>
      </c>
      <c r="H79" s="3"/>
      <c r="J79" s="2" t="b">
        <f>NOT(ISERROR(MATCH(A79,Spice[Spice],0)))</f>
        <v>1</v>
      </c>
    </row>
    <row r="80" spans="1:10" x14ac:dyDescent="0.3">
      <c r="A80" s="9" t="s">
        <v>24</v>
      </c>
      <c r="B80" s="7">
        <f>2.7*$H80</f>
        <v>0</v>
      </c>
      <c r="C80" s="7">
        <f>0.7*$H80</f>
        <v>0</v>
      </c>
      <c r="D80" s="7">
        <f>0*$H80</f>
        <v>0</v>
      </c>
      <c r="E80" s="7">
        <f>0.1*$H80</f>
        <v>0</v>
      </c>
      <c r="F80" s="7">
        <f>0.4*$H80</f>
        <v>0</v>
      </c>
      <c r="G80" s="7">
        <f>0*$H80</f>
        <v>0</v>
      </c>
      <c r="H80" s="4"/>
      <c r="J80" s="2" t="b">
        <f>NOT(ISERROR(MATCH(A80,Spice[Spice],0)))</f>
        <v>1</v>
      </c>
    </row>
    <row r="81" spans="1:10" x14ac:dyDescent="0.3">
      <c r="A81" s="8" t="s">
        <v>25</v>
      </c>
      <c r="B81" s="6">
        <f>6.5*$H81</f>
        <v>0</v>
      </c>
      <c r="C81" s="6">
        <f>1.2*$H81</f>
        <v>0</v>
      </c>
      <c r="D81" s="6">
        <f>0.3*$H81</f>
        <v>0</v>
      </c>
      <c r="E81" s="6">
        <f>0.3*$H81</f>
        <v>0</v>
      </c>
      <c r="F81" s="6">
        <f>0.8*$H81</f>
        <v>0</v>
      </c>
      <c r="G81" s="6">
        <f>0.2*$H81</f>
        <v>0</v>
      </c>
      <c r="H81" s="3"/>
      <c r="J81" s="2" t="b">
        <f>NOT(ISERROR(MATCH(A81,Spice[Spice],0)))</f>
        <v>1</v>
      </c>
    </row>
    <row r="82" spans="1:10" x14ac:dyDescent="0.3">
      <c r="A82" s="9" t="s">
        <v>26</v>
      </c>
      <c r="B82" s="7">
        <f>1.5*$H82</f>
        <v>0</v>
      </c>
      <c r="C82" s="7">
        <f>0.3*$H82</f>
        <v>0</v>
      </c>
      <c r="D82" s="7">
        <f>0*$H82</f>
        <v>0</v>
      </c>
      <c r="E82" s="7">
        <f>0.1*$H82</f>
        <v>0</v>
      </c>
      <c r="F82" s="7">
        <f>0.1*$H82</f>
        <v>0</v>
      </c>
      <c r="G82" s="7">
        <f>0*$H82</f>
        <v>0</v>
      </c>
      <c r="H82" s="4"/>
      <c r="J82" s="2" t="b">
        <f>NOT(ISERROR(MATCH(A82,Spice[Spice],0)))</f>
        <v>1</v>
      </c>
    </row>
    <row r="83" spans="1:10" x14ac:dyDescent="0.3">
      <c r="A83" s="8" t="s">
        <v>27</v>
      </c>
      <c r="B83" s="6">
        <f>5.7*$H83</f>
        <v>11.4</v>
      </c>
      <c r="C83" s="6">
        <f>1*$H83</f>
        <v>2</v>
      </c>
      <c r="D83" s="6">
        <f>0.3*$H83</f>
        <v>0.6</v>
      </c>
      <c r="E83" s="6">
        <f>0.2*$H83</f>
        <v>0.4</v>
      </c>
      <c r="F83" s="6">
        <f>0.5*$H83</f>
        <v>1</v>
      </c>
      <c r="G83" s="6">
        <f>0.2*$H83</f>
        <v>0.4</v>
      </c>
      <c r="H83" s="3">
        <v>2</v>
      </c>
      <c r="J83" s="2" t="b">
        <f>NOT(ISERROR(MATCH(A83,Spice[Spice],0)))</f>
        <v>1</v>
      </c>
    </row>
    <row r="84" spans="1:10" x14ac:dyDescent="0.3">
      <c r="A84" s="12" t="s">
        <v>28</v>
      </c>
      <c r="B84" s="13">
        <f t="shared" ref="B84:G84" si="8">0*$H84</f>
        <v>0</v>
      </c>
      <c r="C84" s="13">
        <f t="shared" si="8"/>
        <v>0</v>
      </c>
      <c r="D84" s="13">
        <f t="shared" si="8"/>
        <v>0</v>
      </c>
      <c r="E84" s="13">
        <f t="shared" si="8"/>
        <v>0</v>
      </c>
      <c r="F84" s="13">
        <f t="shared" si="8"/>
        <v>0</v>
      </c>
      <c r="G84" s="13">
        <f t="shared" si="8"/>
        <v>0</v>
      </c>
      <c r="H84" s="14"/>
      <c r="J84" s="2" t="b">
        <f>NOT(ISERROR(MATCH(A84,Spice[Spice],0)))</f>
        <v>1</v>
      </c>
    </row>
    <row r="85" spans="1:10" x14ac:dyDescent="0.3">
      <c r="A85" s="8" t="s">
        <v>29</v>
      </c>
      <c r="B85" s="6">
        <f>2.5*$H85</f>
        <v>0</v>
      </c>
      <c r="C85" s="6">
        <f>0.6*$H85</f>
        <v>0</v>
      </c>
      <c r="D85" s="6">
        <f>0.1*$H85</f>
        <v>0</v>
      </c>
      <c r="E85" s="6">
        <f>0.1*$H85</f>
        <v>0</v>
      </c>
      <c r="F85" s="6">
        <f>0.3*$H85</f>
        <v>0</v>
      </c>
      <c r="G85" s="6">
        <f>0*$H85</f>
        <v>0</v>
      </c>
      <c r="H85" s="3"/>
      <c r="J85" s="2" t="b">
        <f>NOT(ISERROR(MATCH(A85,Spice[Spice],0)))</f>
        <v>1</v>
      </c>
    </row>
    <row r="86" spans="1:10" x14ac:dyDescent="0.3">
      <c r="A86" s="8" t="s">
        <v>31</v>
      </c>
      <c r="B86" s="6">
        <f>0*$H86</f>
        <v>0</v>
      </c>
      <c r="C86" s="6">
        <f>0*$H86</f>
        <v>0</v>
      </c>
      <c r="D86" s="6">
        <f>0*$H86</f>
        <v>0</v>
      </c>
      <c r="E86" s="6">
        <f>0*$H86</f>
        <v>0</v>
      </c>
      <c r="F86" s="6">
        <f>0*$H86</f>
        <v>0</v>
      </c>
      <c r="G86" s="6">
        <f>0*$H86</f>
        <v>0</v>
      </c>
      <c r="H86" s="3"/>
      <c r="J86" s="2" t="b">
        <f>NOT(ISERROR(MATCH(A86,Spice[Spice],0)))</f>
        <v>1</v>
      </c>
    </row>
    <row r="87" spans="1:10" x14ac:dyDescent="0.3">
      <c r="A87" s="8" t="s">
        <v>33</v>
      </c>
      <c r="B87" s="6">
        <f>7.1*$H87</f>
        <v>7.1</v>
      </c>
      <c r="C87" s="6">
        <f>1.6*$H87</f>
        <v>1.6</v>
      </c>
      <c r="D87" s="6">
        <f>0.1*$H87</f>
        <v>0.1</v>
      </c>
      <c r="E87" s="6">
        <f>0.3*$H87</f>
        <v>0.3</v>
      </c>
      <c r="F87" s="6">
        <f>0.6*$H87</f>
        <v>0.6</v>
      </c>
      <c r="G87" s="6">
        <f>0*$H87</f>
        <v>0</v>
      </c>
      <c r="H87" s="3">
        <v>1</v>
      </c>
      <c r="J87" s="2" t="b">
        <f>NOT(ISERROR(MATCH(A87,Spice[Spice],0)))</f>
        <v>1</v>
      </c>
    </row>
    <row r="88" spans="1:10" x14ac:dyDescent="0.3">
      <c r="A88" s="8" t="s">
        <v>34</v>
      </c>
      <c r="B88" s="6">
        <f>SUBTOTAL(109,MexicanSpice[Calories])</f>
        <v>33.6</v>
      </c>
      <c r="C88" s="6">
        <f>SUBTOTAL(109,MexicanSpice[Carbs])</f>
        <v>6.6999999999999993</v>
      </c>
      <c r="D88" s="6">
        <f>SUBTOTAL(109,MexicanSpice[Fat])</f>
        <v>1.2000000000000002</v>
      </c>
      <c r="E88" s="6">
        <f>SUBTOTAL(109,MexicanSpice[Protein])</f>
        <v>1.4000000000000001</v>
      </c>
      <c r="F88" s="6">
        <f>SUBTOTAL(109,MexicanSpice[Fiber])</f>
        <v>3.2</v>
      </c>
      <c r="G88" s="6">
        <f>SUBTOTAL(109,MexicanSpice[Sugar])</f>
        <v>0.60000000000000009</v>
      </c>
      <c r="H88" s="3">
        <f>SUBTOTAL(109,MexicanSpice[Serving by TSP])</f>
        <v>6</v>
      </c>
    </row>
  </sheetData>
  <phoneticPr fontId="4" type="noConversion"/>
  <pageMargins left="0.7" right="0.7" top="0.75" bottom="0.75" header="0.3" footer="0.3"/>
  <pageSetup orientation="portrait" r:id="rId1"/>
  <ignoredErrors>
    <ignoredError sqref="B24 B6:G19 B21:G21 D77" formula="1"/>
    <ignoredError sqref="B66:G67 G78:G87 G77 G68:G75" calculatedColumn="1"/>
    <ignoredError sqref="E77:F77 B77:C77 B78:F87 B68:F75" formula="1" calculatedColumn="1"/>
  </ignoredError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7180-F8FA-4263-BBF1-1AED3D1FB38B}">
  <sheetPr codeName="Sheet13"/>
  <dimension ref="A1:J64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35.425781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ht="56.25" x14ac:dyDescent="0.3">
      <c r="A2" s="1" t="s">
        <v>569</v>
      </c>
      <c r="B2" s="5">
        <f>25*$H2</f>
        <v>175</v>
      </c>
      <c r="C2" s="5">
        <f>5*$H2</f>
        <v>35</v>
      </c>
      <c r="D2" s="5">
        <f>0*$H2</f>
        <v>0</v>
      </c>
      <c r="E2" s="5">
        <f>0*$H2</f>
        <v>0</v>
      </c>
      <c r="F2" s="5">
        <f>1*$H2</f>
        <v>7</v>
      </c>
      <c r="G2" s="5">
        <f>3*$H2</f>
        <v>21</v>
      </c>
      <c r="H2" s="5">
        <v>7</v>
      </c>
      <c r="I2" s="22" t="s">
        <v>570</v>
      </c>
      <c r="J2" s="68" t="b">
        <f>NOT(ISERROR(MATCH(A2,Index[Item],0)))</f>
        <v>1</v>
      </c>
    </row>
    <row r="3" spans="1:10" ht="37.5" x14ac:dyDescent="0.3">
      <c r="A3" s="1" t="s">
        <v>105</v>
      </c>
      <c r="B3" s="5">
        <f>20*$H3</f>
        <v>0</v>
      </c>
      <c r="C3" s="5">
        <f>4*$H3</f>
        <v>0</v>
      </c>
      <c r="D3" s="5">
        <f t="shared" ref="D3:D8" si="0">0*$H3</f>
        <v>0</v>
      </c>
      <c r="E3" s="5">
        <f>1*$H3</f>
        <v>0</v>
      </c>
      <c r="F3" s="5">
        <f>1*$H3</f>
        <v>0</v>
      </c>
      <c r="G3" s="5">
        <f>3*$H3</f>
        <v>0</v>
      </c>
      <c r="H3" s="5"/>
      <c r="I3" s="22" t="s">
        <v>106</v>
      </c>
      <c r="J3" s="68" t="b">
        <f>NOT(ISERROR(MATCH(A3,Index[Item],0)))</f>
        <v>1</v>
      </c>
    </row>
    <row r="4" spans="1:10" x14ac:dyDescent="0.3">
      <c r="A4" s="1" t="s">
        <v>571</v>
      </c>
      <c r="B4" s="5">
        <f>40*$H4</f>
        <v>40</v>
      </c>
      <c r="C4" s="5">
        <f>8*$H4</f>
        <v>8</v>
      </c>
      <c r="D4" s="5">
        <f t="shared" si="0"/>
        <v>0</v>
      </c>
      <c r="E4" s="5">
        <f>2*$H4</f>
        <v>2</v>
      </c>
      <c r="F4" s="5">
        <f>1*$H4</f>
        <v>1</v>
      </c>
      <c r="G4" s="5">
        <f>5*$H4</f>
        <v>5</v>
      </c>
      <c r="H4" s="5">
        <v>1</v>
      </c>
      <c r="I4" s="22" t="s">
        <v>572</v>
      </c>
      <c r="J4" s="68" t="b">
        <f>NOT(ISERROR(MATCH(A4,Index[Item],0)))</f>
        <v>1</v>
      </c>
    </row>
    <row r="5" spans="1:10" x14ac:dyDescent="0.3">
      <c r="A5" s="1" t="s">
        <v>303</v>
      </c>
      <c r="B5" s="5">
        <f>30*$H5</f>
        <v>30</v>
      </c>
      <c r="C5" s="5">
        <f>0*$H5</f>
        <v>0</v>
      </c>
      <c r="D5" s="5">
        <f t="shared" si="0"/>
        <v>0</v>
      </c>
      <c r="E5" s="5">
        <f t="shared" ref="E5:F7" si="1">0*$H5</f>
        <v>0</v>
      </c>
      <c r="F5" s="5">
        <f t="shared" si="1"/>
        <v>0</v>
      </c>
      <c r="G5" s="5">
        <f>8*$H5</f>
        <v>8</v>
      </c>
      <c r="H5" s="5">
        <v>1</v>
      </c>
      <c r="I5" s="22" t="s">
        <v>304</v>
      </c>
      <c r="J5" s="68" t="b">
        <f>NOT(ISERROR(MATCH(A5,Index[Item],0)))</f>
        <v>1</v>
      </c>
    </row>
    <row r="6" spans="1:10" x14ac:dyDescent="0.3">
      <c r="A6" s="1" t="s">
        <v>305</v>
      </c>
      <c r="B6" s="5">
        <f>30*$H6</f>
        <v>0</v>
      </c>
      <c r="C6" s="5">
        <f>8*$H6</f>
        <v>0</v>
      </c>
      <c r="D6" s="5">
        <f t="shared" si="0"/>
        <v>0</v>
      </c>
      <c r="E6" s="5">
        <f t="shared" si="1"/>
        <v>0</v>
      </c>
      <c r="F6" s="5">
        <f t="shared" si="1"/>
        <v>0</v>
      </c>
      <c r="G6" s="5">
        <f>8*$H6</f>
        <v>0</v>
      </c>
      <c r="H6" s="5"/>
      <c r="I6" s="22" t="s">
        <v>304</v>
      </c>
      <c r="J6" s="68" t="b">
        <f>NOT(ISERROR(MATCH(A6,Index[Item],0)))</f>
        <v>1</v>
      </c>
    </row>
    <row r="7" spans="1:10" x14ac:dyDescent="0.3">
      <c r="A7" s="1" t="s">
        <v>308</v>
      </c>
      <c r="B7" s="5">
        <f>60*$H7</f>
        <v>0</v>
      </c>
      <c r="C7" s="5">
        <f>17*$H7</f>
        <v>0</v>
      </c>
      <c r="D7" s="5">
        <f t="shared" si="0"/>
        <v>0</v>
      </c>
      <c r="E7" s="5">
        <f t="shared" si="1"/>
        <v>0</v>
      </c>
      <c r="F7" s="5">
        <f t="shared" si="1"/>
        <v>0</v>
      </c>
      <c r="G7" s="5">
        <f>17*$H7</f>
        <v>0</v>
      </c>
      <c r="H7" s="5"/>
      <c r="I7" s="22" t="s">
        <v>309</v>
      </c>
      <c r="J7" s="68" t="b">
        <f>NOT(ISERROR(MATCH(A7,Index[Item],0)))</f>
        <v>1</v>
      </c>
    </row>
    <row r="8" spans="1:10" x14ac:dyDescent="0.3">
      <c r="A8" s="1" t="s">
        <v>111</v>
      </c>
      <c r="B8" s="5">
        <f>4.5*$H8</f>
        <v>45</v>
      </c>
      <c r="C8" s="5">
        <f>1*$H8</f>
        <v>10</v>
      </c>
      <c r="D8" s="5">
        <f t="shared" si="0"/>
        <v>0</v>
      </c>
      <c r="E8" s="5">
        <f>0.2*$H8</f>
        <v>2</v>
      </c>
      <c r="F8" s="5">
        <f>0.1*$H8</f>
        <v>1</v>
      </c>
      <c r="G8" s="5">
        <f>0*$H8</f>
        <v>0</v>
      </c>
      <c r="H8" s="5">
        <v>10</v>
      </c>
      <c r="I8" s="22" t="s">
        <v>112</v>
      </c>
      <c r="J8" s="68" t="b">
        <f>NOT(ISERROR(MATCH(A8,Index[Item],0)))</f>
        <v>1</v>
      </c>
    </row>
    <row r="9" spans="1:10" x14ac:dyDescent="0.3">
      <c r="A9" s="1" t="s">
        <v>543</v>
      </c>
      <c r="B9" s="5">
        <f>28*$H9</f>
        <v>0</v>
      </c>
      <c r="C9" s="5">
        <f>6.7*$H9</f>
        <v>0</v>
      </c>
      <c r="D9" s="5">
        <f t="shared" ref="D9:D15" si="2">0.2*$H9</f>
        <v>0</v>
      </c>
      <c r="E9" s="5">
        <f>1.9*$H9</f>
        <v>0</v>
      </c>
      <c r="F9" s="5">
        <f>1.2*$H9</f>
        <v>0</v>
      </c>
      <c r="G9" s="5">
        <f>3.2*$H9</f>
        <v>0</v>
      </c>
      <c r="H9" s="5"/>
      <c r="I9" s="22" t="s">
        <v>96</v>
      </c>
      <c r="J9" s="68" t="b">
        <f>NOT(ISERROR(MATCH(A9,Index[Item],0)))</f>
        <v>1</v>
      </c>
    </row>
    <row r="10" spans="1:10" x14ac:dyDescent="0.3">
      <c r="A10" s="1" t="s">
        <v>27</v>
      </c>
      <c r="B10" s="5">
        <f>28*$H10</f>
        <v>0</v>
      </c>
      <c r="C10" s="5">
        <f>6.7*$H10</f>
        <v>0</v>
      </c>
      <c r="D10" s="5">
        <f t="shared" si="2"/>
        <v>0</v>
      </c>
      <c r="E10" s="5">
        <f>0.9*$H10</f>
        <v>0</v>
      </c>
      <c r="F10" s="5">
        <f>1.2*$H10</f>
        <v>0</v>
      </c>
      <c r="G10" s="5">
        <f>4.4*$H10</f>
        <v>0</v>
      </c>
      <c r="H10" s="5"/>
      <c r="I10" s="22" t="s">
        <v>96</v>
      </c>
      <c r="J10" s="68" t="b">
        <f>NOT(ISERROR(MATCH(A10,Index[Item],0)))</f>
        <v>1</v>
      </c>
    </row>
    <row r="11" spans="1:10" x14ac:dyDescent="0.3">
      <c r="A11" s="1" t="s">
        <v>98</v>
      </c>
      <c r="B11" s="5">
        <f>28*$H11</f>
        <v>0</v>
      </c>
      <c r="C11" s="5">
        <f>6.7*$H11</f>
        <v>0</v>
      </c>
      <c r="D11" s="5">
        <f t="shared" si="2"/>
        <v>0</v>
      </c>
      <c r="E11" s="5">
        <f>0.9*$H11</f>
        <v>0</v>
      </c>
      <c r="F11" s="5">
        <f>1.2*$H11</f>
        <v>0</v>
      </c>
      <c r="G11" s="5">
        <f>4.4*$H11</f>
        <v>0</v>
      </c>
      <c r="H11" s="5"/>
      <c r="I11" s="22" t="s">
        <v>96</v>
      </c>
      <c r="J11" s="68" t="b">
        <f>NOT(ISERROR(MATCH(A11,Index[Item],0)))</f>
        <v>1</v>
      </c>
    </row>
    <row r="12" spans="1:10" x14ac:dyDescent="0.3">
      <c r="A12" s="1" t="s">
        <v>99</v>
      </c>
      <c r="B12" s="5">
        <f>27*$H12</f>
        <v>0</v>
      </c>
      <c r="C12" s="5">
        <f>6.3*$H12</f>
        <v>0</v>
      </c>
      <c r="D12" s="5">
        <f t="shared" si="2"/>
        <v>0</v>
      </c>
      <c r="E12" s="5">
        <f>1*$H12</f>
        <v>0</v>
      </c>
      <c r="F12" s="5">
        <f>0.9*$H12</f>
        <v>0</v>
      </c>
      <c r="G12" s="5">
        <f>0*$H12</f>
        <v>0</v>
      </c>
      <c r="H12" s="5"/>
      <c r="I12" s="22" t="s">
        <v>96</v>
      </c>
      <c r="J12" s="68" t="b">
        <f>NOT(ISERROR(MATCH(A12,Index[Item],0)))</f>
        <v>1</v>
      </c>
    </row>
    <row r="13" spans="1:10" x14ac:dyDescent="0.3">
      <c r="A13" s="1" t="s">
        <v>102</v>
      </c>
      <c r="B13" s="5">
        <f>44*$H13</f>
        <v>0</v>
      </c>
      <c r="C13" s="5">
        <f>10*$H13</f>
        <v>0</v>
      </c>
      <c r="D13" s="5">
        <f t="shared" si="2"/>
        <v>0</v>
      </c>
      <c r="E13" s="5">
        <f>1.4*$H13</f>
        <v>0</v>
      </c>
      <c r="F13" s="5">
        <f>1.4*$H13</f>
        <v>0</v>
      </c>
      <c r="G13" s="5">
        <f>4.7*$H13</f>
        <v>0</v>
      </c>
      <c r="H13" s="5"/>
      <c r="I13" s="22" t="s">
        <v>96</v>
      </c>
      <c r="J13" s="68" t="b">
        <f>NOT(ISERROR(MATCH(A13,Index[Item],0)))</f>
        <v>1</v>
      </c>
    </row>
    <row r="14" spans="1:10" x14ac:dyDescent="0.3">
      <c r="A14" s="1" t="s">
        <v>655</v>
      </c>
      <c r="B14" s="5">
        <f>44*$H14</f>
        <v>0</v>
      </c>
      <c r="C14" s="5">
        <f>10*$H14</f>
        <v>0</v>
      </c>
      <c r="D14" s="5">
        <f>0*$H14</f>
        <v>0</v>
      </c>
      <c r="E14" s="5">
        <f>1*$H14</f>
        <v>0</v>
      </c>
      <c r="F14" s="5">
        <f>1*$H14</f>
        <v>0</v>
      </c>
      <c r="G14" s="5">
        <f>5*$H14</f>
        <v>0</v>
      </c>
      <c r="H14" s="5"/>
      <c r="I14" s="22" t="s">
        <v>96</v>
      </c>
      <c r="J14" s="68" t="b">
        <f>NOT(ISERROR(MATCH(A14,Index[Item],0)))</f>
        <v>1</v>
      </c>
    </row>
    <row r="15" spans="1:10" x14ac:dyDescent="0.3">
      <c r="A15" s="1" t="s">
        <v>95</v>
      </c>
      <c r="B15" s="5">
        <f>32*$H15</f>
        <v>0</v>
      </c>
      <c r="C15" s="5">
        <f>7.3*$H15</f>
        <v>0</v>
      </c>
      <c r="D15" s="5">
        <f t="shared" si="2"/>
        <v>0</v>
      </c>
      <c r="E15" s="5">
        <f>1.8*$H15</f>
        <v>0</v>
      </c>
      <c r="F15" s="5">
        <f t="shared" ref="F15" si="3">2.7*$H15</f>
        <v>0</v>
      </c>
      <c r="G15" s="5">
        <f>2.3*$H15</f>
        <v>0</v>
      </c>
      <c r="H15" s="5"/>
      <c r="I15" s="22" t="s">
        <v>96</v>
      </c>
      <c r="J15" s="68" t="b">
        <f>NOT(ISERROR(MATCH(A15,Index[Item],0)))</f>
        <v>1</v>
      </c>
    </row>
    <row r="16" spans="1:10" x14ac:dyDescent="0.3">
      <c r="A16" s="1" t="s">
        <v>101</v>
      </c>
      <c r="B16" s="5">
        <f>29*$H16</f>
        <v>0</v>
      </c>
      <c r="C16" s="5">
        <f>6.5*$H16</f>
        <v>0</v>
      </c>
      <c r="D16" s="5">
        <f>0.4*$H16</f>
        <v>0</v>
      </c>
      <c r="E16" s="5">
        <f>0.9*$H16</f>
        <v>0</v>
      </c>
      <c r="F16" s="5">
        <f>2.8*$H16</f>
        <v>0</v>
      </c>
      <c r="G16" s="5">
        <f>4.1*$H16</f>
        <v>0</v>
      </c>
      <c r="H16" s="5"/>
      <c r="I16" s="22" t="s">
        <v>96</v>
      </c>
      <c r="J16" s="68" t="b">
        <f>NOT(ISERROR(MATCH(A16,Index[Item],0)))</f>
        <v>1</v>
      </c>
    </row>
    <row r="17" spans="1:10" x14ac:dyDescent="0.3">
      <c r="A17" s="1" t="s">
        <v>100</v>
      </c>
      <c r="B17" s="5">
        <f>27*$H17</f>
        <v>0</v>
      </c>
      <c r="C17" s="5">
        <f>5.4*$H17</f>
        <v>0</v>
      </c>
      <c r="D17" s="5">
        <f>0.5*$H17</f>
        <v>0</v>
      </c>
      <c r="E17" s="5">
        <f>1.7*$H17</f>
        <v>0</v>
      </c>
      <c r="F17" s="5">
        <f>3.4*$H17</f>
        <v>0</v>
      </c>
      <c r="G17" s="5">
        <f>2*$H17</f>
        <v>0</v>
      </c>
      <c r="H17" s="5"/>
      <c r="I17" s="22" t="s">
        <v>96</v>
      </c>
      <c r="J17" s="68" t="b">
        <f>NOT(ISERROR(MATCH(A17,Index[Item],0)))</f>
        <v>1</v>
      </c>
    </row>
    <row r="18" spans="1:10" x14ac:dyDescent="0.3">
      <c r="A18" s="1" t="s">
        <v>573</v>
      </c>
      <c r="B18" s="5">
        <f>50*$H18</f>
        <v>0</v>
      </c>
      <c r="C18" s="5">
        <f>0.5*$H18</f>
        <v>0</v>
      </c>
      <c r="D18" s="5">
        <f>5*$H18</f>
        <v>0</v>
      </c>
      <c r="E18" s="5">
        <f>0*$H18</f>
        <v>0</v>
      </c>
      <c r="F18" s="5">
        <f>0*$H18</f>
        <v>0</v>
      </c>
      <c r="G18" s="5">
        <f>0.5*$H18</f>
        <v>0</v>
      </c>
      <c r="H18" s="5"/>
      <c r="I18" s="22" t="s">
        <v>574</v>
      </c>
      <c r="J18" s="68" t="b">
        <f>NOT(ISERROR(MATCH(A18,Index[Item],0)))</f>
        <v>1</v>
      </c>
    </row>
    <row r="19" spans="1:10" x14ac:dyDescent="0.3">
      <c r="A19" s="1" t="s">
        <v>79</v>
      </c>
      <c r="B19" s="5">
        <f>110*$H19</f>
        <v>0</v>
      </c>
      <c r="C19" s="5">
        <f>0.5*$H19</f>
        <v>0</v>
      </c>
      <c r="D19" s="5">
        <f>9*$H19</f>
        <v>0</v>
      </c>
      <c r="E19" s="5">
        <f>7*$H19</f>
        <v>0</v>
      </c>
      <c r="F19" s="5">
        <f>0*$H19</f>
        <v>0</v>
      </c>
      <c r="G19" s="5">
        <f>0*$H19</f>
        <v>0</v>
      </c>
      <c r="H19" s="5"/>
      <c r="I19" s="22" t="s">
        <v>80</v>
      </c>
      <c r="J19" s="68" t="b">
        <f>NOT(ISERROR(MATCH(A19,Index[Item],0)))</f>
        <v>1</v>
      </c>
    </row>
    <row r="20" spans="1:10" x14ac:dyDescent="0.3">
      <c r="A20" s="1" t="s">
        <v>81</v>
      </c>
      <c r="B20" s="5">
        <f>120*$H20</f>
        <v>0</v>
      </c>
      <c r="C20" s="5">
        <f>2*$H20</f>
        <v>0</v>
      </c>
      <c r="D20" s="5">
        <f>9*$H20</f>
        <v>0</v>
      </c>
      <c r="E20" s="5">
        <f>6*$H20</f>
        <v>0</v>
      </c>
      <c r="F20" s="5">
        <f>0*$H20</f>
        <v>0</v>
      </c>
      <c r="G20" s="5">
        <f>0*$H20</f>
        <v>0</v>
      </c>
      <c r="H20" s="5"/>
      <c r="I20" s="22" t="s">
        <v>80</v>
      </c>
      <c r="J20" s="68" t="b">
        <f>NOT(ISERROR(MATCH(A20,Index[Item],0)))</f>
        <v>1</v>
      </c>
    </row>
    <row r="21" spans="1:10" x14ac:dyDescent="0.3">
      <c r="A21" s="1" t="s">
        <v>82</v>
      </c>
      <c r="B21" s="5">
        <f>100*$H21</f>
        <v>0</v>
      </c>
      <c r="C21" s="5">
        <f>1*$H21</f>
        <v>0</v>
      </c>
      <c r="D21" s="5">
        <f>8*$H21</f>
        <v>0</v>
      </c>
      <c r="E21" s="5">
        <f>6*$H21</f>
        <v>0</v>
      </c>
      <c r="F21" s="5">
        <f t="shared" ref="F21:F30" si="4">0*$H21</f>
        <v>0</v>
      </c>
      <c r="G21" s="5">
        <f>0.5*$H21</f>
        <v>0</v>
      </c>
      <c r="H21" s="5"/>
      <c r="I21" s="22" t="s">
        <v>80</v>
      </c>
      <c r="J21" s="68" t="b">
        <f>NOT(ISERROR(MATCH(A21,Index[Item],0)))</f>
        <v>1</v>
      </c>
    </row>
    <row r="22" spans="1:10" x14ac:dyDescent="0.3">
      <c r="A22" s="1" t="s">
        <v>83</v>
      </c>
      <c r="B22" s="5">
        <f>90*$H22</f>
        <v>0</v>
      </c>
      <c r="C22" s="5">
        <f>2*$H22</f>
        <v>0</v>
      </c>
      <c r="D22" s="5">
        <f>6*$H22</f>
        <v>0</v>
      </c>
      <c r="E22" s="5">
        <f>7*$H22</f>
        <v>0</v>
      </c>
      <c r="F22" s="5">
        <f t="shared" si="4"/>
        <v>0</v>
      </c>
      <c r="G22" s="5">
        <f>0*$H22</f>
        <v>0</v>
      </c>
      <c r="H22" s="5"/>
      <c r="I22" s="22" t="s">
        <v>80</v>
      </c>
      <c r="J22" s="68" t="b">
        <f>NOT(ISERROR(MATCH(A22,Index[Item],0)))</f>
        <v>1</v>
      </c>
    </row>
    <row r="23" spans="1:10" x14ac:dyDescent="0.3">
      <c r="A23" s="1" t="s">
        <v>84</v>
      </c>
      <c r="B23" s="5">
        <f>110*$H23</f>
        <v>0</v>
      </c>
      <c r="C23" s="5">
        <f>0.5*$H23</f>
        <v>0</v>
      </c>
      <c r="D23" s="5">
        <f>9*$H23</f>
        <v>0</v>
      </c>
      <c r="E23" s="5">
        <f>6*$H23</f>
        <v>0</v>
      </c>
      <c r="F23" s="5">
        <f t="shared" si="4"/>
        <v>0</v>
      </c>
      <c r="G23" s="5">
        <f>0.5*$H23</f>
        <v>0</v>
      </c>
      <c r="H23" s="5"/>
      <c r="I23" s="22" t="s">
        <v>80</v>
      </c>
      <c r="J23" s="68" t="b">
        <f>NOT(ISERROR(MATCH(A23,Index[Item],0)))</f>
        <v>1</v>
      </c>
    </row>
    <row r="24" spans="1:10" x14ac:dyDescent="0.3">
      <c r="A24" s="1" t="s">
        <v>85</v>
      </c>
      <c r="B24" s="5">
        <f>80*$H24</f>
        <v>0</v>
      </c>
      <c r="C24" s="5">
        <f>2*$H24</f>
        <v>0</v>
      </c>
      <c r="D24" s="5">
        <f>6*$H24</f>
        <v>0</v>
      </c>
      <c r="E24" s="5">
        <f>7*$H24</f>
        <v>0</v>
      </c>
      <c r="F24" s="5">
        <f t="shared" si="4"/>
        <v>0</v>
      </c>
      <c r="G24" s="5">
        <f>0.5*$H24</f>
        <v>0</v>
      </c>
      <c r="H24" s="5"/>
      <c r="I24" s="22" t="s">
        <v>80</v>
      </c>
      <c r="J24" s="68" t="b">
        <f>NOT(ISERROR(MATCH(A24,Index[Item],0)))</f>
        <v>1</v>
      </c>
    </row>
    <row r="25" spans="1:10" ht="37.5" x14ac:dyDescent="0.3">
      <c r="A25" s="1" t="s">
        <v>86</v>
      </c>
      <c r="B25" s="5">
        <f>90*$H25</f>
        <v>0</v>
      </c>
      <c r="C25" s="5">
        <f>1*$H25</f>
        <v>0</v>
      </c>
      <c r="D25" s="5">
        <f>7*$H25</f>
        <v>0</v>
      </c>
      <c r="E25" s="5">
        <f>6*$H25</f>
        <v>0</v>
      </c>
      <c r="F25" s="5">
        <f t="shared" si="4"/>
        <v>0</v>
      </c>
      <c r="G25" s="5">
        <f>0*$H25</f>
        <v>0</v>
      </c>
      <c r="H25" s="5"/>
      <c r="I25" s="22" t="s">
        <v>80</v>
      </c>
      <c r="J25" s="68" t="b">
        <f>NOT(ISERROR(MATCH(A25,Index[Item],0)))</f>
        <v>1</v>
      </c>
    </row>
    <row r="26" spans="1:10" ht="37.5" x14ac:dyDescent="0.3">
      <c r="A26" s="1" t="s">
        <v>87</v>
      </c>
      <c r="B26" s="5">
        <f>80*$H26</f>
        <v>0</v>
      </c>
      <c r="C26" s="5">
        <f>2*$H26</f>
        <v>0</v>
      </c>
      <c r="D26" s="5">
        <f>6*$H26</f>
        <v>0</v>
      </c>
      <c r="E26" s="5">
        <f>7*$H26</f>
        <v>0</v>
      </c>
      <c r="F26" s="5">
        <f t="shared" si="4"/>
        <v>0</v>
      </c>
      <c r="G26" s="5">
        <f>0.5*$H26</f>
        <v>0</v>
      </c>
      <c r="H26" s="5"/>
      <c r="I26" s="22" t="s">
        <v>80</v>
      </c>
      <c r="J26" s="68" t="b">
        <f>NOT(ISERROR(MATCH(A26,Index[Item],0)))</f>
        <v>1</v>
      </c>
    </row>
    <row r="27" spans="1:10" x14ac:dyDescent="0.3">
      <c r="A27" s="1" t="s">
        <v>88</v>
      </c>
      <c r="B27" s="5">
        <f>20*$H27</f>
        <v>0</v>
      </c>
      <c r="C27" s="5">
        <f>0*$H27</f>
        <v>0</v>
      </c>
      <c r="D27" s="5">
        <f>1.5*$H27</f>
        <v>0</v>
      </c>
      <c r="E27" s="5">
        <f>2*$H27</f>
        <v>0</v>
      </c>
      <c r="F27" s="5">
        <f t="shared" si="4"/>
        <v>0</v>
      </c>
      <c r="G27" s="5">
        <f>0*$H27</f>
        <v>0</v>
      </c>
      <c r="H27" s="5"/>
      <c r="I27" s="22" t="s">
        <v>89</v>
      </c>
      <c r="J27" s="68" t="b">
        <f>NOT(ISERROR(MATCH(A27,Index[Item],0)))</f>
        <v>1</v>
      </c>
    </row>
    <row r="28" spans="1:10" ht="37.5" x14ac:dyDescent="0.3">
      <c r="A28" s="1" t="s">
        <v>548</v>
      </c>
      <c r="B28" s="5">
        <f>80*$H28</f>
        <v>0</v>
      </c>
      <c r="C28" s="5">
        <f>2*$H28</f>
        <v>0</v>
      </c>
      <c r="D28" s="5">
        <f>6*$H28</f>
        <v>0</v>
      </c>
      <c r="E28" s="5">
        <f>7*$H28</f>
        <v>0</v>
      </c>
      <c r="F28" s="5">
        <f t="shared" si="4"/>
        <v>0</v>
      </c>
      <c r="G28" s="5">
        <f>0.5*$H28</f>
        <v>0</v>
      </c>
      <c r="H28" s="5"/>
      <c r="I28" s="22" t="s">
        <v>549</v>
      </c>
      <c r="J28" s="68" t="b">
        <f>NOT(ISERROR(MATCH(A28,Index[Item],0)))</f>
        <v>1</v>
      </c>
    </row>
    <row r="29" spans="1:10" ht="37.5" x14ac:dyDescent="0.3">
      <c r="A29" s="1" t="s">
        <v>550</v>
      </c>
      <c r="B29" s="5">
        <f>110*$H29</f>
        <v>0</v>
      </c>
      <c r="C29" s="5">
        <f>0*$H29</f>
        <v>0</v>
      </c>
      <c r="D29" s="5">
        <f>9*$H29</f>
        <v>0</v>
      </c>
      <c r="E29" s="5">
        <f>6*$H29</f>
        <v>0</v>
      </c>
      <c r="F29" s="5">
        <f t="shared" si="4"/>
        <v>0</v>
      </c>
      <c r="G29" s="5">
        <f>0*$H29</f>
        <v>0</v>
      </c>
      <c r="H29" s="5"/>
      <c r="I29" s="22" t="s">
        <v>549</v>
      </c>
      <c r="J29" s="68" t="b">
        <f>NOT(ISERROR(MATCH(A29,Index[Item],0)))</f>
        <v>1</v>
      </c>
    </row>
    <row r="30" spans="1:10" x14ac:dyDescent="0.3">
      <c r="A30" s="1" t="s">
        <v>551</v>
      </c>
      <c r="B30" s="5">
        <f>110*$H30</f>
        <v>0</v>
      </c>
      <c r="C30" s="5">
        <f>1*$H30</f>
        <v>0</v>
      </c>
      <c r="D30" s="5">
        <f>9*$H30</f>
        <v>0</v>
      </c>
      <c r="E30" s="5">
        <f>6*$H30</f>
        <v>0</v>
      </c>
      <c r="F30" s="5">
        <f t="shared" si="4"/>
        <v>0</v>
      </c>
      <c r="G30" s="5">
        <f>0*$H30</f>
        <v>0</v>
      </c>
      <c r="H30" s="5"/>
      <c r="I30" s="22" t="s">
        <v>549</v>
      </c>
      <c r="J30" s="68" t="b">
        <f>NOT(ISERROR(MATCH(A30,Index[Item],0)))</f>
        <v>1</v>
      </c>
    </row>
    <row r="31" spans="1:10" ht="37.5" x14ac:dyDescent="0.3">
      <c r="A31" s="1" t="s">
        <v>342</v>
      </c>
      <c r="B31" s="5">
        <f>120*$H31</f>
        <v>0</v>
      </c>
      <c r="C31" s="5">
        <f>0*$H31</f>
        <v>0</v>
      </c>
      <c r="D31" s="5">
        <f>14*$H31</f>
        <v>0</v>
      </c>
      <c r="E31" s="5">
        <f t="shared" ref="E31:G32" si="5">0*$H31</f>
        <v>0</v>
      </c>
      <c r="F31" s="5">
        <f t="shared" si="5"/>
        <v>0</v>
      </c>
      <c r="G31" s="5">
        <f t="shared" si="5"/>
        <v>0</v>
      </c>
      <c r="H31" s="5"/>
      <c r="I31" s="22" t="s">
        <v>307</v>
      </c>
      <c r="J31" s="68" t="b">
        <f>NOT(ISERROR(MATCH(A31,Index[Item],0)))</f>
        <v>1</v>
      </c>
    </row>
    <row r="32" spans="1:10" x14ac:dyDescent="0.3">
      <c r="A32" s="1" t="s">
        <v>344</v>
      </c>
      <c r="B32" s="5">
        <f>100*$H32</f>
        <v>200</v>
      </c>
      <c r="C32" s="5">
        <f>0*$H32</f>
        <v>0</v>
      </c>
      <c r="D32" s="5">
        <f>11*$H32</f>
        <v>22</v>
      </c>
      <c r="E32" s="5">
        <f t="shared" si="5"/>
        <v>0</v>
      </c>
      <c r="F32" s="5">
        <f t="shared" si="5"/>
        <v>0</v>
      </c>
      <c r="G32" s="5">
        <f t="shared" si="5"/>
        <v>0</v>
      </c>
      <c r="H32" s="5">
        <v>2</v>
      </c>
      <c r="I32" s="22" t="s">
        <v>345</v>
      </c>
      <c r="J32" s="68" t="b">
        <f>NOT(ISERROR(MATCH(A32,Index[Item],0)))</f>
        <v>1</v>
      </c>
    </row>
    <row r="33" spans="1:10" x14ac:dyDescent="0.3">
      <c r="A33" s="1" t="s">
        <v>481</v>
      </c>
      <c r="B33" s="5">
        <f>PizzaSpice30[[#Totals],[Calories]]</f>
        <v>43.699999999999996</v>
      </c>
      <c r="C33" s="5">
        <f>PizzaSpice30[[#Totals],[Carbs]]</f>
        <v>9.6999999999999993</v>
      </c>
      <c r="D33" s="5">
        <f>PizzaSpice30[[#Totals],[Fat]]</f>
        <v>0.4</v>
      </c>
      <c r="E33" s="5">
        <f>PizzaSpice30[[#Totals],[Protein]]</f>
        <v>2.8000000000000003</v>
      </c>
      <c r="F33" s="5">
        <f>PizzaSpice30[[#Totals],[Fiber]]</f>
        <v>4.0999999999999996</v>
      </c>
      <c r="G33" s="5">
        <f>PizzaSpice30[[#Totals],[Sugar]]</f>
        <v>0.5</v>
      </c>
      <c r="H33" s="5">
        <f>PizzaSpice30[[#Totals],[Serving by TSP]]</f>
        <v>11</v>
      </c>
      <c r="J33" s="68" t="b">
        <f>NOT(ISERROR(MATCH(A33,Index[Item],0)))</f>
        <v>1</v>
      </c>
    </row>
    <row r="34" spans="1:10" x14ac:dyDescent="0.3">
      <c r="A34" s="1" t="s">
        <v>544</v>
      </c>
      <c r="B34" s="5">
        <f>SUBTOTAL(109,Sauce[Calories])/Sauce[[#Totals],[Measurement]]</f>
        <v>533.70000000000005</v>
      </c>
      <c r="C34" s="5">
        <f>SUBTOTAL(109,Sauce[Carbs])/Sauce[[#Totals],[Measurement]]</f>
        <v>62.7</v>
      </c>
      <c r="D34" s="5">
        <f>SUBTOTAL(109,Sauce[[Fat ]])/Sauce[[#Totals],[Measurement]]</f>
        <v>22.4</v>
      </c>
      <c r="E34" s="5">
        <f>SUBTOTAL(109,Sauce[Protein])/Sauce[[#Totals],[Measurement]]</f>
        <v>6.8000000000000007</v>
      </c>
      <c r="F34" s="5">
        <f>SUBTOTAL(109,Sauce[Fiber])/Sauce[[#Totals],[Measurement]]</f>
        <v>13.1</v>
      </c>
      <c r="G34" s="5">
        <f>SUBTOTAL(109,Sauce[Sugar])/Sauce[[#Totals],[Measurement]]</f>
        <v>34.5</v>
      </c>
      <c r="H34" s="5">
        <f>SUBTOTAL(109,Sauce[Servings])/Sauce[[#Totals],[Measurement]]</f>
        <v>32</v>
      </c>
      <c r="I34" s="22" t="s">
        <v>553</v>
      </c>
    </row>
    <row r="36" spans="1:10" x14ac:dyDescent="0.3">
      <c r="A36" s="48" t="s">
        <v>0</v>
      </c>
      <c r="B36" s="49" t="s">
        <v>1</v>
      </c>
      <c r="C36" s="49" t="s">
        <v>2</v>
      </c>
      <c r="D36" s="49" t="s">
        <v>3</v>
      </c>
      <c r="E36" s="49" t="s">
        <v>4</v>
      </c>
      <c r="F36" s="49" t="s">
        <v>5</v>
      </c>
      <c r="G36" s="49" t="s">
        <v>6</v>
      </c>
      <c r="H36" s="50" t="s">
        <v>7</v>
      </c>
      <c r="I36" s="22" t="s">
        <v>542</v>
      </c>
    </row>
    <row r="37" spans="1:10" x14ac:dyDescent="0.3">
      <c r="A37" s="51" t="s">
        <v>8</v>
      </c>
      <c r="B37" s="46">
        <f>1.6*$H37</f>
        <v>1.6</v>
      </c>
      <c r="C37" s="46">
        <f>0.3*$H37</f>
        <v>0.3</v>
      </c>
      <c r="D37" s="46">
        <f>0*$H37</f>
        <v>0</v>
      </c>
      <c r="E37" s="46">
        <f>0.2*$H37</f>
        <v>0.2</v>
      </c>
      <c r="F37" s="46">
        <f>0.3*$H37</f>
        <v>0.3</v>
      </c>
      <c r="G37" s="46">
        <f>0*$H37</f>
        <v>0</v>
      </c>
      <c r="H37" s="52">
        <v>1</v>
      </c>
      <c r="J37" s="2" t="b">
        <f>NOT(ISERROR(MATCH(A37,Spice[Spice],0)))</f>
        <v>1</v>
      </c>
    </row>
    <row r="38" spans="1:10" x14ac:dyDescent="0.3">
      <c r="A38" s="51" t="s">
        <v>9</v>
      </c>
      <c r="B38" s="46">
        <f>5.8*$H38</f>
        <v>5.8</v>
      </c>
      <c r="C38" s="46">
        <f>1.5*$H38</f>
        <v>1.5</v>
      </c>
      <c r="D38" s="46">
        <f>0.1*$H38</f>
        <v>0.1</v>
      </c>
      <c r="E38" s="46">
        <f>0.2*$H38</f>
        <v>0.2</v>
      </c>
      <c r="F38" s="46">
        <f>0.6*$H38</f>
        <v>0.6</v>
      </c>
      <c r="G38" s="46">
        <f>0*$H38</f>
        <v>0</v>
      </c>
      <c r="H38" s="52">
        <v>1</v>
      </c>
      <c r="J38" s="2" t="b">
        <f>NOT(ISERROR(MATCH(A38,Spice[Spice],0)))</f>
        <v>1</v>
      </c>
    </row>
    <row r="39" spans="1:10" x14ac:dyDescent="0.3">
      <c r="A39" s="53" t="s">
        <v>10</v>
      </c>
      <c r="B39" s="54">
        <f>7.6*$H39</f>
        <v>0</v>
      </c>
      <c r="C39" s="54">
        <f>1.3*$H39</f>
        <v>0</v>
      </c>
      <c r="D39" s="54">
        <f>0.4*$H39</f>
        <v>0</v>
      </c>
      <c r="E39" s="54">
        <f>0.4*$H39</f>
        <v>0</v>
      </c>
      <c r="F39" s="54">
        <f>0.9*$H39</f>
        <v>0</v>
      </c>
      <c r="G39" s="54">
        <f>0.2*$H39</f>
        <v>0</v>
      </c>
      <c r="H39" s="55"/>
      <c r="J39" s="2" t="b">
        <f>NOT(ISERROR(MATCH(A39,Spice[Spice],0)))</f>
        <v>1</v>
      </c>
    </row>
    <row r="40" spans="1:10" x14ac:dyDescent="0.3">
      <c r="A40" s="56" t="s">
        <v>11</v>
      </c>
      <c r="B40" s="32">
        <f>48*$H40</f>
        <v>0</v>
      </c>
      <c r="C40" s="32">
        <f>8*$H40</f>
        <v>0</v>
      </c>
      <c r="D40" s="32">
        <f>0*$H40</f>
        <v>0</v>
      </c>
      <c r="E40" s="32">
        <f>0*$H40</f>
        <v>0</v>
      </c>
      <c r="F40" s="32">
        <f>0*$H40</f>
        <v>0</v>
      </c>
      <c r="G40" s="32">
        <f>0*$H40</f>
        <v>0</v>
      </c>
      <c r="H40" s="57"/>
      <c r="J40" s="2" t="b">
        <f>NOT(ISERROR(MATCH(A40,Spice[Spice],0)))</f>
        <v>1</v>
      </c>
    </row>
    <row r="41" spans="1:10" x14ac:dyDescent="0.3">
      <c r="A41" s="53" t="s">
        <v>12</v>
      </c>
      <c r="B41" s="54">
        <f>6.4*$H41</f>
        <v>0</v>
      </c>
      <c r="C41" s="54">
        <f>2.1*$H41</f>
        <v>0</v>
      </c>
      <c r="D41" s="54">
        <f>0*$H40</f>
        <v>0</v>
      </c>
      <c r="E41" s="54">
        <f>0.1*$H41</f>
        <v>0</v>
      </c>
      <c r="F41" s="54">
        <f>1.4*$H41</f>
        <v>0</v>
      </c>
      <c r="G41" s="54">
        <f>0.1*$H41</f>
        <v>0</v>
      </c>
      <c r="H41" s="55"/>
      <c r="J41" s="2" t="b">
        <f>NOT(ISERROR(MATCH(A41,Spice[Spice],0)))</f>
        <v>1</v>
      </c>
    </row>
    <row r="42" spans="1:10" x14ac:dyDescent="0.3">
      <c r="A42" s="51" t="s">
        <v>13</v>
      </c>
      <c r="B42" s="46">
        <f>1.7*$H42</f>
        <v>0</v>
      </c>
      <c r="C42" s="46">
        <f>0.3*$H42</f>
        <v>0</v>
      </c>
      <c r="D42" s="46">
        <f>0*$H42</f>
        <v>0</v>
      </c>
      <c r="E42" s="46">
        <f>0.1*$H42</f>
        <v>0</v>
      </c>
      <c r="F42" s="46">
        <f>0.1*$H42</f>
        <v>0</v>
      </c>
      <c r="G42" s="46">
        <f>0*$H42</f>
        <v>0</v>
      </c>
      <c r="H42" s="52"/>
      <c r="J42" s="2" t="b">
        <f>NOT(ISERROR(MATCH(A42,Spice[Spice],0)))</f>
        <v>1</v>
      </c>
    </row>
    <row r="43" spans="1:10" ht="37.5" x14ac:dyDescent="0.3">
      <c r="A43" s="51" t="s">
        <v>14</v>
      </c>
      <c r="B43" s="46">
        <f>5.7*$H43</f>
        <v>11.4</v>
      </c>
      <c r="C43" s="46">
        <f>1*$H43</f>
        <v>2</v>
      </c>
      <c r="D43" s="46">
        <f>0*$H43</f>
        <v>0</v>
      </c>
      <c r="E43" s="46">
        <f>0.2*$H43</f>
        <v>0.4</v>
      </c>
      <c r="F43" s="46">
        <f>0.5*$H43</f>
        <v>1</v>
      </c>
      <c r="G43" s="46">
        <f>0.2*$H43</f>
        <v>0.4</v>
      </c>
      <c r="H43" s="52">
        <v>2</v>
      </c>
      <c r="J43" s="2" t="b">
        <f>NOT(ISERROR(MATCH(A43,Spice[Spice],0)))</f>
        <v>1</v>
      </c>
    </row>
    <row r="44" spans="1:10" x14ac:dyDescent="0.3">
      <c r="A44" s="56" t="s">
        <v>15</v>
      </c>
      <c r="B44" s="32">
        <f>7.6*$H44</f>
        <v>0</v>
      </c>
      <c r="C44" s="32">
        <f>0.9*$H44</f>
        <v>0</v>
      </c>
      <c r="D44" s="32">
        <f>0.5*$H44</f>
        <v>0</v>
      </c>
      <c r="E44" s="32">
        <f>0.4*$H44</f>
        <v>0</v>
      </c>
      <c r="F44" s="32">
        <f>0.2*$H44</f>
        <v>0</v>
      </c>
      <c r="G44" s="32">
        <f>0.1*$H44</f>
        <v>0</v>
      </c>
      <c r="H44" s="57"/>
      <c r="J44" s="2" t="b">
        <f>NOT(ISERROR(MATCH(A44,Spice[Spice],0)))</f>
        <v>1</v>
      </c>
    </row>
    <row r="45" spans="1:10" x14ac:dyDescent="0.3">
      <c r="A45" s="56" t="s">
        <v>16</v>
      </c>
      <c r="B45" s="32">
        <f>(36/5)*$H45</f>
        <v>0</v>
      </c>
      <c r="C45" s="32">
        <f>(5/5)*$H45</f>
        <v>0</v>
      </c>
      <c r="D45" s="32">
        <f>(1.2/5)*$H45</f>
        <v>0</v>
      </c>
      <c r="E45" s="32">
        <f>(1.3/5)*$H45</f>
        <v>0</v>
      </c>
      <c r="F45" s="32">
        <f>(3/5)*$H45</f>
        <v>0</v>
      </c>
      <c r="G45" s="32">
        <f>(0.2/5)*$H45</f>
        <v>0</v>
      </c>
      <c r="H45" s="57"/>
      <c r="J45" s="2" t="b">
        <f>NOT(ISERROR(MATCH(A45,Spice[Spice],0)))</f>
        <v>1</v>
      </c>
    </row>
    <row r="46" spans="1:10" x14ac:dyDescent="0.3">
      <c r="A46" s="51" t="s">
        <v>17</v>
      </c>
      <c r="B46" s="46">
        <f>5*$H46</f>
        <v>0</v>
      </c>
      <c r="C46" s="46">
        <f>1*$H46</f>
        <v>0</v>
      </c>
      <c r="D46" s="46">
        <f>0*$H46</f>
        <v>0</v>
      </c>
      <c r="E46" s="46">
        <f>0*$H46</f>
        <v>0</v>
      </c>
      <c r="F46" s="46">
        <f>0*$H46</f>
        <v>0</v>
      </c>
      <c r="G46" s="46">
        <f>0*$H46</f>
        <v>0</v>
      </c>
      <c r="H46" s="52"/>
      <c r="J46" s="2" t="b">
        <f>NOT(ISERROR(MATCH(A46,Spice[Spice],0)))</f>
        <v>1</v>
      </c>
    </row>
    <row r="47" spans="1:10" x14ac:dyDescent="0.3">
      <c r="A47" s="51" t="s">
        <v>18</v>
      </c>
      <c r="B47" s="46">
        <f>10*$H47</f>
        <v>10</v>
      </c>
      <c r="C47" s="46">
        <f>2.3*$H47</f>
        <v>2.2999999999999998</v>
      </c>
      <c r="D47" s="46">
        <f>0*$H47</f>
        <v>0</v>
      </c>
      <c r="E47" s="46">
        <f>0.5*$H47</f>
        <v>0.5</v>
      </c>
      <c r="F47" s="46">
        <f>0.3*$H47</f>
        <v>0.3</v>
      </c>
      <c r="G47" s="46">
        <f>0.1*$H47</f>
        <v>0.1</v>
      </c>
      <c r="H47" s="52">
        <v>1</v>
      </c>
      <c r="J47" s="2" t="b">
        <f>NOT(ISERROR(MATCH(A47,Spice[Spice],0)))</f>
        <v>1</v>
      </c>
    </row>
    <row r="48" spans="1:10" x14ac:dyDescent="0.3">
      <c r="A48" s="53" t="s">
        <v>19</v>
      </c>
      <c r="B48" s="54">
        <f>1.2*$H48</f>
        <v>1.2</v>
      </c>
      <c r="C48" s="54">
        <f>0.3*$H48</f>
        <v>0.3</v>
      </c>
      <c r="D48" s="54">
        <f>0*$H48</f>
        <v>0</v>
      </c>
      <c r="E48" s="54">
        <f>1*$H48</f>
        <v>1</v>
      </c>
      <c r="F48" s="54">
        <f>0*$H48</f>
        <v>0</v>
      </c>
      <c r="G48" s="54">
        <f>0*$H48</f>
        <v>0</v>
      </c>
      <c r="H48" s="55">
        <v>1</v>
      </c>
      <c r="J48" s="2" t="b">
        <f>NOT(ISERROR(MATCH(A48,Spice[Spice],0)))</f>
        <v>1</v>
      </c>
    </row>
    <row r="49" spans="1:10" x14ac:dyDescent="0.3">
      <c r="A49" s="53" t="s">
        <v>20</v>
      </c>
      <c r="B49" s="54">
        <f>6*$H49</f>
        <v>0</v>
      </c>
      <c r="C49" s="54">
        <f>1.3*$H49</f>
        <v>0</v>
      </c>
      <c r="D49" s="54">
        <f>0.1*$H49</f>
        <v>0</v>
      </c>
      <c r="E49" s="54">
        <f>0.2*$H49</f>
        <v>0</v>
      </c>
      <c r="F49" s="54">
        <f>0.3*$H49</f>
        <v>0</v>
      </c>
      <c r="G49" s="54">
        <f>0.1*$H49</f>
        <v>0</v>
      </c>
      <c r="H49" s="55"/>
      <c r="J49" s="2" t="b">
        <f>NOT(ISERROR(MATCH(A49,Spice[Spice],0)))</f>
        <v>1</v>
      </c>
    </row>
    <row r="50" spans="1:10" x14ac:dyDescent="0.3">
      <c r="A50" s="51" t="s">
        <v>21</v>
      </c>
      <c r="B50" s="46">
        <f>2.2*$H50</f>
        <v>4.4000000000000004</v>
      </c>
      <c r="C50" s="46">
        <f>0.5*$H50</f>
        <v>1</v>
      </c>
      <c r="D50" s="46">
        <f>0.1*$H50</f>
        <v>0.2</v>
      </c>
      <c r="E50" s="46">
        <f>0.1*$H50</f>
        <v>0.2</v>
      </c>
      <c r="F50" s="46">
        <f>0.3*$H50</f>
        <v>0.6</v>
      </c>
      <c r="G50" s="46">
        <f>0*$H50</f>
        <v>0</v>
      </c>
      <c r="H50" s="52">
        <v>2</v>
      </c>
      <c r="J50" s="2" t="b">
        <f>NOT(ISERROR(MATCH(A50,Spice[Spice],0)))</f>
        <v>1</v>
      </c>
    </row>
    <row r="51" spans="1:10" x14ac:dyDescent="0.3">
      <c r="A51" s="53" t="s">
        <v>22</v>
      </c>
      <c r="B51" s="54">
        <f>0*$H51</f>
        <v>0</v>
      </c>
      <c r="C51" s="54">
        <f>0*$H51</f>
        <v>0</v>
      </c>
      <c r="D51" s="54">
        <f>0*$H51</f>
        <v>0</v>
      </c>
      <c r="E51" s="54">
        <f>0*$H51</f>
        <v>0</v>
      </c>
      <c r="F51" s="54">
        <f>0*$H51</f>
        <v>0</v>
      </c>
      <c r="G51" s="54">
        <f>0*$H51</f>
        <v>0</v>
      </c>
      <c r="H51" s="55"/>
      <c r="J51" s="2" t="b">
        <f>NOT(ISERROR(MATCH(A51,Spice[Spice],0)))</f>
        <v>1</v>
      </c>
    </row>
    <row r="52" spans="1:10" x14ac:dyDescent="0.3">
      <c r="A52" s="51" t="s">
        <v>23</v>
      </c>
      <c r="B52" s="46">
        <f>8.2*$H52</f>
        <v>0</v>
      </c>
      <c r="C52" s="46">
        <f>1.9*$H52</f>
        <v>0</v>
      </c>
      <c r="D52" s="46">
        <f>0*$H52</f>
        <v>0</v>
      </c>
      <c r="E52" s="46">
        <f>0.3*$H52</f>
        <v>0</v>
      </c>
      <c r="F52" s="46">
        <f>0.4*$H52</f>
        <v>0</v>
      </c>
      <c r="G52" s="46">
        <f>0.2*$H52</f>
        <v>0</v>
      </c>
      <c r="H52" s="52"/>
      <c r="J52" s="2" t="b">
        <f>NOT(ISERROR(MATCH(A52,Spice[Spice],0)))</f>
        <v>1</v>
      </c>
    </row>
    <row r="53" spans="1:10" x14ac:dyDescent="0.3">
      <c r="A53" s="53" t="s">
        <v>24</v>
      </c>
      <c r="B53" s="54">
        <f>2.7*$H53</f>
        <v>5.4</v>
      </c>
      <c r="C53" s="54">
        <f>0.7*$H53</f>
        <v>1.4</v>
      </c>
      <c r="D53" s="54">
        <f>0*$H53</f>
        <v>0</v>
      </c>
      <c r="E53" s="54">
        <f>0.1*$H53</f>
        <v>0.2</v>
      </c>
      <c r="F53" s="54">
        <f>0.4*$H53</f>
        <v>0.8</v>
      </c>
      <c r="G53" s="54">
        <f>0*$H53</f>
        <v>0</v>
      </c>
      <c r="H53" s="55">
        <v>2</v>
      </c>
      <c r="J53" s="2" t="b">
        <f>NOT(ISERROR(MATCH(A53,Spice[Spice],0)))</f>
        <v>1</v>
      </c>
    </row>
    <row r="54" spans="1:10" x14ac:dyDescent="0.3">
      <c r="A54" s="56" t="s">
        <v>25</v>
      </c>
      <c r="B54" s="32">
        <f>6.5*$H54</f>
        <v>0</v>
      </c>
      <c r="C54" s="32">
        <f>1.2*$H54</f>
        <v>0</v>
      </c>
      <c r="D54" s="32">
        <f>0.3*$H54</f>
        <v>0</v>
      </c>
      <c r="E54" s="32">
        <f>0.3*$H54</f>
        <v>0</v>
      </c>
      <c r="F54" s="32">
        <f>0.8*$H54</f>
        <v>0</v>
      </c>
      <c r="G54" s="32">
        <f>0.2*$H54</f>
        <v>0</v>
      </c>
      <c r="H54" s="57"/>
      <c r="J54" s="2" t="b">
        <f>NOT(ISERROR(MATCH(A54,Spice[Spice],0)))</f>
        <v>1</v>
      </c>
    </row>
    <row r="55" spans="1:10" x14ac:dyDescent="0.3">
      <c r="A55" s="51" t="s">
        <v>26</v>
      </c>
      <c r="B55" s="46">
        <f>1.5*$H55</f>
        <v>0</v>
      </c>
      <c r="C55" s="46">
        <f>0.3*$H55</f>
        <v>0</v>
      </c>
      <c r="D55" s="46">
        <f>0*$H55</f>
        <v>0</v>
      </c>
      <c r="E55" s="46">
        <f>0.1*$H55</f>
        <v>0</v>
      </c>
      <c r="F55" s="46">
        <f>0.1*$H55</f>
        <v>0</v>
      </c>
      <c r="G55" s="46">
        <f>0*$H55</f>
        <v>0</v>
      </c>
      <c r="H55" s="52"/>
      <c r="J55" s="2" t="b">
        <f>NOT(ISERROR(MATCH(A55,Spice[Spice],0)))</f>
        <v>1</v>
      </c>
    </row>
    <row r="56" spans="1:10" x14ac:dyDescent="0.3">
      <c r="A56" s="51" t="s">
        <v>27</v>
      </c>
      <c r="B56" s="46">
        <f>5.7*$H56</f>
        <v>0</v>
      </c>
      <c r="C56" s="46">
        <f>1*$H56</f>
        <v>0</v>
      </c>
      <c r="D56" s="46">
        <f>0.3*$H56</f>
        <v>0</v>
      </c>
      <c r="E56" s="46">
        <f>0.2*$H56</f>
        <v>0</v>
      </c>
      <c r="F56" s="46">
        <f>0.5*$H56</f>
        <v>0</v>
      </c>
      <c r="G56" s="46">
        <f>0.2*$H56</f>
        <v>0</v>
      </c>
      <c r="H56" s="52"/>
      <c r="J56" s="2" t="b">
        <f>NOT(ISERROR(MATCH(A56,Spice[Spice],0)))</f>
        <v>1</v>
      </c>
    </row>
    <row r="57" spans="1:10" x14ac:dyDescent="0.3">
      <c r="A57" s="53" t="s">
        <v>28</v>
      </c>
      <c r="B57" s="54">
        <f t="shared" ref="B57:G57" si="6">0*$H57</f>
        <v>0</v>
      </c>
      <c r="C57" s="54">
        <f t="shared" si="6"/>
        <v>0</v>
      </c>
      <c r="D57" s="54">
        <f t="shared" si="6"/>
        <v>0</v>
      </c>
      <c r="E57" s="54">
        <f t="shared" si="6"/>
        <v>0</v>
      </c>
      <c r="F57" s="54">
        <f t="shared" si="6"/>
        <v>0</v>
      </c>
      <c r="G57" s="54">
        <f t="shared" si="6"/>
        <v>0</v>
      </c>
      <c r="H57" s="55"/>
      <c r="J57" s="2" t="b">
        <f>NOT(ISERROR(MATCH(A57,Spice[Spice],0)))</f>
        <v>1</v>
      </c>
    </row>
    <row r="58" spans="1:10" x14ac:dyDescent="0.3">
      <c r="A58" s="56" t="s">
        <v>29</v>
      </c>
      <c r="B58" s="32">
        <f>2.5*$H58</f>
        <v>0</v>
      </c>
      <c r="C58" s="32">
        <f>0.6*$H58</f>
        <v>0</v>
      </c>
      <c r="D58" s="32">
        <f>0.1*$H58</f>
        <v>0</v>
      </c>
      <c r="E58" s="32">
        <f>0.1*$H58</f>
        <v>0</v>
      </c>
      <c r="F58" s="32">
        <f>0.3*$H58</f>
        <v>0</v>
      </c>
      <c r="G58" s="32">
        <f t="shared" ref="G58:G63" si="7">0*$H58</f>
        <v>0</v>
      </c>
      <c r="H58" s="57"/>
      <c r="J58" s="2" t="b">
        <f>NOT(ISERROR(MATCH(A58,Spice[Spice],0)))</f>
        <v>1</v>
      </c>
    </row>
    <row r="59" spans="1:10" x14ac:dyDescent="0.3">
      <c r="A59" s="41" t="s">
        <v>30</v>
      </c>
      <c r="B59" s="32">
        <f>4*$H59</f>
        <v>0</v>
      </c>
      <c r="C59" s="32">
        <f>1*$H59</f>
        <v>0</v>
      </c>
      <c r="D59" s="32">
        <f t="shared" ref="D59:F60" si="8">0*$H59</f>
        <v>0</v>
      </c>
      <c r="E59" s="32">
        <f t="shared" si="8"/>
        <v>0</v>
      </c>
      <c r="F59" s="32">
        <f t="shared" si="8"/>
        <v>0</v>
      </c>
      <c r="G59" s="32">
        <f t="shared" si="7"/>
        <v>0</v>
      </c>
      <c r="H59" s="42"/>
      <c r="J59" s="2" t="b">
        <f>NOT(ISERROR(MATCH(A59,Spice[Spice],0)))</f>
        <v>1</v>
      </c>
    </row>
    <row r="60" spans="1:10" x14ac:dyDescent="0.3">
      <c r="A60" s="41" t="s">
        <v>31</v>
      </c>
      <c r="B60" s="32">
        <f>0*$H60</f>
        <v>0</v>
      </c>
      <c r="C60" s="32">
        <f>0*$H60</f>
        <v>0</v>
      </c>
      <c r="D60" s="32">
        <f t="shared" si="8"/>
        <v>0</v>
      </c>
      <c r="E60" s="32">
        <f t="shared" si="8"/>
        <v>0</v>
      </c>
      <c r="F60" s="32">
        <f t="shared" si="8"/>
        <v>0</v>
      </c>
      <c r="G60" s="32">
        <f t="shared" si="7"/>
        <v>0</v>
      </c>
      <c r="H60" s="42"/>
      <c r="J60" s="2" t="b">
        <f>NOT(ISERROR(MATCH(A60,Spice[Spice],0)))</f>
        <v>1</v>
      </c>
    </row>
    <row r="61" spans="1:10" x14ac:dyDescent="0.3">
      <c r="A61" s="56" t="s">
        <v>32</v>
      </c>
      <c r="B61" s="32">
        <f>8*$H61</f>
        <v>0</v>
      </c>
      <c r="C61" s="32">
        <f>1.43*$H61</f>
        <v>0</v>
      </c>
      <c r="D61" s="32">
        <f>0.22*$H61</f>
        <v>0</v>
      </c>
      <c r="E61" s="32">
        <f>0.17*$H61</f>
        <v>0</v>
      </c>
      <c r="F61" s="32">
        <f>0.5*$H61</f>
        <v>0</v>
      </c>
      <c r="G61" s="32">
        <f t="shared" si="7"/>
        <v>0</v>
      </c>
      <c r="H61" s="57"/>
      <c r="J61" s="2" t="b">
        <f>NOT(ISERROR(MATCH(A61,Spice[Spice],0)))</f>
        <v>1</v>
      </c>
    </row>
    <row r="62" spans="1:10" x14ac:dyDescent="0.3">
      <c r="A62" s="56" t="s">
        <v>632</v>
      </c>
      <c r="B62" s="32">
        <f>3.9*$H62</f>
        <v>3.9</v>
      </c>
      <c r="C62" s="32">
        <f>0.9*$H62</f>
        <v>0.9</v>
      </c>
      <c r="D62" s="32">
        <f>0.1*$H62</f>
        <v>0.1</v>
      </c>
      <c r="E62" s="32">
        <f>0.1*$H62</f>
        <v>0.1</v>
      </c>
      <c r="F62" s="32">
        <f>0.5*$H62</f>
        <v>0.5</v>
      </c>
      <c r="G62" s="32">
        <f t="shared" si="7"/>
        <v>0</v>
      </c>
      <c r="H62" s="57">
        <v>1</v>
      </c>
      <c r="J62" s="2" t="b">
        <f>NOT(ISERROR(MATCH(A62,Spice[Spice],0)))</f>
        <v>1</v>
      </c>
    </row>
    <row r="63" spans="1:10" x14ac:dyDescent="0.3">
      <c r="A63" s="56" t="s">
        <v>33</v>
      </c>
      <c r="B63" s="32">
        <f>7.1*$H63</f>
        <v>0</v>
      </c>
      <c r="C63" s="32">
        <f>1.6*$H63</f>
        <v>0</v>
      </c>
      <c r="D63" s="32">
        <f>0.1*$H63</f>
        <v>0</v>
      </c>
      <c r="E63" s="32">
        <f>0.3*$H63</f>
        <v>0</v>
      </c>
      <c r="F63" s="32">
        <f>0.6*$H63</f>
        <v>0</v>
      </c>
      <c r="G63" s="32">
        <f t="shared" si="7"/>
        <v>0</v>
      </c>
      <c r="H63" s="57"/>
      <c r="J63" s="2" t="b">
        <f>NOT(ISERROR(MATCH(A63,Spice[Spice],0)))</f>
        <v>1</v>
      </c>
    </row>
    <row r="64" spans="1:10" x14ac:dyDescent="0.3">
      <c r="A64" s="42" t="s">
        <v>34</v>
      </c>
      <c r="B64" s="42">
        <f>SUBTOTAL(109,PizzaSpice30[Calories])</f>
        <v>43.699999999999996</v>
      </c>
      <c r="C64" s="42">
        <f>SUBTOTAL(109,PizzaSpice30[Carbs])</f>
        <v>9.6999999999999993</v>
      </c>
      <c r="D64" s="42">
        <f>SUBTOTAL(109,PizzaSpice30[Fat])</f>
        <v>0.4</v>
      </c>
      <c r="E64" s="42">
        <f>SUBTOTAL(109,PizzaSpice30[Protein])</f>
        <v>2.8000000000000003</v>
      </c>
      <c r="F64" s="42">
        <f>SUBTOTAL(109,PizzaSpice30[Fiber])</f>
        <v>4.0999999999999996</v>
      </c>
      <c r="G64" s="42">
        <f>SUBTOTAL(109,PizzaSpice30[Sugar])</f>
        <v>0.5</v>
      </c>
      <c r="H64" s="32">
        <f>SUBTOTAL(109,PizzaSpice30[Serving by TSP])</f>
        <v>11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2948A-7924-4A67-BE32-49DF4942740D}">
  <sheetPr codeName="Sheet21"/>
  <dimension ref="A1:J69"/>
  <sheetViews>
    <sheetView workbookViewId="0"/>
  </sheetViews>
  <sheetFormatPr defaultColWidth="9.140625" defaultRowHeight="18.75" x14ac:dyDescent="0.3"/>
  <cols>
    <col min="1" max="1" width="26.42578125" style="1" customWidth="1"/>
    <col min="2" max="6" width="13.85546875" style="2" customWidth="1"/>
    <col min="7" max="7" width="14.7109375" style="2" customWidth="1"/>
    <col min="8" max="8" width="21.140625" style="2" customWidth="1"/>
    <col min="9" max="9" width="39.42578125" style="2" customWidth="1"/>
    <col min="10" max="10" width="10.28515625" style="2" customWidth="1"/>
    <col min="11" max="16384" width="9.140625" style="2"/>
  </cols>
  <sheetData>
    <row r="1" spans="1:10" x14ac:dyDescent="0.3">
      <c r="A1" s="2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x14ac:dyDescent="0.3">
      <c r="A2" s="1" t="s">
        <v>564</v>
      </c>
      <c r="B2" s="5">
        <f>'Pasta Sauce'!B34*$H2</f>
        <v>533.70000000000005</v>
      </c>
      <c r="C2" s="5">
        <f>'Pasta Sauce'!C34*$H2</f>
        <v>62.7</v>
      </c>
      <c r="D2" s="5">
        <f>'Pasta Sauce'!D34*$H2</f>
        <v>22.4</v>
      </c>
      <c r="E2" s="5">
        <f>'Pasta Sauce'!E34*$H2</f>
        <v>6.8000000000000007</v>
      </c>
      <c r="F2" s="5">
        <f>'Pasta Sauce'!F34*$H2</f>
        <v>13.1</v>
      </c>
      <c r="G2" s="5">
        <f>'Pasta Sauce'!G34*$H2</f>
        <v>34.5</v>
      </c>
      <c r="H2" s="5">
        <v>1</v>
      </c>
      <c r="J2" s="5" t="b">
        <f>NOT(ISERROR(MATCH(A2,Index[Item],0)))</f>
        <v>1</v>
      </c>
    </row>
    <row r="3" spans="1:10" x14ac:dyDescent="0.3">
      <c r="A3" s="1" t="s">
        <v>650</v>
      </c>
      <c r="B3" s="5">
        <f>180*$H3</f>
        <v>0</v>
      </c>
      <c r="C3" s="5">
        <f>40*$H3</f>
        <v>0</v>
      </c>
      <c r="D3" s="5">
        <f>1.5*$H3</f>
        <v>0</v>
      </c>
      <c r="E3" s="5">
        <f>7*$H3</f>
        <v>0</v>
      </c>
      <c r="F3" s="5">
        <f>6*$H3</f>
        <v>0</v>
      </c>
      <c r="G3" s="5">
        <f>2*$H3</f>
        <v>0</v>
      </c>
      <c r="H3" s="5"/>
      <c r="I3" s="2" t="s">
        <v>653</v>
      </c>
      <c r="J3" s="5" t="b">
        <f>NOT(ISERROR(MATCH(A3,Index[Item],0)))</f>
        <v>1</v>
      </c>
    </row>
    <row r="4" spans="1:10" x14ac:dyDescent="0.3">
      <c r="A4" s="1" t="s">
        <v>651</v>
      </c>
      <c r="B4" s="5">
        <f>200*$H4</f>
        <v>1600</v>
      </c>
      <c r="C4" s="5">
        <f>41*$H4</f>
        <v>328</v>
      </c>
      <c r="D4" s="5">
        <f>0.5*$H4</f>
        <v>4</v>
      </c>
      <c r="E4" s="5">
        <f>7*$H4</f>
        <v>56</v>
      </c>
      <c r="F4" s="5">
        <f>2*$H4</f>
        <v>16</v>
      </c>
      <c r="G4" s="5">
        <f>2*$H4</f>
        <v>16</v>
      </c>
      <c r="H4" s="5">
        <v>8</v>
      </c>
      <c r="I4" s="2" t="s">
        <v>653</v>
      </c>
      <c r="J4" s="5" t="b">
        <f>NOT(ISERROR(MATCH(A4,Index[Item],0)))</f>
        <v>1</v>
      </c>
    </row>
    <row r="5" spans="1:10" x14ac:dyDescent="0.3">
      <c r="A5" s="1" t="s">
        <v>652</v>
      </c>
      <c r="B5" s="5">
        <f>200*$H5</f>
        <v>0</v>
      </c>
      <c r="C5" s="5">
        <f>42*$H5</f>
        <v>0</v>
      </c>
      <c r="D5" s="5">
        <f>0.5*$H5</f>
        <v>0</v>
      </c>
      <c r="E5" s="5">
        <f>7*$H5</f>
        <v>0</v>
      </c>
      <c r="F5" s="5">
        <f>2*$H5</f>
        <v>0</v>
      </c>
      <c r="G5" s="5">
        <f>2*$H5</f>
        <v>0</v>
      </c>
      <c r="H5" s="5"/>
      <c r="I5" s="2" t="s">
        <v>653</v>
      </c>
      <c r="J5" s="5" t="b">
        <f>NOT(ISERROR(MATCH(A5,Index[Item],0)))</f>
        <v>1</v>
      </c>
    </row>
    <row r="6" spans="1:10" x14ac:dyDescent="0.3">
      <c r="A6" s="1" t="s">
        <v>229</v>
      </c>
      <c r="B6" s="5">
        <f>110*$H6</f>
        <v>0</v>
      </c>
      <c r="C6" s="5">
        <f>0*$H6</f>
        <v>0</v>
      </c>
      <c r="D6" s="5">
        <f>3*$H6</f>
        <v>0</v>
      </c>
      <c r="E6" s="5">
        <f>22*$H6</f>
        <v>0</v>
      </c>
      <c r="F6" s="5">
        <f>0*$H6</f>
        <v>0</v>
      </c>
      <c r="G6" s="5">
        <f>0*$H6</f>
        <v>0</v>
      </c>
      <c r="H6" s="5"/>
      <c r="I6" s="2" t="s">
        <v>204</v>
      </c>
      <c r="J6" s="5" t="b">
        <f>NOT(ISERROR(MATCH(A6,Index[Item],0)))</f>
        <v>1</v>
      </c>
    </row>
    <row r="7" spans="1:10" x14ac:dyDescent="0.3">
      <c r="A7" s="1" t="s">
        <v>195</v>
      </c>
      <c r="B7" s="5">
        <f>25*$H7</f>
        <v>0</v>
      </c>
      <c r="C7" s="5">
        <f>0*$H7</f>
        <v>0</v>
      </c>
      <c r="D7" s="5">
        <f>1.5*$H7</f>
        <v>0</v>
      </c>
      <c r="E7" s="5">
        <f t="shared" ref="E7" si="0">3*$H7</f>
        <v>0</v>
      </c>
      <c r="F7" s="5">
        <f t="shared" ref="F7:F14" si="1">0*$H7</f>
        <v>0</v>
      </c>
      <c r="G7" s="5">
        <f>0*$H7</f>
        <v>0</v>
      </c>
      <c r="H7" s="5"/>
      <c r="J7" s="5" t="b">
        <f>NOT(ISERROR(MATCH(A7,Index[Item],0)))</f>
        <v>1</v>
      </c>
    </row>
    <row r="8" spans="1:10" x14ac:dyDescent="0.3">
      <c r="A8" s="1" t="s">
        <v>217</v>
      </c>
      <c r="B8" s="5">
        <f>240*$H8</f>
        <v>1200</v>
      </c>
      <c r="C8" s="5">
        <f>5*$H8</f>
        <v>25</v>
      </c>
      <c r="D8" s="5">
        <f>18*$H8</f>
        <v>90</v>
      </c>
      <c r="E8" s="5">
        <f>14*$H8</f>
        <v>70</v>
      </c>
      <c r="F8" s="5">
        <f>1*$H8</f>
        <v>5</v>
      </c>
      <c r="G8" s="5">
        <f>2*$H8</f>
        <v>10</v>
      </c>
      <c r="H8" s="2">
        <v>5</v>
      </c>
      <c r="I8" s="22" t="s">
        <v>216</v>
      </c>
      <c r="J8" s="5" t="b">
        <f>NOT(ISERROR(MATCH(A8,Index[Item],0)))</f>
        <v>1</v>
      </c>
    </row>
    <row r="9" spans="1:10" ht="37.5" x14ac:dyDescent="0.3">
      <c r="A9" s="1" t="s">
        <v>654</v>
      </c>
      <c r="B9" s="5">
        <f>290*$H9</f>
        <v>1160</v>
      </c>
      <c r="C9" s="5">
        <f>0*$H9</f>
        <v>0</v>
      </c>
      <c r="D9" s="5">
        <f>23*$H9</f>
        <v>92</v>
      </c>
      <c r="E9" s="5">
        <f>15*$H9</f>
        <v>60</v>
      </c>
      <c r="F9" s="5">
        <f>0*$H9</f>
        <v>0</v>
      </c>
      <c r="G9" s="5">
        <f>0*$H9</f>
        <v>0</v>
      </c>
      <c r="H9" s="2">
        <v>4</v>
      </c>
      <c r="I9" s="60" t="s">
        <v>657</v>
      </c>
      <c r="J9" s="5" t="b">
        <f>NOT(ISERROR(MATCH(A9,Index[Item],0)))</f>
        <v>1</v>
      </c>
    </row>
    <row r="10" spans="1:10" ht="37.5" x14ac:dyDescent="0.3">
      <c r="A10" s="1" t="s">
        <v>178</v>
      </c>
      <c r="B10" s="5">
        <f>130*$H10</f>
        <v>0</v>
      </c>
      <c r="C10" s="5">
        <f>0*$H10</f>
        <v>0</v>
      </c>
      <c r="D10" s="5">
        <f>12*$H10</f>
        <v>0</v>
      </c>
      <c r="E10" s="5">
        <f>6*$H10</f>
        <v>0</v>
      </c>
      <c r="F10" s="5">
        <f t="shared" si="1"/>
        <v>0</v>
      </c>
      <c r="G10" s="5">
        <f>0*$H10</f>
        <v>0</v>
      </c>
      <c r="H10" s="5"/>
      <c r="I10" s="2" t="s">
        <v>179</v>
      </c>
      <c r="J10" s="5" t="b">
        <f>NOT(ISERROR(MATCH(A10,Index[Item],0)))</f>
        <v>1</v>
      </c>
    </row>
    <row r="11" spans="1:10" ht="37.5" x14ac:dyDescent="0.3">
      <c r="A11" s="1" t="s">
        <v>180</v>
      </c>
      <c r="B11" s="5">
        <f>70*$H11</f>
        <v>0</v>
      </c>
      <c r="C11" s="5">
        <f>0.5*$H11</f>
        <v>0</v>
      </c>
      <c r="D11" s="5">
        <f>4*$H11</f>
        <v>0</v>
      </c>
      <c r="E11" s="5">
        <f>10*$H11</f>
        <v>0</v>
      </c>
      <c r="F11" s="5">
        <f t="shared" si="1"/>
        <v>0</v>
      </c>
      <c r="G11" s="5">
        <f>0.5*$H11</f>
        <v>0</v>
      </c>
      <c r="H11" s="5"/>
      <c r="I11" s="2" t="s">
        <v>181</v>
      </c>
      <c r="J11" s="5" t="b">
        <f>NOT(ISERROR(MATCH(A11,Index[Item],0)))</f>
        <v>1</v>
      </c>
    </row>
    <row r="12" spans="1:10" ht="37.5" x14ac:dyDescent="0.3">
      <c r="A12" s="1" t="s">
        <v>183</v>
      </c>
      <c r="B12" s="5">
        <f>110*$H12</f>
        <v>0</v>
      </c>
      <c r="C12" s="5">
        <f>0.5*$H12</f>
        <v>0</v>
      </c>
      <c r="D12" s="5">
        <f>10*$H12</f>
        <v>0</v>
      </c>
      <c r="E12" s="5">
        <f>6*$H12</f>
        <v>0</v>
      </c>
      <c r="F12" s="5">
        <f t="shared" si="1"/>
        <v>0</v>
      </c>
      <c r="G12" s="5">
        <f>0*$H12</f>
        <v>0</v>
      </c>
      <c r="H12" s="5"/>
      <c r="I12" s="60" t="s">
        <v>181</v>
      </c>
      <c r="J12" s="5" t="b">
        <f>NOT(ISERROR(MATCH(A12,Index[Item],0)))</f>
        <v>1</v>
      </c>
    </row>
    <row r="13" spans="1:10" ht="37.5" x14ac:dyDescent="0.3">
      <c r="A13" s="1" t="s">
        <v>643</v>
      </c>
      <c r="B13" s="5">
        <f>120*$H13</f>
        <v>0</v>
      </c>
      <c r="C13" s="5">
        <f>1*$H13</f>
        <v>0</v>
      </c>
      <c r="D13" s="5">
        <f>10*$H13</f>
        <v>0</v>
      </c>
      <c r="E13" s="5">
        <f>6*$H13</f>
        <v>0</v>
      </c>
      <c r="F13" s="5">
        <f>0*$H13</f>
        <v>0</v>
      </c>
      <c r="G13" s="5">
        <f>0.5*$H13</f>
        <v>0</v>
      </c>
      <c r="H13" s="5"/>
      <c r="I13" s="60" t="s">
        <v>181</v>
      </c>
      <c r="J13" s="5" t="b">
        <f>NOT(ISERROR(MATCH(A13,Index[Item],0)))</f>
        <v>1</v>
      </c>
    </row>
    <row r="14" spans="1:10" ht="37.5" x14ac:dyDescent="0.3">
      <c r="A14" s="1" t="s">
        <v>184</v>
      </c>
      <c r="B14" s="5">
        <f>210*$H14</f>
        <v>0</v>
      </c>
      <c r="C14" s="5">
        <f>2*$H14</f>
        <v>0</v>
      </c>
      <c r="D14" s="5">
        <f>18*$H14</f>
        <v>0</v>
      </c>
      <c r="E14" s="5">
        <f>10*$H14</f>
        <v>0</v>
      </c>
      <c r="F14" s="5">
        <f t="shared" si="1"/>
        <v>0</v>
      </c>
      <c r="G14" s="5">
        <f>2*$H14</f>
        <v>0</v>
      </c>
      <c r="H14" s="5"/>
      <c r="I14" s="2" t="s">
        <v>185</v>
      </c>
      <c r="J14" s="5" t="b">
        <f>NOT(ISERROR(MATCH(A14,Index[Item],0)))</f>
        <v>1</v>
      </c>
    </row>
    <row r="15" spans="1:10" x14ac:dyDescent="0.3">
      <c r="A15" s="1" t="s">
        <v>573</v>
      </c>
      <c r="B15" s="5">
        <f>50*$H15</f>
        <v>0</v>
      </c>
      <c r="C15" s="5">
        <f>0.5*$H15</f>
        <v>0</v>
      </c>
      <c r="D15" s="5">
        <f>5*$H15</f>
        <v>0</v>
      </c>
      <c r="E15" s="5">
        <f>0*$H15</f>
        <v>0</v>
      </c>
      <c r="F15" s="5">
        <f>0*$H15</f>
        <v>0</v>
      </c>
      <c r="G15" s="5">
        <f>0.5*$H15</f>
        <v>0</v>
      </c>
      <c r="H15" s="5"/>
      <c r="I15" s="2" t="s">
        <v>574</v>
      </c>
      <c r="J15" s="5" t="b">
        <f>NOT(ISERROR(MATCH(A15,Index[Item],0)))</f>
        <v>1</v>
      </c>
    </row>
    <row r="16" spans="1:10" ht="37.5" x14ac:dyDescent="0.3">
      <c r="A16" s="1" t="s">
        <v>645</v>
      </c>
      <c r="B16" s="5">
        <f>100*$H16</f>
        <v>0</v>
      </c>
      <c r="C16" s="5">
        <f>0.5*$H16</f>
        <v>0</v>
      </c>
      <c r="D16" s="5">
        <f>10*$H16</f>
        <v>0</v>
      </c>
      <c r="E16" s="5">
        <f>2*$H16</f>
        <v>0</v>
      </c>
      <c r="F16" s="5">
        <f>0*$H16</f>
        <v>0</v>
      </c>
      <c r="G16" s="5">
        <f>0.5*$H16</f>
        <v>0</v>
      </c>
      <c r="H16" s="5"/>
      <c r="I16" s="2" t="s">
        <v>556</v>
      </c>
      <c r="J16" s="5" t="b">
        <f>NOT(ISERROR(MATCH(A16,Index[Item],0)))</f>
        <v>1</v>
      </c>
    </row>
    <row r="17" spans="1:10" x14ac:dyDescent="0.3">
      <c r="A17" s="1" t="s">
        <v>543</v>
      </c>
      <c r="B17" s="5">
        <f>28*$H17</f>
        <v>56</v>
      </c>
      <c r="C17" s="5">
        <f>6.7*$H17</f>
        <v>13.4</v>
      </c>
      <c r="D17" s="5">
        <f t="shared" ref="D17:D23" si="2">0.2*$H17</f>
        <v>0.4</v>
      </c>
      <c r="E17" s="5">
        <f>1.9*$H17</f>
        <v>3.8</v>
      </c>
      <c r="F17" s="5">
        <f>1.2*$H17</f>
        <v>2.4</v>
      </c>
      <c r="G17" s="5">
        <f>3.2*$H17</f>
        <v>6.4</v>
      </c>
      <c r="H17" s="5">
        <v>2</v>
      </c>
      <c r="I17" s="2" t="s">
        <v>96</v>
      </c>
      <c r="J17" s="5" t="b">
        <f>NOT(ISERROR(MATCH(A17,Index[Item],0)))</f>
        <v>1</v>
      </c>
    </row>
    <row r="18" spans="1:10" x14ac:dyDescent="0.3">
      <c r="A18" s="1" t="s">
        <v>27</v>
      </c>
      <c r="B18" s="5">
        <f>28*$H18</f>
        <v>0</v>
      </c>
      <c r="C18" s="5">
        <f>6.7*$H18</f>
        <v>0</v>
      </c>
      <c r="D18" s="5">
        <f t="shared" si="2"/>
        <v>0</v>
      </c>
      <c r="E18" s="5">
        <f>0.9*$H18</f>
        <v>0</v>
      </c>
      <c r="F18" s="5">
        <f>1.2*$H18</f>
        <v>0</v>
      </c>
      <c r="G18" s="5">
        <f>4.4*$H18</f>
        <v>0</v>
      </c>
      <c r="H18" s="5"/>
      <c r="I18" s="2" t="s">
        <v>96</v>
      </c>
      <c r="J18" s="5" t="b">
        <f>NOT(ISERROR(MATCH(A18,Index[Item],0)))</f>
        <v>1</v>
      </c>
    </row>
    <row r="19" spans="1:10" x14ac:dyDescent="0.3">
      <c r="A19" s="1" t="s">
        <v>102</v>
      </c>
      <c r="B19" s="5">
        <f>44*$H19</f>
        <v>0</v>
      </c>
      <c r="C19" s="5">
        <f>10*$H19</f>
        <v>0</v>
      </c>
      <c r="D19" s="5">
        <f t="shared" si="2"/>
        <v>0</v>
      </c>
      <c r="E19" s="5">
        <f>1.4*$H19</f>
        <v>0</v>
      </c>
      <c r="F19" s="5">
        <f>1.4*$H19</f>
        <v>0</v>
      </c>
      <c r="G19" s="5">
        <f>4.7*$H19</f>
        <v>0</v>
      </c>
      <c r="H19" s="5"/>
      <c r="I19" s="2" t="s">
        <v>96</v>
      </c>
      <c r="J19" s="5" t="b">
        <f>NOT(ISERROR(MATCH(A19,Index[Item],0)))</f>
        <v>1</v>
      </c>
    </row>
    <row r="20" spans="1:10" x14ac:dyDescent="0.3">
      <c r="A20" s="1" t="s">
        <v>655</v>
      </c>
      <c r="B20" s="5">
        <f>44*$H20</f>
        <v>88</v>
      </c>
      <c r="C20" s="5">
        <f>10*$H20</f>
        <v>20</v>
      </c>
      <c r="D20" s="5">
        <f>0*$H20</f>
        <v>0</v>
      </c>
      <c r="E20" s="5">
        <f>1*$H20</f>
        <v>2</v>
      </c>
      <c r="F20" s="5">
        <f>1*$H20</f>
        <v>2</v>
      </c>
      <c r="G20" s="5">
        <f>5*$H20</f>
        <v>10</v>
      </c>
      <c r="H20" s="5">
        <v>2</v>
      </c>
      <c r="I20" s="2" t="s">
        <v>96</v>
      </c>
      <c r="J20" s="5" t="b">
        <f>NOT(ISERROR(MATCH(A20,Index[Item],0)))</f>
        <v>1</v>
      </c>
    </row>
    <row r="21" spans="1:10" x14ac:dyDescent="0.3">
      <c r="A21" s="1" t="s">
        <v>98</v>
      </c>
      <c r="B21" s="5">
        <f>28*$H21</f>
        <v>0</v>
      </c>
      <c r="C21" s="5">
        <f>6.7*$H21</f>
        <v>0</v>
      </c>
      <c r="D21" s="5">
        <f t="shared" si="2"/>
        <v>0</v>
      </c>
      <c r="E21" s="5">
        <f>0.9*$H21</f>
        <v>0</v>
      </c>
      <c r="F21" s="5">
        <f>1.2*$H21</f>
        <v>0</v>
      </c>
      <c r="G21" s="5">
        <f>4.4*$H21</f>
        <v>0</v>
      </c>
      <c r="H21" s="5"/>
      <c r="I21" s="2" t="s">
        <v>96</v>
      </c>
      <c r="J21" s="5" t="b">
        <f>NOT(ISERROR(MATCH(A21,Index[Item],0)))</f>
        <v>1</v>
      </c>
    </row>
    <row r="22" spans="1:10" x14ac:dyDescent="0.3">
      <c r="A22" s="1" t="s">
        <v>99</v>
      </c>
      <c r="B22" s="5">
        <f>27*$H22</f>
        <v>0</v>
      </c>
      <c r="C22" s="5">
        <f>6.3*$H22</f>
        <v>0</v>
      </c>
      <c r="D22" s="5">
        <f t="shared" si="2"/>
        <v>0</v>
      </c>
      <c r="E22" s="5">
        <f>1*$H22</f>
        <v>0</v>
      </c>
      <c r="F22" s="5">
        <f>0.9*$H22</f>
        <v>0</v>
      </c>
      <c r="G22" s="5">
        <f>0*$H22</f>
        <v>0</v>
      </c>
      <c r="H22" s="5"/>
      <c r="I22" s="2" t="s">
        <v>96</v>
      </c>
      <c r="J22" s="5" t="b">
        <f>NOT(ISERROR(MATCH(A22,Index[Item],0)))</f>
        <v>1</v>
      </c>
    </row>
    <row r="23" spans="1:10" x14ac:dyDescent="0.3">
      <c r="A23" s="1" t="s">
        <v>95</v>
      </c>
      <c r="B23" s="5">
        <f>32*$H23</f>
        <v>0</v>
      </c>
      <c r="C23" s="5">
        <f>7.3*$H23</f>
        <v>0</v>
      </c>
      <c r="D23" s="5">
        <f t="shared" si="2"/>
        <v>0</v>
      </c>
      <c r="E23" s="5">
        <f>1.8*$H23</f>
        <v>0</v>
      </c>
      <c r="F23" s="5">
        <f>2.7*$H23</f>
        <v>0</v>
      </c>
      <c r="G23" s="5">
        <f>2.3*$H23</f>
        <v>0</v>
      </c>
      <c r="H23" s="5"/>
      <c r="I23" s="2" t="s">
        <v>96</v>
      </c>
      <c r="J23" s="5" t="b">
        <f>NOT(ISERROR(MATCH(A23,Index[Item],0)))</f>
        <v>1</v>
      </c>
    </row>
    <row r="24" spans="1:10" x14ac:dyDescent="0.3">
      <c r="A24" s="1" t="s">
        <v>101</v>
      </c>
      <c r="B24" s="5">
        <f>29*$H24</f>
        <v>58</v>
      </c>
      <c r="C24" s="5">
        <f>6.5*$H24</f>
        <v>13</v>
      </c>
      <c r="D24" s="5">
        <f>0.4*$H24</f>
        <v>0.8</v>
      </c>
      <c r="E24" s="5">
        <f>0.9*$H24</f>
        <v>1.8</v>
      </c>
      <c r="F24" s="5">
        <f>2.8*$H24</f>
        <v>5.6</v>
      </c>
      <c r="G24" s="5">
        <f>4.1*$H24</f>
        <v>8.1999999999999993</v>
      </c>
      <c r="H24" s="5">
        <v>2</v>
      </c>
      <c r="I24" s="2" t="s">
        <v>96</v>
      </c>
      <c r="J24" s="5" t="b">
        <f>NOT(ISERROR(MATCH(A24,Index[Item],0)))</f>
        <v>1</v>
      </c>
    </row>
    <row r="25" spans="1:10" x14ac:dyDescent="0.3">
      <c r="A25" s="1" t="s">
        <v>100</v>
      </c>
      <c r="B25" s="5">
        <f>27*$H25</f>
        <v>0</v>
      </c>
      <c r="C25" s="5">
        <f>5.4*$H25</f>
        <v>0</v>
      </c>
      <c r="D25" s="5">
        <f>0.5*$H25</f>
        <v>0</v>
      </c>
      <c r="E25" s="5">
        <f>1.7*$H25</f>
        <v>0</v>
      </c>
      <c r="F25" s="5">
        <f>3.4*$H25</f>
        <v>0</v>
      </c>
      <c r="G25" s="5">
        <f>2*$H25</f>
        <v>0</v>
      </c>
      <c r="H25" s="5"/>
      <c r="I25" s="2" t="s">
        <v>96</v>
      </c>
      <c r="J25" s="5" t="b">
        <f>NOT(ISERROR(MATCH(A25,Index[Item],0)))</f>
        <v>1</v>
      </c>
    </row>
    <row r="26" spans="1:10" x14ac:dyDescent="0.3">
      <c r="A26" s="1" t="s">
        <v>557</v>
      </c>
      <c r="B26" s="5">
        <f>20*$H26</f>
        <v>40</v>
      </c>
      <c r="C26" s="5">
        <f>5*$H26</f>
        <v>10</v>
      </c>
      <c r="D26" s="5">
        <f>0*$H26</f>
        <v>0</v>
      </c>
      <c r="E26" s="5">
        <f>1*$H26</f>
        <v>2</v>
      </c>
      <c r="F26" s="5">
        <f>2*$H26</f>
        <v>4</v>
      </c>
      <c r="G26" s="5">
        <f>2*$H26</f>
        <v>4</v>
      </c>
      <c r="H26" s="5">
        <v>2</v>
      </c>
      <c r="I26" s="2" t="s">
        <v>96</v>
      </c>
      <c r="J26" s="5" t="b">
        <f>NOT(ISERROR(MATCH(A26,Index[Item],0)))</f>
        <v>1</v>
      </c>
    </row>
    <row r="27" spans="1:10" x14ac:dyDescent="0.3">
      <c r="A27" s="1" t="s">
        <v>111</v>
      </c>
      <c r="B27" s="5">
        <f>4.5*$H27</f>
        <v>0</v>
      </c>
      <c r="C27" s="5">
        <f>1*$H27</f>
        <v>0</v>
      </c>
      <c r="D27" s="5">
        <f>0*$H27</f>
        <v>0</v>
      </c>
      <c r="E27" s="5">
        <f>0.2*$H27</f>
        <v>0</v>
      </c>
      <c r="F27" s="5">
        <f>0.1*$H27</f>
        <v>0</v>
      </c>
      <c r="G27" s="5">
        <f>0*$H27</f>
        <v>0</v>
      </c>
      <c r="H27" s="5"/>
      <c r="I27" s="2" t="s">
        <v>112</v>
      </c>
      <c r="J27" s="5" t="b">
        <f>NOT(ISERROR(MATCH(A27,Index[Item],0)))</f>
        <v>1</v>
      </c>
    </row>
    <row r="28" spans="1:10" x14ac:dyDescent="0.3">
      <c r="A28" s="1" t="s">
        <v>137</v>
      </c>
      <c r="B28" s="5">
        <f>5*$H28</f>
        <v>0</v>
      </c>
      <c r="C28" s="5">
        <f>0.5*$H28</f>
        <v>0</v>
      </c>
      <c r="D28" s="5">
        <f t="shared" ref="D28:G28" si="3">0*$H28</f>
        <v>0</v>
      </c>
      <c r="E28" s="5">
        <f t="shared" si="3"/>
        <v>0</v>
      </c>
      <c r="F28" s="5">
        <f t="shared" si="3"/>
        <v>0</v>
      </c>
      <c r="G28" s="5">
        <f t="shared" si="3"/>
        <v>0</v>
      </c>
      <c r="H28" s="5"/>
      <c r="I28" s="2" t="s">
        <v>138</v>
      </c>
      <c r="J28" s="5" t="b">
        <f>NOT(ISERROR(MATCH(A28,Index[Item],0)))</f>
        <v>1</v>
      </c>
    </row>
    <row r="29" spans="1:10" x14ac:dyDescent="0.3">
      <c r="A29" s="1" t="s">
        <v>79</v>
      </c>
      <c r="B29" s="5">
        <f>110*$H29</f>
        <v>0</v>
      </c>
      <c r="C29" s="5">
        <f>0.5*$H29</f>
        <v>0</v>
      </c>
      <c r="D29" s="5">
        <f>9*$H29</f>
        <v>0</v>
      </c>
      <c r="E29" s="5">
        <f>7*$H29</f>
        <v>0</v>
      </c>
      <c r="F29" s="5">
        <f>0*$H29</f>
        <v>0</v>
      </c>
      <c r="G29" s="5">
        <f>0*$H29</f>
        <v>0</v>
      </c>
      <c r="H29" s="5"/>
      <c r="I29" s="2" t="s">
        <v>80</v>
      </c>
      <c r="J29" s="5" t="b">
        <f>NOT(ISERROR(MATCH(A29,Index[Item],0)))</f>
        <v>1</v>
      </c>
    </row>
    <row r="30" spans="1:10" x14ac:dyDescent="0.3">
      <c r="A30" s="1" t="s">
        <v>81</v>
      </c>
      <c r="B30" s="5">
        <f>120*$H30</f>
        <v>0</v>
      </c>
      <c r="C30" s="5">
        <f>2*$H30</f>
        <v>0</v>
      </c>
      <c r="D30" s="5">
        <f>9*$H30</f>
        <v>0</v>
      </c>
      <c r="E30" s="5">
        <f>6*$H30</f>
        <v>0</v>
      </c>
      <c r="F30" s="5">
        <f>0*$H30</f>
        <v>0</v>
      </c>
      <c r="G30" s="5">
        <f>0*$H30</f>
        <v>0</v>
      </c>
      <c r="H30" s="5"/>
      <c r="I30" s="2" t="s">
        <v>80</v>
      </c>
      <c r="J30" s="5" t="b">
        <f>NOT(ISERROR(MATCH(A30,Index[Item],0)))</f>
        <v>1</v>
      </c>
    </row>
    <row r="31" spans="1:10" x14ac:dyDescent="0.3">
      <c r="A31" s="1" t="s">
        <v>84</v>
      </c>
      <c r="B31" s="5">
        <f>110*$H31</f>
        <v>0</v>
      </c>
      <c r="C31" s="5">
        <f>0.5*$H31</f>
        <v>0</v>
      </c>
      <c r="D31" s="5">
        <f>9*$H31</f>
        <v>0</v>
      </c>
      <c r="E31" s="5">
        <f>6*$H31</f>
        <v>0</v>
      </c>
      <c r="F31" s="5">
        <f t="shared" ref="F31:F38" si="4">0*$H31</f>
        <v>0</v>
      </c>
      <c r="G31" s="5">
        <f>0.5*$H31</f>
        <v>0</v>
      </c>
      <c r="H31" s="5"/>
      <c r="I31" s="2" t="s">
        <v>80</v>
      </c>
      <c r="J31" s="5" t="b">
        <f>NOT(ISERROR(MATCH(A31,Index[Item],0)))</f>
        <v>1</v>
      </c>
    </row>
    <row r="32" spans="1:10" ht="37.5" x14ac:dyDescent="0.3">
      <c r="A32" s="1" t="s">
        <v>86</v>
      </c>
      <c r="B32" s="5">
        <f>90*$H32</f>
        <v>0</v>
      </c>
      <c r="C32" s="5">
        <f>1*$H32</f>
        <v>0</v>
      </c>
      <c r="D32" s="5">
        <f>7*$H32</f>
        <v>0</v>
      </c>
      <c r="E32" s="5">
        <f>6*$H32</f>
        <v>0</v>
      </c>
      <c r="F32" s="5">
        <f t="shared" si="4"/>
        <v>0</v>
      </c>
      <c r="G32" s="5">
        <f>0*$H32</f>
        <v>0</v>
      </c>
      <c r="H32" s="5"/>
      <c r="I32" s="2" t="s">
        <v>80</v>
      </c>
      <c r="J32" s="5" t="b">
        <f>NOT(ISERROR(MATCH(A32,Index[Item],0)))</f>
        <v>1</v>
      </c>
    </row>
    <row r="33" spans="1:10" ht="37.5" x14ac:dyDescent="0.3">
      <c r="A33" s="1" t="s">
        <v>87</v>
      </c>
      <c r="B33" s="5">
        <f>80*$H33</f>
        <v>0</v>
      </c>
      <c r="C33" s="5">
        <f>2*$H33</f>
        <v>0</v>
      </c>
      <c r="D33" s="5">
        <f>6*$H33</f>
        <v>0</v>
      </c>
      <c r="E33" s="5">
        <f>7*$H33</f>
        <v>0</v>
      </c>
      <c r="F33" s="5">
        <f t="shared" si="4"/>
        <v>0</v>
      </c>
      <c r="G33" s="5">
        <f>0.5*$H33</f>
        <v>0</v>
      </c>
      <c r="H33" s="5"/>
      <c r="I33" s="2" t="s">
        <v>80</v>
      </c>
      <c r="J33" s="5" t="b">
        <f>NOT(ISERROR(MATCH(A33,Index[Item],0)))</f>
        <v>1</v>
      </c>
    </row>
    <row r="34" spans="1:10" ht="37.5" x14ac:dyDescent="0.3">
      <c r="A34" s="1" t="s">
        <v>577</v>
      </c>
      <c r="B34" s="5">
        <f>60*$H34</f>
        <v>0</v>
      </c>
      <c r="C34" s="5">
        <f>1*$H34</f>
        <v>0</v>
      </c>
      <c r="D34" s="5">
        <f>4*$H34</f>
        <v>0</v>
      </c>
      <c r="E34" s="5">
        <f>5*$H34</f>
        <v>0</v>
      </c>
      <c r="F34" s="5">
        <f t="shared" si="4"/>
        <v>0</v>
      </c>
      <c r="G34" s="5">
        <f>0*$H34</f>
        <v>0</v>
      </c>
      <c r="H34" s="5"/>
      <c r="I34" s="2" t="s">
        <v>579</v>
      </c>
      <c r="J34" s="5" t="b">
        <f>NOT(ISERROR(MATCH(A34,Index[Item],0)))</f>
        <v>1</v>
      </c>
    </row>
    <row r="35" spans="1:10" ht="37.5" x14ac:dyDescent="0.3">
      <c r="A35" s="1" t="s">
        <v>578</v>
      </c>
      <c r="B35" s="5">
        <f>70*$H35</f>
        <v>0</v>
      </c>
      <c r="C35" s="5">
        <f>0*$H35</f>
        <v>0</v>
      </c>
      <c r="D35" s="5">
        <f>6*$H35</f>
        <v>0</v>
      </c>
      <c r="E35" s="5">
        <f>5*$H35</f>
        <v>0</v>
      </c>
      <c r="F35" s="5">
        <f t="shared" si="4"/>
        <v>0</v>
      </c>
      <c r="G35" s="5">
        <f>0*$H35</f>
        <v>0</v>
      </c>
      <c r="H35" s="5"/>
      <c r="I35" s="2" t="s">
        <v>579</v>
      </c>
      <c r="J35" s="5" t="b">
        <f>NOT(ISERROR(MATCH(A35,Index[Item],0)))</f>
        <v>1</v>
      </c>
    </row>
    <row r="36" spans="1:10" ht="37.5" x14ac:dyDescent="0.3">
      <c r="A36" s="1" t="s">
        <v>594</v>
      </c>
      <c r="B36" s="5">
        <f>80*$H36</f>
        <v>0</v>
      </c>
      <c r="C36" s="5">
        <f>0.5*$H36</f>
        <v>0</v>
      </c>
      <c r="D36" s="5">
        <f>7*$H36</f>
        <v>0</v>
      </c>
      <c r="E36" s="5">
        <f>5*$H36</f>
        <v>0</v>
      </c>
      <c r="F36" s="5">
        <f t="shared" si="4"/>
        <v>0</v>
      </c>
      <c r="G36" s="5">
        <f>0*$H36</f>
        <v>0</v>
      </c>
      <c r="H36" s="5"/>
      <c r="I36" s="2" t="s">
        <v>579</v>
      </c>
      <c r="J36" s="5" t="b">
        <f>NOT(ISERROR(MATCH(A36,Index[Item],0)))</f>
        <v>1</v>
      </c>
    </row>
    <row r="37" spans="1:10" ht="37.5" x14ac:dyDescent="0.3">
      <c r="A37" s="1" t="s">
        <v>595</v>
      </c>
      <c r="B37" s="5">
        <f>80*$H37</f>
        <v>0</v>
      </c>
      <c r="C37" s="5">
        <f>0.5*$H37</f>
        <v>0</v>
      </c>
      <c r="D37" s="5">
        <f>7*$H37</f>
        <v>0</v>
      </c>
      <c r="E37" s="5">
        <f>5*$H37</f>
        <v>0</v>
      </c>
      <c r="F37" s="5">
        <f t="shared" si="4"/>
        <v>0</v>
      </c>
      <c r="G37" s="5">
        <f>0*$H37</f>
        <v>0</v>
      </c>
      <c r="H37" s="5"/>
      <c r="I37" s="2" t="s">
        <v>579</v>
      </c>
      <c r="J37" s="5" t="b">
        <f>NOT(ISERROR(MATCH(A37,Index[Item],0)))</f>
        <v>1</v>
      </c>
    </row>
    <row r="38" spans="1:10" ht="37.5" x14ac:dyDescent="0.3">
      <c r="A38" s="1" t="s">
        <v>596</v>
      </c>
      <c r="B38" s="5">
        <f>80*$H38</f>
        <v>0</v>
      </c>
      <c r="C38" s="5">
        <f>0.5*$H38</f>
        <v>0</v>
      </c>
      <c r="D38" s="5">
        <f>7*$H38</f>
        <v>0</v>
      </c>
      <c r="E38" s="5">
        <f>5*$H38</f>
        <v>0</v>
      </c>
      <c r="F38" s="5">
        <f t="shared" si="4"/>
        <v>0</v>
      </c>
      <c r="G38" s="5">
        <f>0*$H38</f>
        <v>0</v>
      </c>
      <c r="H38" s="5"/>
      <c r="I38" s="2" t="s">
        <v>579</v>
      </c>
      <c r="J38" s="5" t="b">
        <f>NOT(ISERROR(MATCH(A38,Index[Item],0)))</f>
        <v>1</v>
      </c>
    </row>
    <row r="39" spans="1:10" x14ac:dyDescent="0.3">
      <c r="A39" s="1" t="s">
        <v>481</v>
      </c>
      <c r="B39" s="5">
        <f>MexicanSpice494623[[#Totals],[Calories]]</f>
        <v>57.900000000000006</v>
      </c>
      <c r="C39" s="5">
        <f>MexicanSpice494623[[#Totals],[Carbs]]</f>
        <v>12.899999999999999</v>
      </c>
      <c r="D39" s="5">
        <f>MexicanSpice494623[[#Totals],[Fat]]</f>
        <v>0.4</v>
      </c>
      <c r="E39" s="5">
        <f>MexicanSpice494623[[#Totals],[Protein]]</f>
        <v>2.6</v>
      </c>
      <c r="F39" s="5">
        <f>MexicanSpice494623[[#Totals],[Fiber]]</f>
        <v>4.5999999999999996</v>
      </c>
      <c r="G39" s="5">
        <f>MexicanSpice494623[[#Totals],[Sugar]]</f>
        <v>0.60000000000000009</v>
      </c>
      <c r="H39" s="5">
        <f>MexicanSpice494623[[#Totals],[Serving by TSP]]</f>
        <v>13</v>
      </c>
      <c r="J39" s="5" t="b">
        <f>NOT(ISERROR(MATCH(A39,Index[Item],0)))</f>
        <v>1</v>
      </c>
    </row>
    <row r="40" spans="1:10" x14ac:dyDescent="0.3">
      <c r="A40" s="2" t="s">
        <v>34</v>
      </c>
      <c r="B40" s="5">
        <f>SUBTOTAL(109,Pasta[Calories])/Pasta[[#Totals],[Measurement]]</f>
        <v>599.19999999999993</v>
      </c>
      <c r="C40" s="5">
        <f>SUBTOTAL(109,Pasta[Carbs])/Pasta[[#Totals],[Measurement]]</f>
        <v>60.624999999999993</v>
      </c>
      <c r="D40" s="5">
        <f>SUBTOTAL(109,Pasta[[Fat ]])/Pasta[[#Totals],[Measurement]]</f>
        <v>26.250000000000004</v>
      </c>
      <c r="E40" s="5">
        <f>SUBTOTAL(109,Pasta[Protein])/Pasta[[#Totals],[Measurement]]</f>
        <v>25.625000000000004</v>
      </c>
      <c r="F40" s="5">
        <f>SUBTOTAL(109,Pasta[Fiber])/Pasta[[#Totals],[Measurement]]</f>
        <v>6.5875000000000004</v>
      </c>
      <c r="G40" s="5">
        <f>SUBTOTAL(109,Pasta[Sugar])/Pasta[[#Totals],[Measurement]]</f>
        <v>11.2125</v>
      </c>
      <c r="H40" s="5">
        <f>SUBTOTAL(109,Pasta[Servings])/Pasta[[#Totals],[Measurement]]</f>
        <v>4.875</v>
      </c>
      <c r="I40" s="2" t="s">
        <v>552</v>
      </c>
    </row>
    <row r="41" spans="1:10" x14ac:dyDescent="0.3">
      <c r="A41"/>
      <c r="B41"/>
      <c r="C41"/>
      <c r="D41"/>
      <c r="E41"/>
      <c r="F41"/>
      <c r="G41"/>
      <c r="H41"/>
      <c r="I41"/>
    </row>
    <row r="42" spans="1:10" x14ac:dyDescent="0.3">
      <c r="B42" s="5"/>
      <c r="C42" s="5"/>
      <c r="D42" s="5"/>
      <c r="E42" s="5"/>
      <c r="F42" s="5"/>
      <c r="G42" s="5"/>
      <c r="H42" s="5"/>
    </row>
    <row r="43" spans="1:10" x14ac:dyDescent="0.3">
      <c r="A43" s="10" t="s">
        <v>0</v>
      </c>
      <c r="B43" s="11" t="s">
        <v>1</v>
      </c>
      <c r="C43" s="11" t="s">
        <v>2</v>
      </c>
      <c r="D43" s="11" t="s">
        <v>3</v>
      </c>
      <c r="E43" s="11" t="s">
        <v>4</v>
      </c>
      <c r="F43" s="11" t="s">
        <v>5</v>
      </c>
      <c r="G43" s="11" t="s">
        <v>6</v>
      </c>
      <c r="H43" s="11" t="s">
        <v>7</v>
      </c>
    </row>
    <row r="44" spans="1:10" x14ac:dyDescent="0.3">
      <c r="A44" s="8" t="s">
        <v>8</v>
      </c>
      <c r="B44" s="6">
        <f>1.6*$H44</f>
        <v>1.6</v>
      </c>
      <c r="C44" s="6">
        <f>0.3*$H44</f>
        <v>0.3</v>
      </c>
      <c r="D44" s="6">
        <f>0*$H44</f>
        <v>0</v>
      </c>
      <c r="E44" s="6">
        <f>0.2*$H44</f>
        <v>0.2</v>
      </c>
      <c r="F44" s="6">
        <f>0.3*$H44</f>
        <v>0.3</v>
      </c>
      <c r="G44" s="6">
        <f>0*$H44</f>
        <v>0</v>
      </c>
      <c r="H44" s="3">
        <v>1</v>
      </c>
      <c r="J44" s="2" t="b">
        <f>NOT(ISERROR(MATCH(A44,Spice[Spice],0)))</f>
        <v>1</v>
      </c>
    </row>
    <row r="45" spans="1:10" x14ac:dyDescent="0.3">
      <c r="A45" s="9" t="s">
        <v>9</v>
      </c>
      <c r="B45" s="7">
        <f>5.8*$H45</f>
        <v>11.6</v>
      </c>
      <c r="C45" s="7">
        <f>1.5*$H45</f>
        <v>3</v>
      </c>
      <c r="D45" s="7">
        <f>0.1*$H45</f>
        <v>0.2</v>
      </c>
      <c r="E45" s="7">
        <f>0.2*$H45</f>
        <v>0.4</v>
      </c>
      <c r="F45" s="7">
        <f>0.6*$H45</f>
        <v>1.2</v>
      </c>
      <c r="G45" s="7">
        <f>0*$H45</f>
        <v>0</v>
      </c>
      <c r="H45" s="4">
        <v>2</v>
      </c>
      <c r="J45" s="2" t="b">
        <f>NOT(ISERROR(MATCH(A45,Spice[Spice],0)))</f>
        <v>1</v>
      </c>
    </row>
    <row r="46" spans="1:10" x14ac:dyDescent="0.3">
      <c r="A46" s="8" t="s">
        <v>10</v>
      </c>
      <c r="B46" s="6">
        <f>7.6*$H46</f>
        <v>0</v>
      </c>
      <c r="C46" s="6">
        <f>1.3*$H46</f>
        <v>0</v>
      </c>
      <c r="D46" s="6">
        <f>0.4*$H46</f>
        <v>0</v>
      </c>
      <c r="E46" s="6">
        <f>0.4*$H46</f>
        <v>0</v>
      </c>
      <c r="F46" s="6">
        <f>0.9*$H46</f>
        <v>0</v>
      </c>
      <c r="G46" s="6">
        <f>0.2*$H46</f>
        <v>0</v>
      </c>
      <c r="H46" s="3"/>
      <c r="J46" s="2" t="b">
        <f>NOT(ISERROR(MATCH(A46,Spice[Spice],0)))</f>
        <v>1</v>
      </c>
    </row>
    <row r="47" spans="1:10" x14ac:dyDescent="0.3">
      <c r="A47" s="9" t="s">
        <v>11</v>
      </c>
      <c r="B47" s="7">
        <f>48*$H47</f>
        <v>0</v>
      </c>
      <c r="C47" s="7">
        <f>8*$H47</f>
        <v>0</v>
      </c>
      <c r="D47" s="7">
        <f>0*$H47</f>
        <v>0</v>
      </c>
      <c r="E47" s="7">
        <f>0*$H47</f>
        <v>0</v>
      </c>
      <c r="F47" s="7">
        <f>0*$H47</f>
        <v>0</v>
      </c>
      <c r="G47" s="7">
        <f>0*$H47</f>
        <v>0</v>
      </c>
      <c r="H47" s="4"/>
      <c r="J47" s="2" t="b">
        <f>NOT(ISERROR(MATCH(A47,Spice[Spice],0)))</f>
        <v>1</v>
      </c>
    </row>
    <row r="48" spans="1:10" x14ac:dyDescent="0.3">
      <c r="A48" s="8" t="s">
        <v>12</v>
      </c>
      <c r="B48" s="6">
        <f>6.4*$H48</f>
        <v>0</v>
      </c>
      <c r="C48" s="6">
        <f>2.1*$H48</f>
        <v>0</v>
      </c>
      <c r="D48" s="6">
        <f>0*$H47</f>
        <v>0</v>
      </c>
      <c r="E48" s="6">
        <f>0.1*$H48</f>
        <v>0</v>
      </c>
      <c r="F48" s="6">
        <f>1.4*$H48</f>
        <v>0</v>
      </c>
      <c r="G48" s="6">
        <f>0.1*$H48</f>
        <v>0</v>
      </c>
      <c r="H48" s="3"/>
      <c r="J48" s="2" t="b">
        <f>NOT(ISERROR(MATCH(A48,Spice[Spice],0)))</f>
        <v>1</v>
      </c>
    </row>
    <row r="49" spans="1:10" x14ac:dyDescent="0.3">
      <c r="A49" s="9" t="s">
        <v>13</v>
      </c>
      <c r="B49" s="7">
        <f>1.7*$H49</f>
        <v>0</v>
      </c>
      <c r="C49" s="7">
        <f>0.3*$H49</f>
        <v>0</v>
      </c>
      <c r="D49" s="7">
        <f>0*$H49</f>
        <v>0</v>
      </c>
      <c r="E49" s="7">
        <f>0.1*$H49</f>
        <v>0</v>
      </c>
      <c r="F49" s="7">
        <f>0.1*$H49</f>
        <v>0</v>
      </c>
      <c r="G49" s="7">
        <f>0*$H49</f>
        <v>0</v>
      </c>
      <c r="H49" s="4"/>
      <c r="J49" s="2" t="b">
        <f>NOT(ISERROR(MATCH(A49,Spice[Spice],0)))</f>
        <v>1</v>
      </c>
    </row>
    <row r="50" spans="1:10" ht="37.5" x14ac:dyDescent="0.3">
      <c r="A50" s="8" t="s">
        <v>14</v>
      </c>
      <c r="B50" s="6">
        <f>5.7*$H50</f>
        <v>11.4</v>
      </c>
      <c r="C50" s="6">
        <f>1*$H50</f>
        <v>2</v>
      </c>
      <c r="D50" s="6">
        <f>0*$H50</f>
        <v>0</v>
      </c>
      <c r="E50" s="6">
        <f>0.2*$H50</f>
        <v>0.4</v>
      </c>
      <c r="F50" s="6">
        <f>0.5*$H50</f>
        <v>1</v>
      </c>
      <c r="G50" s="6">
        <f>0.2*$H50</f>
        <v>0.4</v>
      </c>
      <c r="H50" s="3">
        <v>2</v>
      </c>
      <c r="J50" s="2" t="b">
        <f>NOT(ISERROR(MATCH(A50,Spice[Spice],0)))</f>
        <v>1</v>
      </c>
    </row>
    <row r="51" spans="1:10" x14ac:dyDescent="0.3">
      <c r="A51" s="9" t="s">
        <v>15</v>
      </c>
      <c r="B51" s="7">
        <f>7.6*$H51</f>
        <v>0</v>
      </c>
      <c r="C51" s="7">
        <f>0.9*$H51</f>
        <v>0</v>
      </c>
      <c r="D51" s="7">
        <f>0.5*$H51</f>
        <v>0</v>
      </c>
      <c r="E51" s="7">
        <f>0.4*$H51</f>
        <v>0</v>
      </c>
      <c r="F51" s="7">
        <f>0.2*$H51</f>
        <v>0</v>
      </c>
      <c r="G51" s="7">
        <f>0.1*$H51</f>
        <v>0</v>
      </c>
      <c r="H51" s="4"/>
      <c r="J51" s="2" t="b">
        <f>NOT(ISERROR(MATCH(A51,Spice[Spice],0)))</f>
        <v>1</v>
      </c>
    </row>
    <row r="52" spans="1:10" x14ac:dyDescent="0.3">
      <c r="A52" s="8" t="s">
        <v>16</v>
      </c>
      <c r="B52" s="6">
        <f>(36/5)*$H52</f>
        <v>0</v>
      </c>
      <c r="C52" s="6">
        <f>(5/5)*$H52</f>
        <v>0</v>
      </c>
      <c r="D52" s="6">
        <f>(1.2/5)*$H52</f>
        <v>0</v>
      </c>
      <c r="E52" s="6">
        <f>(1.3/5)*$H52</f>
        <v>0</v>
      </c>
      <c r="F52" s="6">
        <f>(3/5)*$H52</f>
        <v>0</v>
      </c>
      <c r="G52" s="6">
        <f>(0.2/5)*$H52</f>
        <v>0</v>
      </c>
      <c r="H52" s="3"/>
      <c r="J52" s="2" t="b">
        <f>NOT(ISERROR(MATCH(A52,Spice[Spice],0)))</f>
        <v>1</v>
      </c>
    </row>
    <row r="53" spans="1:10" x14ac:dyDescent="0.3">
      <c r="A53" s="9" t="s">
        <v>17</v>
      </c>
      <c r="B53" s="7">
        <f>5*$H53</f>
        <v>0</v>
      </c>
      <c r="C53" s="7">
        <f>1*$H53</f>
        <v>0</v>
      </c>
      <c r="D53" s="7">
        <f>0*$H53</f>
        <v>0</v>
      </c>
      <c r="E53" s="7">
        <f>0*$H53</f>
        <v>0</v>
      </c>
      <c r="F53" s="7">
        <f>0*$H53</f>
        <v>0</v>
      </c>
      <c r="G53" s="7">
        <f>0*$H53</f>
        <v>0</v>
      </c>
      <c r="H53" s="4"/>
      <c r="J53" s="2" t="b">
        <f>NOT(ISERROR(MATCH(A53,Spice[Spice],0)))</f>
        <v>1</v>
      </c>
    </row>
    <row r="54" spans="1:10" x14ac:dyDescent="0.3">
      <c r="A54" s="8" t="s">
        <v>18</v>
      </c>
      <c r="B54" s="6">
        <f>10*$H54</f>
        <v>20</v>
      </c>
      <c r="C54" s="6">
        <f>2.3*$H54</f>
        <v>4.5999999999999996</v>
      </c>
      <c r="D54" s="6">
        <f>0*$H54</f>
        <v>0</v>
      </c>
      <c r="E54" s="6">
        <f>0.5*$H54</f>
        <v>1</v>
      </c>
      <c r="F54" s="6">
        <f>0.3*$H54</f>
        <v>0.6</v>
      </c>
      <c r="G54" s="6">
        <f>0.1*$H54</f>
        <v>0.2</v>
      </c>
      <c r="H54" s="3">
        <v>2</v>
      </c>
      <c r="J54" s="2" t="b">
        <f>NOT(ISERROR(MATCH(A54,Spice[Spice],0)))</f>
        <v>1</v>
      </c>
    </row>
    <row r="55" spans="1:10" x14ac:dyDescent="0.3">
      <c r="A55" s="9" t="s">
        <v>19</v>
      </c>
      <c r="B55" s="7">
        <f>1.2*$H55</f>
        <v>0</v>
      </c>
      <c r="C55" s="7">
        <f>0.3*$H55</f>
        <v>0</v>
      </c>
      <c r="D55" s="7">
        <f>0*$H55</f>
        <v>0</v>
      </c>
      <c r="E55" s="7">
        <f>1*$H55</f>
        <v>0</v>
      </c>
      <c r="F55" s="7">
        <f>0*$H55</f>
        <v>0</v>
      </c>
      <c r="G55" s="7">
        <f>0*$H55</f>
        <v>0</v>
      </c>
      <c r="H55" s="4"/>
      <c r="J55" s="2" t="b">
        <f>NOT(ISERROR(MATCH(A55,Spice[Spice],0)))</f>
        <v>1</v>
      </c>
    </row>
    <row r="56" spans="1:10" ht="18" customHeight="1" x14ac:dyDescent="0.3">
      <c r="A56" s="9" t="s">
        <v>20</v>
      </c>
      <c r="B56" s="7">
        <f>6*$H56</f>
        <v>0</v>
      </c>
      <c r="C56" s="7">
        <f>1.3*$H56</f>
        <v>0</v>
      </c>
      <c r="D56" s="7">
        <f>0.1*$H56</f>
        <v>0</v>
      </c>
      <c r="E56" s="7">
        <f>0.2*$H56</f>
        <v>0</v>
      </c>
      <c r="F56" s="7">
        <f>0.3*$H56</f>
        <v>0</v>
      </c>
      <c r="G56" s="7">
        <f>0.1*$H56</f>
        <v>0</v>
      </c>
      <c r="H56" s="4"/>
      <c r="J56" s="2" t="b">
        <f>NOT(ISERROR(MATCH(A56,Spice[Spice],0)))</f>
        <v>1</v>
      </c>
    </row>
    <row r="57" spans="1:10" x14ac:dyDescent="0.3">
      <c r="A57" s="8" t="s">
        <v>21</v>
      </c>
      <c r="B57" s="6">
        <f>2.2*$H57</f>
        <v>2.2000000000000002</v>
      </c>
      <c r="C57" s="6">
        <f>0.5*$H57</f>
        <v>0.5</v>
      </c>
      <c r="D57" s="6">
        <f>0.1*$H57</f>
        <v>0.1</v>
      </c>
      <c r="E57" s="6">
        <f>0.1*$H57</f>
        <v>0.1</v>
      </c>
      <c r="F57" s="6">
        <f>0.3*$H57</f>
        <v>0.3</v>
      </c>
      <c r="G57" s="6">
        <f>0*$H57</f>
        <v>0</v>
      </c>
      <c r="H57" s="3">
        <v>1</v>
      </c>
      <c r="J57" s="2" t="b">
        <f>NOT(ISERROR(MATCH(A57,Spice[Spice],0)))</f>
        <v>1</v>
      </c>
    </row>
    <row r="58" spans="1:10" x14ac:dyDescent="0.3">
      <c r="A58" s="9" t="s">
        <v>22</v>
      </c>
      <c r="B58" s="7">
        <f>0*$H58</f>
        <v>0</v>
      </c>
      <c r="C58" s="7">
        <f>0*$H58</f>
        <v>0</v>
      </c>
      <c r="D58" s="7">
        <f>0*$H58</f>
        <v>0</v>
      </c>
      <c r="E58" s="7">
        <f>0*$H58</f>
        <v>0</v>
      </c>
      <c r="F58" s="7">
        <f>0*$H58</f>
        <v>0</v>
      </c>
      <c r="G58" s="7">
        <f>0*$H58</f>
        <v>0</v>
      </c>
      <c r="H58" s="4"/>
      <c r="J58" s="2" t="b">
        <f>NOT(ISERROR(MATCH(A58,Spice[Spice],0)))</f>
        <v>1</v>
      </c>
    </row>
    <row r="59" spans="1:10" x14ac:dyDescent="0.3">
      <c r="A59" s="8" t="s">
        <v>23</v>
      </c>
      <c r="B59" s="6">
        <f>8.2*$H59</f>
        <v>0</v>
      </c>
      <c r="C59" s="6">
        <f>1.9*$H59</f>
        <v>0</v>
      </c>
      <c r="D59" s="6">
        <f>0*$H59</f>
        <v>0</v>
      </c>
      <c r="E59" s="6">
        <f>0.3*$H59</f>
        <v>0</v>
      </c>
      <c r="F59" s="6">
        <f>0.4*$H59</f>
        <v>0</v>
      </c>
      <c r="G59" s="6">
        <f>0.2*$H59</f>
        <v>0</v>
      </c>
      <c r="H59" s="3"/>
      <c r="J59" s="2" t="b">
        <f>NOT(ISERROR(MATCH(A59,Spice[Spice],0)))</f>
        <v>1</v>
      </c>
    </row>
    <row r="60" spans="1:10" x14ac:dyDescent="0.3">
      <c r="A60" s="9" t="s">
        <v>24</v>
      </c>
      <c r="B60" s="7">
        <f>2.7*$H60</f>
        <v>2.7</v>
      </c>
      <c r="C60" s="7">
        <f>0.7*$H60</f>
        <v>0.7</v>
      </c>
      <c r="D60" s="7">
        <f>0*$H60</f>
        <v>0</v>
      </c>
      <c r="E60" s="7">
        <f>0.1*$H60</f>
        <v>0.1</v>
      </c>
      <c r="F60" s="7">
        <f>0.4*$H60</f>
        <v>0.4</v>
      </c>
      <c r="G60" s="7">
        <f>0*$H60</f>
        <v>0</v>
      </c>
      <c r="H60" s="4">
        <v>1</v>
      </c>
      <c r="J60" s="2" t="b">
        <f>NOT(ISERROR(MATCH(A60,Spice[Spice],0)))</f>
        <v>1</v>
      </c>
    </row>
    <row r="61" spans="1:10" x14ac:dyDescent="0.3">
      <c r="A61" s="8" t="s">
        <v>25</v>
      </c>
      <c r="B61" s="6">
        <f>6.5*$H61</f>
        <v>0</v>
      </c>
      <c r="C61" s="6">
        <f>1.2*$H61</f>
        <v>0</v>
      </c>
      <c r="D61" s="6">
        <f>0.3*$H61</f>
        <v>0</v>
      </c>
      <c r="E61" s="6">
        <f>0.3*$H61</f>
        <v>0</v>
      </c>
      <c r="F61" s="6">
        <f>0.8*$H61</f>
        <v>0</v>
      </c>
      <c r="G61" s="6">
        <f>0.2*$H61</f>
        <v>0</v>
      </c>
      <c r="H61" s="3"/>
      <c r="J61" s="2" t="b">
        <f>NOT(ISERROR(MATCH(A61,Spice[Spice],0)))</f>
        <v>1</v>
      </c>
    </row>
    <row r="62" spans="1:10" x14ac:dyDescent="0.3">
      <c r="A62" s="9" t="s">
        <v>26</v>
      </c>
      <c r="B62" s="7">
        <f>1.5*$H62</f>
        <v>4.5</v>
      </c>
      <c r="C62" s="7">
        <f>0.3*$H62</f>
        <v>0.89999999999999991</v>
      </c>
      <c r="D62" s="7">
        <f>0*$H62</f>
        <v>0</v>
      </c>
      <c r="E62" s="7">
        <f>0.1*$H62</f>
        <v>0.30000000000000004</v>
      </c>
      <c r="F62" s="7">
        <f>0.1*$H62</f>
        <v>0.30000000000000004</v>
      </c>
      <c r="G62" s="7">
        <f>0*$H62</f>
        <v>0</v>
      </c>
      <c r="H62" s="4">
        <v>3</v>
      </c>
      <c r="J62" s="2" t="b">
        <f>NOT(ISERROR(MATCH(A62,Spice[Spice],0)))</f>
        <v>1</v>
      </c>
    </row>
    <row r="63" spans="1:10" x14ac:dyDescent="0.3">
      <c r="A63" s="8" t="s">
        <v>27</v>
      </c>
      <c r="B63" s="6">
        <f>5.7*$H63</f>
        <v>0</v>
      </c>
      <c r="C63" s="6">
        <f>1*$H63</f>
        <v>0</v>
      </c>
      <c r="D63" s="6">
        <f>0.3*$H63</f>
        <v>0</v>
      </c>
      <c r="E63" s="6">
        <f>0.2*$H63</f>
        <v>0</v>
      </c>
      <c r="F63" s="6">
        <f>0.5*$H63</f>
        <v>0</v>
      </c>
      <c r="G63" s="6">
        <f>0.2*$H63</f>
        <v>0</v>
      </c>
      <c r="H63" s="3"/>
      <c r="J63" s="2" t="b">
        <f>NOT(ISERROR(MATCH(A63,Spice[Spice],0)))</f>
        <v>1</v>
      </c>
    </row>
    <row r="64" spans="1:10" x14ac:dyDescent="0.3">
      <c r="A64" s="12" t="s">
        <v>28</v>
      </c>
      <c r="B64" s="13">
        <f t="shared" ref="B64:G64" si="5">0*$H64</f>
        <v>0</v>
      </c>
      <c r="C64" s="13">
        <f t="shared" si="5"/>
        <v>0</v>
      </c>
      <c r="D64" s="13">
        <f t="shared" si="5"/>
        <v>0</v>
      </c>
      <c r="E64" s="13">
        <f t="shared" si="5"/>
        <v>0</v>
      </c>
      <c r="F64" s="13">
        <f t="shared" si="5"/>
        <v>0</v>
      </c>
      <c r="G64" s="13">
        <f t="shared" si="5"/>
        <v>0</v>
      </c>
      <c r="H64" s="14"/>
      <c r="J64" s="2" t="b">
        <f>NOT(ISERROR(MATCH(A64,Spice[Spice],0)))</f>
        <v>1</v>
      </c>
    </row>
    <row r="65" spans="1:10" x14ac:dyDescent="0.3">
      <c r="A65" s="8" t="s">
        <v>29</v>
      </c>
      <c r="B65" s="6">
        <f>2.5*$H65</f>
        <v>0</v>
      </c>
      <c r="C65" s="6">
        <f>0.6*$H65</f>
        <v>0</v>
      </c>
      <c r="D65" s="6">
        <f>0.1*$H65</f>
        <v>0</v>
      </c>
      <c r="E65" s="6">
        <f>0.1*$H65</f>
        <v>0</v>
      </c>
      <c r="F65" s="6">
        <f>0.3*$H65</f>
        <v>0</v>
      </c>
      <c r="G65" s="6">
        <f>0*$H65</f>
        <v>0</v>
      </c>
      <c r="H65" s="3"/>
      <c r="J65" s="2" t="b">
        <f>NOT(ISERROR(MATCH(A65,Spice[Spice],0)))</f>
        <v>1</v>
      </c>
    </row>
    <row r="66" spans="1:10" x14ac:dyDescent="0.3">
      <c r="A66" s="8" t="s">
        <v>31</v>
      </c>
      <c r="B66" s="6">
        <f>0*$H66</f>
        <v>0</v>
      </c>
      <c r="C66" s="6">
        <f>0*$H66</f>
        <v>0</v>
      </c>
      <c r="D66" s="6">
        <f>0*$H66</f>
        <v>0</v>
      </c>
      <c r="E66" s="6">
        <f>0*$H66</f>
        <v>0</v>
      </c>
      <c r="F66" s="6">
        <f>0*$H66</f>
        <v>0</v>
      </c>
      <c r="G66" s="6">
        <f>0*$H66</f>
        <v>0</v>
      </c>
      <c r="H66" s="3"/>
      <c r="J66" s="2" t="b">
        <f>NOT(ISERROR(MATCH(A66,Spice[Spice],0)))</f>
        <v>1</v>
      </c>
    </row>
    <row r="67" spans="1:10" x14ac:dyDescent="0.3">
      <c r="A67" s="8" t="s">
        <v>632</v>
      </c>
      <c r="B67" s="6">
        <f>3.9*$H67</f>
        <v>3.9</v>
      </c>
      <c r="C67" s="6">
        <f>0.9*$H67</f>
        <v>0.9</v>
      </c>
      <c r="D67" s="6">
        <f>0.1*$H67</f>
        <v>0.1</v>
      </c>
      <c r="E67" s="6">
        <f>0.1*$H67</f>
        <v>0.1</v>
      </c>
      <c r="F67" s="6">
        <f>0.5*$H67</f>
        <v>0.5</v>
      </c>
      <c r="G67" s="6">
        <f>0*$H67</f>
        <v>0</v>
      </c>
      <c r="H67" s="3">
        <v>1</v>
      </c>
      <c r="J67" s="2" t="b">
        <f>NOT(ISERROR(MATCH(A67,Spice[Spice],0)))</f>
        <v>1</v>
      </c>
    </row>
    <row r="68" spans="1:10" x14ac:dyDescent="0.3">
      <c r="A68" s="8" t="s">
        <v>33</v>
      </c>
      <c r="B68" s="6">
        <f>7.1*$H68</f>
        <v>0</v>
      </c>
      <c r="C68" s="6">
        <f>1.6*$H68</f>
        <v>0</v>
      </c>
      <c r="D68" s="6">
        <f>0.1*$H68</f>
        <v>0</v>
      </c>
      <c r="E68" s="6">
        <f>0.3*$H68</f>
        <v>0</v>
      </c>
      <c r="F68" s="6">
        <f>0.6*$H68</f>
        <v>0</v>
      </c>
      <c r="G68" s="6">
        <f>0*$H68</f>
        <v>0</v>
      </c>
      <c r="H68" s="3"/>
      <c r="J68" s="2" t="b">
        <f>NOT(ISERROR(MATCH(A68,Spice[Spice],0)))</f>
        <v>1</v>
      </c>
    </row>
    <row r="69" spans="1:10" x14ac:dyDescent="0.3">
      <c r="A69" s="8" t="s">
        <v>34</v>
      </c>
      <c r="B69" s="6">
        <f>SUBTOTAL(109,MexicanSpice494623[Calories])</f>
        <v>57.900000000000006</v>
      </c>
      <c r="C69" s="6">
        <f>SUBTOTAL(109,MexicanSpice494623[Carbs])</f>
        <v>12.899999999999999</v>
      </c>
      <c r="D69" s="6">
        <f>SUBTOTAL(109,MexicanSpice494623[Fat])</f>
        <v>0.4</v>
      </c>
      <c r="E69" s="6">
        <f>SUBTOTAL(109,MexicanSpice494623[Protein])</f>
        <v>2.6</v>
      </c>
      <c r="F69" s="6">
        <f>SUBTOTAL(109,MexicanSpice494623[Fiber])</f>
        <v>4.5999999999999996</v>
      </c>
      <c r="G69" s="6">
        <f>SUBTOTAL(109,MexicanSpice494623[Sugar])</f>
        <v>0.60000000000000009</v>
      </c>
      <c r="H69" s="3">
        <f>SUBTOTAL(109,MexicanSpice494623[Serving by TSP])</f>
        <v>13</v>
      </c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2DF9D-8DF9-4109-A88C-AE99BE1645B4}">
  <sheetPr codeName="Sheet10"/>
  <dimension ref="A1:J85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35.425781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x14ac:dyDescent="0.3">
      <c r="A2" s="1" t="s">
        <v>164</v>
      </c>
      <c r="B2" s="5">
        <f>100*$H2</f>
        <v>0</v>
      </c>
      <c r="C2" s="5">
        <f>22*$H2</f>
        <v>0</v>
      </c>
      <c r="D2" s="5">
        <f>0*$H2</f>
        <v>0</v>
      </c>
      <c r="E2" s="5">
        <f>4*$H2</f>
        <v>0</v>
      </c>
      <c r="F2" s="5">
        <f>0*$H2</f>
        <v>0</v>
      </c>
      <c r="G2" s="5">
        <f>0*$H2</f>
        <v>0</v>
      </c>
      <c r="H2" s="5"/>
      <c r="I2" s="22" t="s">
        <v>163</v>
      </c>
      <c r="J2" s="68" t="b">
        <f>NOT(ISERROR(MATCH(A2,Index[Item],0)))</f>
        <v>1</v>
      </c>
    </row>
    <row r="3" spans="1:10" x14ac:dyDescent="0.3">
      <c r="A3" s="1" t="s">
        <v>165</v>
      </c>
      <c r="B3" s="5">
        <f>110*$H3</f>
        <v>687.5</v>
      </c>
      <c r="C3" s="5">
        <f>23*$H3</f>
        <v>143.75</v>
      </c>
      <c r="D3" s="5">
        <f>0*$H3</f>
        <v>0</v>
      </c>
      <c r="E3" s="5">
        <f>3*$H3</f>
        <v>18.75</v>
      </c>
      <c r="F3" s="5">
        <f>0.5*$H3</f>
        <v>3.125</v>
      </c>
      <c r="G3" s="5">
        <f>0*$H3</f>
        <v>0</v>
      </c>
      <c r="H3" s="5">
        <v>6.25</v>
      </c>
      <c r="I3" s="22" t="s">
        <v>163</v>
      </c>
      <c r="J3" s="68" t="b">
        <f>NOT(ISERROR(MATCH(A3,Index[Item],0)))</f>
        <v>1</v>
      </c>
    </row>
    <row r="4" spans="1:10" ht="37.5" x14ac:dyDescent="0.3">
      <c r="A4" s="1" t="s">
        <v>162</v>
      </c>
      <c r="B4" s="5">
        <f>100*$H4</f>
        <v>0</v>
      </c>
      <c r="C4" s="5">
        <f>22*$H4</f>
        <v>0</v>
      </c>
      <c r="D4" s="5">
        <f>0*$H4</f>
        <v>0</v>
      </c>
      <c r="E4" s="5">
        <f>2*$H4</f>
        <v>0</v>
      </c>
      <c r="F4" s="5">
        <f>0*$H4</f>
        <v>0</v>
      </c>
      <c r="G4" s="5">
        <f>0*$H4</f>
        <v>0</v>
      </c>
      <c r="H4" s="5"/>
      <c r="I4" s="22" t="s">
        <v>163</v>
      </c>
      <c r="J4" s="68" t="b">
        <f>NOT(ISERROR(MATCH(A4,Index[Item],0)))</f>
        <v>1</v>
      </c>
    </row>
    <row r="5" spans="1:10" x14ac:dyDescent="0.3">
      <c r="A5" s="1" t="s">
        <v>229</v>
      </c>
      <c r="B5" s="5">
        <f>110*$H5</f>
        <v>0</v>
      </c>
      <c r="C5" s="5">
        <f>0*$H5</f>
        <v>0</v>
      </c>
      <c r="D5" s="5">
        <f>3*$H5</f>
        <v>0</v>
      </c>
      <c r="E5" s="5">
        <f>22*$H5</f>
        <v>0</v>
      </c>
      <c r="F5" s="5">
        <f>0*$H5</f>
        <v>0</v>
      </c>
      <c r="G5" s="5">
        <f>0*$H5</f>
        <v>0</v>
      </c>
      <c r="H5" s="5"/>
      <c r="I5" s="22" t="s">
        <v>204</v>
      </c>
      <c r="J5" s="68" t="b">
        <f>NOT(ISERROR(MATCH(A5,Index[Item],0)))</f>
        <v>1</v>
      </c>
    </row>
    <row r="6" spans="1:10" x14ac:dyDescent="0.3">
      <c r="A6" s="1" t="s">
        <v>564</v>
      </c>
      <c r="B6" s="5">
        <f>'Pasta Sauce'!B34*$H6</f>
        <v>106.74000000000001</v>
      </c>
      <c r="C6" s="5">
        <f>'Pasta Sauce'!C34*$H6</f>
        <v>12.540000000000001</v>
      </c>
      <c r="D6" s="5">
        <f>'Pasta Sauce'!D34*$H6</f>
        <v>4.4799999999999995</v>
      </c>
      <c r="E6" s="5">
        <f>'Pasta Sauce'!E34*$H6</f>
        <v>1.3600000000000003</v>
      </c>
      <c r="F6" s="5">
        <f>'Pasta Sauce'!F34*$H6</f>
        <v>2.62</v>
      </c>
      <c r="G6" s="5">
        <f>'Pasta Sauce'!G34*$H6</f>
        <v>6.9</v>
      </c>
      <c r="H6" s="5">
        <v>0.2</v>
      </c>
      <c r="J6" s="68" t="b">
        <f>NOT(ISERROR(MATCH(A6,Index[Item],0)))</f>
        <v>1</v>
      </c>
    </row>
    <row r="7" spans="1:10" x14ac:dyDescent="0.3">
      <c r="A7" s="1" t="s">
        <v>327</v>
      </c>
      <c r="B7" s="5">
        <f>30*$H7</f>
        <v>0</v>
      </c>
      <c r="C7" s="5">
        <f>5*$H7</f>
        <v>0</v>
      </c>
      <c r="D7" s="5">
        <f>1*$H7</f>
        <v>0</v>
      </c>
      <c r="E7" s="5">
        <f>1*$H7</f>
        <v>0</v>
      </c>
      <c r="F7" s="5">
        <f>1*$H7</f>
        <v>0</v>
      </c>
      <c r="G7" s="5">
        <f>3*$H7</f>
        <v>0</v>
      </c>
      <c r="H7" s="5"/>
      <c r="I7" s="22" t="s">
        <v>259</v>
      </c>
      <c r="J7" s="68" t="b">
        <f>NOT(ISERROR(MATCH(A7,Index[Item],0)))</f>
        <v>1</v>
      </c>
    </row>
    <row r="8" spans="1:10" x14ac:dyDescent="0.3">
      <c r="A8" s="1" t="s">
        <v>328</v>
      </c>
      <c r="B8" s="5">
        <f>60*$H8</f>
        <v>0</v>
      </c>
      <c r="C8" s="5">
        <f>10*$H8</f>
        <v>0</v>
      </c>
      <c r="D8" s="5">
        <f>1.5*$H8</f>
        <v>0</v>
      </c>
      <c r="E8" s="5">
        <f>2*$H8</f>
        <v>0</v>
      </c>
      <c r="F8" s="5">
        <f>2*$H8</f>
        <v>0</v>
      </c>
      <c r="G8" s="5">
        <f>6*$H8</f>
        <v>0</v>
      </c>
      <c r="H8" s="5"/>
      <c r="I8" s="22" t="s">
        <v>330</v>
      </c>
      <c r="J8" s="68" t="b">
        <f>NOT(ISERROR(MATCH(A8,Index[Item],0)))</f>
        <v>1</v>
      </c>
    </row>
    <row r="9" spans="1:10" ht="37.5" x14ac:dyDescent="0.3">
      <c r="A9" s="1" t="s">
        <v>329</v>
      </c>
      <c r="B9" s="5">
        <f>60*$H9</f>
        <v>0</v>
      </c>
      <c r="C9" s="5">
        <f>13*$H9</f>
        <v>0</v>
      </c>
      <c r="D9" s="5">
        <f>0*$H9</f>
        <v>0</v>
      </c>
      <c r="E9" s="5">
        <f>2*$H9</f>
        <v>0</v>
      </c>
      <c r="F9" s="5">
        <f>3*$H9</f>
        <v>0</v>
      </c>
      <c r="G9" s="5">
        <f>10*$H9</f>
        <v>0</v>
      </c>
      <c r="H9" s="5"/>
      <c r="I9" s="22" t="s">
        <v>330</v>
      </c>
      <c r="J9" s="68" t="b">
        <f>NOT(ISERROR(MATCH(A9,Index[Item],0)))</f>
        <v>1</v>
      </c>
    </row>
    <row r="10" spans="1:10" x14ac:dyDescent="0.3">
      <c r="A10" s="1" t="s">
        <v>331</v>
      </c>
      <c r="B10" s="5">
        <f>40*$H10</f>
        <v>0</v>
      </c>
      <c r="C10" s="5">
        <f>4*$H10</f>
        <v>0</v>
      </c>
      <c r="D10" s="5">
        <f>2*$H10</f>
        <v>0</v>
      </c>
      <c r="E10" s="5">
        <f>1*$H10</f>
        <v>0</v>
      </c>
      <c r="F10" s="5">
        <f>1*$H10</f>
        <v>0</v>
      </c>
      <c r="G10" s="5">
        <f>3*$H10</f>
        <v>0</v>
      </c>
      <c r="H10" s="5"/>
      <c r="J10" s="68" t="b">
        <f>NOT(ISERROR(MATCH(A10,Index[Item],0)))</f>
        <v>1</v>
      </c>
    </row>
    <row r="11" spans="1:10" ht="37.5" x14ac:dyDescent="0.3">
      <c r="A11" s="1" t="s">
        <v>325</v>
      </c>
      <c r="B11" s="5">
        <f>60*$H11</f>
        <v>0</v>
      </c>
      <c r="C11" s="5">
        <f>16*$H11</f>
        <v>0</v>
      </c>
      <c r="D11" s="5">
        <f>0*$H11</f>
        <v>0</v>
      </c>
      <c r="E11" s="5">
        <f>0*$H11</f>
        <v>0</v>
      </c>
      <c r="F11" s="5">
        <f>0*$H11</f>
        <v>0</v>
      </c>
      <c r="G11" s="5">
        <f>14*$H11</f>
        <v>0</v>
      </c>
      <c r="H11" s="5"/>
      <c r="I11" s="22" t="s">
        <v>326</v>
      </c>
      <c r="J11" s="68" t="b">
        <f>NOT(ISERROR(MATCH(A11,Index[Item],0)))</f>
        <v>1</v>
      </c>
    </row>
    <row r="12" spans="1:10" ht="37.5" x14ac:dyDescent="0.3">
      <c r="A12" s="1" t="s">
        <v>178</v>
      </c>
      <c r="B12" s="5">
        <f>130*$H12</f>
        <v>130</v>
      </c>
      <c r="C12" s="5">
        <f>0*$H12</f>
        <v>0</v>
      </c>
      <c r="D12" s="5">
        <f>12*$H12</f>
        <v>12</v>
      </c>
      <c r="E12" s="5">
        <f>6*$H12</f>
        <v>6</v>
      </c>
      <c r="F12" s="5">
        <f t="shared" ref="F12:F19" si="0">0*$H12</f>
        <v>0</v>
      </c>
      <c r="G12" s="5">
        <f>0*$H12</f>
        <v>0</v>
      </c>
      <c r="H12" s="5">
        <v>1</v>
      </c>
      <c r="I12" s="22" t="s">
        <v>179</v>
      </c>
      <c r="J12" s="68" t="b">
        <f>NOT(ISERROR(MATCH(A12,Index[Item],0)))</f>
        <v>1</v>
      </c>
    </row>
    <row r="13" spans="1:10" ht="37.5" x14ac:dyDescent="0.3">
      <c r="A13" s="1" t="s">
        <v>180</v>
      </c>
      <c r="B13" s="5">
        <f>70*$H13</f>
        <v>0</v>
      </c>
      <c r="C13" s="5">
        <f>0.5*$H13</f>
        <v>0</v>
      </c>
      <c r="D13" s="5">
        <f>4*$H13</f>
        <v>0</v>
      </c>
      <c r="E13" s="5">
        <f>10*$H13</f>
        <v>0</v>
      </c>
      <c r="F13" s="5">
        <f t="shared" si="0"/>
        <v>0</v>
      </c>
      <c r="G13" s="5">
        <f>0.5*$H13</f>
        <v>0</v>
      </c>
      <c r="H13" s="5"/>
      <c r="I13" s="22" t="s">
        <v>181</v>
      </c>
      <c r="J13" s="68" t="b">
        <f>NOT(ISERROR(MATCH(A13,Index[Item],0)))</f>
        <v>1</v>
      </c>
    </row>
    <row r="14" spans="1:10" ht="37.5" x14ac:dyDescent="0.3">
      <c r="A14" s="1" t="s">
        <v>182</v>
      </c>
      <c r="B14" s="5">
        <f>130*$H14</f>
        <v>0</v>
      </c>
      <c r="C14" s="5">
        <f>0*$H14</f>
        <v>0</v>
      </c>
      <c r="D14" s="5">
        <f>12*$H14</f>
        <v>0</v>
      </c>
      <c r="E14" s="5">
        <f>5*$H14</f>
        <v>0</v>
      </c>
      <c r="F14" s="5">
        <f t="shared" si="0"/>
        <v>0</v>
      </c>
      <c r="G14" s="5">
        <f>0*$H14</f>
        <v>0</v>
      </c>
      <c r="H14" s="5"/>
      <c r="I14" s="22" t="s">
        <v>181</v>
      </c>
      <c r="J14" s="68" t="b">
        <f>NOT(ISERROR(MATCH(A14,Index[Item],0)))</f>
        <v>1</v>
      </c>
    </row>
    <row r="15" spans="1:10" ht="37.5" x14ac:dyDescent="0.3">
      <c r="A15" s="1" t="s">
        <v>183</v>
      </c>
      <c r="B15" s="5">
        <f>110*$H15</f>
        <v>110</v>
      </c>
      <c r="C15" s="5">
        <f>0.5*$H15</f>
        <v>0.5</v>
      </c>
      <c r="D15" s="5">
        <f>9*$H15</f>
        <v>9</v>
      </c>
      <c r="E15" s="5">
        <f>6*$H15</f>
        <v>6</v>
      </c>
      <c r="F15" s="5">
        <f t="shared" si="0"/>
        <v>0</v>
      </c>
      <c r="G15" s="5">
        <f>0*$H15</f>
        <v>0</v>
      </c>
      <c r="H15" s="5">
        <v>1</v>
      </c>
      <c r="I15" s="22" t="s">
        <v>181</v>
      </c>
      <c r="J15" s="68" t="b">
        <f>NOT(ISERROR(MATCH(A15,Index[Item],0)))</f>
        <v>1</v>
      </c>
    </row>
    <row r="16" spans="1:10" ht="37.5" x14ac:dyDescent="0.3">
      <c r="A16" s="1" t="s">
        <v>184</v>
      </c>
      <c r="B16" s="5">
        <f>210*$H16</f>
        <v>0</v>
      </c>
      <c r="C16" s="5">
        <f>2*$H16</f>
        <v>0</v>
      </c>
      <c r="D16" s="5">
        <f>18*$H16</f>
        <v>0</v>
      </c>
      <c r="E16" s="5">
        <f>10*$H16</f>
        <v>0</v>
      </c>
      <c r="F16" s="5">
        <f t="shared" si="0"/>
        <v>0</v>
      </c>
      <c r="G16" s="5">
        <f>2*$H16</f>
        <v>0</v>
      </c>
      <c r="H16" s="5"/>
      <c r="I16" s="22" t="s">
        <v>185</v>
      </c>
      <c r="J16" s="68" t="b">
        <f>NOT(ISERROR(MATCH(A16,Index[Item],0)))</f>
        <v>1</v>
      </c>
    </row>
    <row r="17" spans="1:10" x14ac:dyDescent="0.3">
      <c r="A17" s="1" t="s">
        <v>188</v>
      </c>
      <c r="B17" s="5">
        <f>140*$H17</f>
        <v>0</v>
      </c>
      <c r="C17" s="5">
        <f>1*$H17</f>
        <v>0</v>
      </c>
      <c r="D17" s="5">
        <f>13*$H17</f>
        <v>0</v>
      </c>
      <c r="E17" s="5">
        <f>6*$H17</f>
        <v>0</v>
      </c>
      <c r="F17" s="5">
        <f t="shared" si="0"/>
        <v>0</v>
      </c>
      <c r="G17" s="5">
        <f>0.5*$H17</f>
        <v>0</v>
      </c>
      <c r="H17" s="5"/>
      <c r="I17" s="22" t="s">
        <v>189</v>
      </c>
      <c r="J17" s="68" t="b">
        <f>NOT(ISERROR(MATCH(A17,Index[Item],0)))</f>
        <v>1</v>
      </c>
    </row>
    <row r="18" spans="1:10" x14ac:dyDescent="0.3">
      <c r="A18" s="1" t="s">
        <v>190</v>
      </c>
      <c r="B18" s="5">
        <f>140*$H18</f>
        <v>0</v>
      </c>
      <c r="C18" s="5">
        <f>0.5*$H18</f>
        <v>0</v>
      </c>
      <c r="D18" s="5">
        <f>13*$H18</f>
        <v>0</v>
      </c>
      <c r="E18" s="5">
        <f>5*$H18</f>
        <v>0</v>
      </c>
      <c r="F18" s="5">
        <f t="shared" si="0"/>
        <v>0</v>
      </c>
      <c r="G18" s="5">
        <f>0*$H18</f>
        <v>0</v>
      </c>
      <c r="H18" s="5"/>
      <c r="I18" s="22" t="s">
        <v>191</v>
      </c>
      <c r="J18" s="68" t="b">
        <f>NOT(ISERROR(MATCH(A18,Index[Item],0)))</f>
        <v>1</v>
      </c>
    </row>
    <row r="19" spans="1:10" ht="37.5" x14ac:dyDescent="0.3">
      <c r="A19" s="1" t="s">
        <v>192</v>
      </c>
      <c r="B19" s="5">
        <f>70*$H19</f>
        <v>0</v>
      </c>
      <c r="C19" s="5">
        <f>1*$H19</f>
        <v>0</v>
      </c>
      <c r="D19" s="5">
        <f>4*$H19</f>
        <v>0</v>
      </c>
      <c r="E19" s="5">
        <f>9*$H19</f>
        <v>0</v>
      </c>
      <c r="F19" s="5">
        <f t="shared" si="0"/>
        <v>0</v>
      </c>
      <c r="G19" s="5">
        <f>0*$H19</f>
        <v>0</v>
      </c>
      <c r="H19" s="5"/>
      <c r="J19" s="68" t="b">
        <f>NOT(ISERROR(MATCH(A19,Index[Item],0)))</f>
        <v>1</v>
      </c>
    </row>
    <row r="20" spans="1:10" x14ac:dyDescent="0.3">
      <c r="A20" s="1" t="s">
        <v>543</v>
      </c>
      <c r="B20" s="5">
        <f>28*$H20</f>
        <v>0</v>
      </c>
      <c r="C20" s="5">
        <f>6.7*$H20</f>
        <v>0</v>
      </c>
      <c r="D20" s="5">
        <f t="shared" ref="D20:D25" si="1">0.2*$H20</f>
        <v>0</v>
      </c>
      <c r="E20" s="5">
        <f>1.9*$H20</f>
        <v>0</v>
      </c>
      <c r="F20" s="5">
        <f>1.2*$H20</f>
        <v>0</v>
      </c>
      <c r="G20" s="5">
        <f>3.2*$H20</f>
        <v>0</v>
      </c>
      <c r="H20" s="5"/>
      <c r="I20" s="22" t="s">
        <v>96</v>
      </c>
      <c r="J20" s="68" t="b">
        <f>NOT(ISERROR(MATCH(A20,Index[Item],0)))</f>
        <v>1</v>
      </c>
    </row>
    <row r="21" spans="1:10" x14ac:dyDescent="0.3">
      <c r="A21" s="1" t="s">
        <v>27</v>
      </c>
      <c r="B21" s="5">
        <f>28*$H21</f>
        <v>0</v>
      </c>
      <c r="C21" s="5">
        <f>6.7*$H21</f>
        <v>0</v>
      </c>
      <c r="D21" s="5">
        <f t="shared" si="1"/>
        <v>0</v>
      </c>
      <c r="E21" s="5">
        <f>0.9*$H21</f>
        <v>0</v>
      </c>
      <c r="F21" s="5">
        <f>1.2*$H21</f>
        <v>0</v>
      </c>
      <c r="G21" s="5">
        <f>4.4*$H21</f>
        <v>0</v>
      </c>
      <c r="H21" s="5"/>
      <c r="I21" s="22" t="s">
        <v>96</v>
      </c>
      <c r="J21" s="68" t="b">
        <f>NOT(ISERROR(MATCH(A21,Index[Item],0)))</f>
        <v>1</v>
      </c>
    </row>
    <row r="22" spans="1:10" x14ac:dyDescent="0.3">
      <c r="A22" s="1" t="s">
        <v>98</v>
      </c>
      <c r="B22" s="5">
        <f>28*$H22</f>
        <v>0</v>
      </c>
      <c r="C22" s="5">
        <f>6.7*$H22</f>
        <v>0</v>
      </c>
      <c r="D22" s="5">
        <f t="shared" si="1"/>
        <v>0</v>
      </c>
      <c r="E22" s="5">
        <f>0.9*$H22</f>
        <v>0</v>
      </c>
      <c r="F22" s="5">
        <f>1.2*$H22</f>
        <v>0</v>
      </c>
      <c r="G22" s="5">
        <f>4.4*$H22</f>
        <v>0</v>
      </c>
      <c r="H22" s="5"/>
      <c r="I22" s="22" t="s">
        <v>96</v>
      </c>
      <c r="J22" s="68" t="b">
        <f>NOT(ISERROR(MATCH(A22,Index[Item],0)))</f>
        <v>1</v>
      </c>
    </row>
    <row r="23" spans="1:10" x14ac:dyDescent="0.3">
      <c r="A23" s="1" t="s">
        <v>99</v>
      </c>
      <c r="B23" s="5">
        <f>27*$H23</f>
        <v>0</v>
      </c>
      <c r="C23" s="5">
        <f>6.3*$H23</f>
        <v>0</v>
      </c>
      <c r="D23" s="5">
        <f t="shared" si="1"/>
        <v>0</v>
      </c>
      <c r="E23" s="5">
        <f>1*$H23</f>
        <v>0</v>
      </c>
      <c r="F23" s="5">
        <f>0.9*$H23</f>
        <v>0</v>
      </c>
      <c r="G23" s="5">
        <f>0*$H23</f>
        <v>0</v>
      </c>
      <c r="H23" s="5"/>
      <c r="I23" s="22" t="s">
        <v>96</v>
      </c>
      <c r="J23" s="68" t="b">
        <f>NOT(ISERROR(MATCH(A23,Index[Item],0)))</f>
        <v>1</v>
      </c>
    </row>
    <row r="24" spans="1:10" x14ac:dyDescent="0.3">
      <c r="A24" s="1" t="s">
        <v>102</v>
      </c>
      <c r="B24" s="5">
        <f>44*$H24</f>
        <v>0</v>
      </c>
      <c r="C24" s="5">
        <f>10*$H24</f>
        <v>0</v>
      </c>
      <c r="D24" s="5">
        <f t="shared" si="1"/>
        <v>0</v>
      </c>
      <c r="E24" s="5">
        <f>1.4*$H24</f>
        <v>0</v>
      </c>
      <c r="F24" s="5">
        <f>1.4*$H24</f>
        <v>0</v>
      </c>
      <c r="G24" s="5">
        <f>4.7*$H24</f>
        <v>0</v>
      </c>
      <c r="H24" s="5"/>
      <c r="I24" s="22" t="s">
        <v>96</v>
      </c>
      <c r="J24" s="68" t="b">
        <f>NOT(ISERROR(MATCH(A24,Index[Item],0)))</f>
        <v>1</v>
      </c>
    </row>
    <row r="25" spans="1:10" x14ac:dyDescent="0.3">
      <c r="A25" s="1" t="s">
        <v>95</v>
      </c>
      <c r="B25" s="5">
        <f>32*$H25</f>
        <v>0</v>
      </c>
      <c r="C25" s="5">
        <f>7.3*$H25</f>
        <v>0</v>
      </c>
      <c r="D25" s="5">
        <f t="shared" si="1"/>
        <v>0</v>
      </c>
      <c r="E25" s="5">
        <f>1.8*$H25</f>
        <v>0</v>
      </c>
      <c r="F25" s="5">
        <f t="shared" ref="F25" si="2">2.7*$H25</f>
        <v>0</v>
      </c>
      <c r="G25" s="5">
        <f>2.3*$H25</f>
        <v>0</v>
      </c>
      <c r="H25" s="5"/>
      <c r="I25" s="22" t="s">
        <v>96</v>
      </c>
      <c r="J25" s="68" t="b">
        <f>NOT(ISERROR(MATCH(A25,Index[Item],0)))</f>
        <v>1</v>
      </c>
    </row>
    <row r="26" spans="1:10" x14ac:dyDescent="0.3">
      <c r="A26" s="1" t="s">
        <v>101</v>
      </c>
      <c r="B26" s="5">
        <f>29*$H26</f>
        <v>0</v>
      </c>
      <c r="C26" s="5">
        <f>6.5*$H26</f>
        <v>0</v>
      </c>
      <c r="D26" s="5">
        <f>0.4*$H26</f>
        <v>0</v>
      </c>
      <c r="E26" s="5">
        <f>0.9*$H26</f>
        <v>0</v>
      </c>
      <c r="F26" s="5">
        <f>2.8*$H26</f>
        <v>0</v>
      </c>
      <c r="G26" s="5">
        <f>4.1*$H26</f>
        <v>0</v>
      </c>
      <c r="H26" s="5"/>
      <c r="I26" s="22" t="s">
        <v>96</v>
      </c>
      <c r="J26" s="68" t="b">
        <f>NOT(ISERROR(MATCH(A26,Index[Item],0)))</f>
        <v>1</v>
      </c>
    </row>
    <row r="27" spans="1:10" x14ac:dyDescent="0.3">
      <c r="A27" s="1" t="s">
        <v>100</v>
      </c>
      <c r="B27" s="5">
        <f>27*$H27</f>
        <v>0</v>
      </c>
      <c r="C27" s="5">
        <f>5.4*$H27</f>
        <v>0</v>
      </c>
      <c r="D27" s="5">
        <f>0.5*$H27</f>
        <v>0</v>
      </c>
      <c r="E27" s="5">
        <f>1.7*$H27</f>
        <v>0</v>
      </c>
      <c r="F27" s="5">
        <f>3.4*$H27</f>
        <v>0</v>
      </c>
      <c r="G27" s="5">
        <f>2*$H27</f>
        <v>0</v>
      </c>
      <c r="H27" s="5"/>
      <c r="I27" s="22" t="s">
        <v>96</v>
      </c>
      <c r="J27" s="68" t="b">
        <f>NOT(ISERROR(MATCH(A27,Index[Item],0)))</f>
        <v>1</v>
      </c>
    </row>
    <row r="28" spans="1:10" x14ac:dyDescent="0.3">
      <c r="A28" s="1" t="s">
        <v>557</v>
      </c>
      <c r="B28" s="5">
        <f>20*$H28</f>
        <v>0</v>
      </c>
      <c r="C28" s="5">
        <f>5*$H28</f>
        <v>0</v>
      </c>
      <c r="D28" s="5">
        <f>0*$H28</f>
        <v>0</v>
      </c>
      <c r="E28" s="5">
        <f>1*$H28</f>
        <v>0</v>
      </c>
      <c r="F28" s="5">
        <f>2*$H28</f>
        <v>0</v>
      </c>
      <c r="G28" s="5">
        <f>2*$H28</f>
        <v>0</v>
      </c>
      <c r="H28" s="5"/>
      <c r="I28" s="22" t="s">
        <v>96</v>
      </c>
      <c r="J28" s="68" t="b">
        <f>NOT(ISERROR(MATCH(A28,Index[Item],0)))</f>
        <v>1</v>
      </c>
    </row>
    <row r="29" spans="1:10" ht="37.5" x14ac:dyDescent="0.3">
      <c r="A29" s="1" t="s">
        <v>105</v>
      </c>
      <c r="B29" s="5">
        <f>20*$H29</f>
        <v>0</v>
      </c>
      <c r="C29" s="5">
        <f>4*$H29</f>
        <v>0</v>
      </c>
      <c r="D29" s="5">
        <f>0*$H29</f>
        <v>0</v>
      </c>
      <c r="E29" s="5">
        <f>1*$H29</f>
        <v>0</v>
      </c>
      <c r="F29" s="5">
        <f>1*$H29</f>
        <v>0</v>
      </c>
      <c r="G29" s="5">
        <f>3*$H29</f>
        <v>0</v>
      </c>
      <c r="H29" s="5"/>
      <c r="I29" s="22" t="s">
        <v>106</v>
      </c>
      <c r="J29" s="68" t="b">
        <f>NOT(ISERROR(MATCH(A29,Index[Item],0)))</f>
        <v>1</v>
      </c>
    </row>
    <row r="30" spans="1:10" x14ac:dyDescent="0.3">
      <c r="A30" s="1" t="s">
        <v>79</v>
      </c>
      <c r="B30" s="5">
        <f>110*$H30</f>
        <v>0</v>
      </c>
      <c r="C30" s="5">
        <f>0.5*$H30</f>
        <v>0</v>
      </c>
      <c r="D30" s="5">
        <f>9*$H30</f>
        <v>0</v>
      </c>
      <c r="E30" s="5">
        <f>7*$H30</f>
        <v>0</v>
      </c>
      <c r="F30" s="5">
        <f>0*$H30</f>
        <v>0</v>
      </c>
      <c r="G30" s="5">
        <f>0*$H30</f>
        <v>0</v>
      </c>
      <c r="H30" s="5"/>
      <c r="I30" s="22" t="s">
        <v>80</v>
      </c>
      <c r="J30" s="68" t="b">
        <f>NOT(ISERROR(MATCH(A30,Index[Item],0)))</f>
        <v>1</v>
      </c>
    </row>
    <row r="31" spans="1:10" x14ac:dyDescent="0.3">
      <c r="A31" s="1" t="s">
        <v>81</v>
      </c>
      <c r="B31" s="5">
        <f>120*$H31</f>
        <v>0</v>
      </c>
      <c r="C31" s="5">
        <f>2*$H31</f>
        <v>0</v>
      </c>
      <c r="D31" s="5">
        <f>9*$H31</f>
        <v>0</v>
      </c>
      <c r="E31" s="5">
        <f>6*$H31</f>
        <v>0</v>
      </c>
      <c r="F31" s="5">
        <f>0*$H31</f>
        <v>0</v>
      </c>
      <c r="G31" s="5">
        <f>0*$H31</f>
        <v>0</v>
      </c>
      <c r="H31" s="5"/>
      <c r="I31" s="22" t="s">
        <v>80</v>
      </c>
      <c r="J31" s="68" t="b">
        <f>NOT(ISERROR(MATCH(A31,Index[Item],0)))</f>
        <v>1</v>
      </c>
    </row>
    <row r="32" spans="1:10" x14ac:dyDescent="0.3">
      <c r="A32" s="1" t="s">
        <v>82</v>
      </c>
      <c r="B32" s="5">
        <f>100*$H32</f>
        <v>0</v>
      </c>
      <c r="C32" s="5">
        <f>1*$H32</f>
        <v>0</v>
      </c>
      <c r="D32" s="5">
        <f>8*$H32</f>
        <v>0</v>
      </c>
      <c r="E32" s="5">
        <f>6*$H32</f>
        <v>0</v>
      </c>
      <c r="F32" s="5">
        <f t="shared" ref="F32:F43" si="3">0*$H32</f>
        <v>0</v>
      </c>
      <c r="G32" s="5">
        <f>0.5*$H32</f>
        <v>0</v>
      </c>
      <c r="H32" s="5"/>
      <c r="I32" s="22" t="s">
        <v>80</v>
      </c>
      <c r="J32" s="68" t="b">
        <f>NOT(ISERROR(MATCH(A32,Index[Item],0)))</f>
        <v>1</v>
      </c>
    </row>
    <row r="33" spans="1:10" x14ac:dyDescent="0.3">
      <c r="A33" s="1" t="s">
        <v>83</v>
      </c>
      <c r="B33" s="5">
        <f>90*$H33</f>
        <v>0</v>
      </c>
      <c r="C33" s="5">
        <f>2*$H33</f>
        <v>0</v>
      </c>
      <c r="D33" s="5">
        <f>6*$H33</f>
        <v>0</v>
      </c>
      <c r="E33" s="5">
        <f>7*$H33</f>
        <v>0</v>
      </c>
      <c r="F33" s="5">
        <f t="shared" si="3"/>
        <v>0</v>
      </c>
      <c r="G33" s="5">
        <f>0*$H33</f>
        <v>0</v>
      </c>
      <c r="H33" s="5"/>
      <c r="I33" s="22" t="s">
        <v>80</v>
      </c>
      <c r="J33" s="68" t="b">
        <f>NOT(ISERROR(MATCH(A33,Index[Item],0)))</f>
        <v>1</v>
      </c>
    </row>
    <row r="34" spans="1:10" x14ac:dyDescent="0.3">
      <c r="A34" s="1" t="s">
        <v>84</v>
      </c>
      <c r="B34" s="5">
        <f>110*$H34</f>
        <v>0</v>
      </c>
      <c r="C34" s="5">
        <f>0.5*$H34</f>
        <v>0</v>
      </c>
      <c r="D34" s="5">
        <f>9*$H34</f>
        <v>0</v>
      </c>
      <c r="E34" s="5">
        <f>6*$H34</f>
        <v>0</v>
      </c>
      <c r="F34" s="5">
        <f t="shared" si="3"/>
        <v>0</v>
      </c>
      <c r="G34" s="5">
        <f>0.5*$H34</f>
        <v>0</v>
      </c>
      <c r="H34" s="5"/>
      <c r="I34" s="22" t="s">
        <v>80</v>
      </c>
      <c r="J34" s="68" t="b">
        <f>NOT(ISERROR(MATCH(A34,Index[Item],0)))</f>
        <v>1</v>
      </c>
    </row>
    <row r="35" spans="1:10" x14ac:dyDescent="0.3">
      <c r="A35" s="1" t="s">
        <v>85</v>
      </c>
      <c r="B35" s="5">
        <f>80*$H35</f>
        <v>0</v>
      </c>
      <c r="C35" s="5">
        <f>2*$H35</f>
        <v>0</v>
      </c>
      <c r="D35" s="5">
        <f>6*$H35</f>
        <v>0</v>
      </c>
      <c r="E35" s="5">
        <f>7*$H35</f>
        <v>0</v>
      </c>
      <c r="F35" s="5">
        <f t="shared" si="3"/>
        <v>0</v>
      </c>
      <c r="G35" s="5">
        <f>0.5*$H35</f>
        <v>0</v>
      </c>
      <c r="H35" s="5"/>
      <c r="I35" s="22" t="s">
        <v>80</v>
      </c>
      <c r="J35" s="68" t="b">
        <f>NOT(ISERROR(MATCH(A35,Index[Item],0)))</f>
        <v>1</v>
      </c>
    </row>
    <row r="36" spans="1:10" ht="37.5" x14ac:dyDescent="0.3">
      <c r="A36" s="1" t="s">
        <v>86</v>
      </c>
      <c r="B36" s="5">
        <f>90*$H36</f>
        <v>0</v>
      </c>
      <c r="C36" s="5">
        <f>1*$H36</f>
        <v>0</v>
      </c>
      <c r="D36" s="5">
        <f>7*$H36</f>
        <v>0</v>
      </c>
      <c r="E36" s="5">
        <f>6*$H36</f>
        <v>0</v>
      </c>
      <c r="F36" s="5">
        <f t="shared" si="3"/>
        <v>0</v>
      </c>
      <c r="G36" s="5">
        <f>0*$H36</f>
        <v>0</v>
      </c>
      <c r="H36" s="5"/>
      <c r="I36" s="22" t="s">
        <v>80</v>
      </c>
      <c r="J36" s="68" t="b">
        <f>NOT(ISERROR(MATCH(A36,Index[Item],0)))</f>
        <v>1</v>
      </c>
    </row>
    <row r="37" spans="1:10" ht="37.5" x14ac:dyDescent="0.3">
      <c r="A37" s="1" t="s">
        <v>87</v>
      </c>
      <c r="B37" s="5">
        <f>80*$H37</f>
        <v>0</v>
      </c>
      <c r="C37" s="5">
        <f>2*$H37</f>
        <v>0</v>
      </c>
      <c r="D37" s="5">
        <f>6*$H37</f>
        <v>0</v>
      </c>
      <c r="E37" s="5">
        <f>7*$H37</f>
        <v>0</v>
      </c>
      <c r="F37" s="5">
        <f t="shared" si="3"/>
        <v>0</v>
      </c>
      <c r="G37" s="5">
        <f>0.5*$H37</f>
        <v>0</v>
      </c>
      <c r="H37" s="5"/>
      <c r="I37" s="22" t="s">
        <v>80</v>
      </c>
      <c r="J37" s="68" t="b">
        <f>NOT(ISERROR(MATCH(A37,Index[Item],0)))</f>
        <v>1</v>
      </c>
    </row>
    <row r="38" spans="1:10" x14ac:dyDescent="0.3">
      <c r="A38" s="1" t="s">
        <v>88</v>
      </c>
      <c r="B38" s="5">
        <f>20*$H38</f>
        <v>0</v>
      </c>
      <c r="C38" s="5">
        <f>0*$H38</f>
        <v>0</v>
      </c>
      <c r="D38" s="5">
        <f>1.5*$H38</f>
        <v>0</v>
      </c>
      <c r="E38" s="5">
        <f>2*$H38</f>
        <v>0</v>
      </c>
      <c r="F38" s="5">
        <f t="shared" si="3"/>
        <v>0</v>
      </c>
      <c r="G38" s="5">
        <f>0*$H38</f>
        <v>0</v>
      </c>
      <c r="H38" s="5"/>
      <c r="I38" s="22" t="s">
        <v>89</v>
      </c>
      <c r="J38" s="68" t="b">
        <f>NOT(ISERROR(MATCH(A38,Index[Item],0)))</f>
        <v>1</v>
      </c>
    </row>
    <row r="39" spans="1:10" ht="37.5" x14ac:dyDescent="0.3">
      <c r="A39" s="1" t="s">
        <v>577</v>
      </c>
      <c r="B39" s="5">
        <f>60*$H39</f>
        <v>180</v>
      </c>
      <c r="C39" s="5">
        <f>1*$H39</f>
        <v>3</v>
      </c>
      <c r="D39" s="5">
        <f>4*$H39</f>
        <v>12</v>
      </c>
      <c r="E39" s="5">
        <f>5*$H39</f>
        <v>15</v>
      </c>
      <c r="F39" s="5">
        <f>0*$H39</f>
        <v>0</v>
      </c>
      <c r="G39" s="5">
        <f>0*$H39</f>
        <v>0</v>
      </c>
      <c r="H39" s="5">
        <v>3</v>
      </c>
      <c r="I39" s="22" t="s">
        <v>579</v>
      </c>
      <c r="J39" s="68" t="b">
        <f>NOT(ISERROR(MATCH(A39,Index[Item],0)))</f>
        <v>1</v>
      </c>
    </row>
    <row r="40" spans="1:10" ht="37.5" x14ac:dyDescent="0.3">
      <c r="A40" s="1" t="s">
        <v>578</v>
      </c>
      <c r="B40" s="5">
        <f>70*$H40</f>
        <v>140</v>
      </c>
      <c r="C40" s="5">
        <f>0*$H40</f>
        <v>0</v>
      </c>
      <c r="D40" s="5">
        <f>6*$H40</f>
        <v>12</v>
      </c>
      <c r="E40" s="5">
        <f>5*$H40</f>
        <v>10</v>
      </c>
      <c r="F40" s="5">
        <f>0*$H40</f>
        <v>0</v>
      </c>
      <c r="G40" s="5">
        <f>0*$H40</f>
        <v>0</v>
      </c>
      <c r="H40" s="5">
        <v>2</v>
      </c>
      <c r="I40" s="22" t="s">
        <v>579</v>
      </c>
      <c r="J40" s="68" t="b">
        <f>NOT(ISERROR(MATCH(A40,Index[Item],0)))</f>
        <v>1</v>
      </c>
    </row>
    <row r="41" spans="1:10" ht="37.5" x14ac:dyDescent="0.3">
      <c r="A41" s="1" t="s">
        <v>548</v>
      </c>
      <c r="B41" s="5">
        <f>80*$H41</f>
        <v>0</v>
      </c>
      <c r="C41" s="5">
        <f>2*$H41</f>
        <v>0</v>
      </c>
      <c r="D41" s="5">
        <f>6*$H41</f>
        <v>0</v>
      </c>
      <c r="E41" s="5">
        <f>7*$H41</f>
        <v>0</v>
      </c>
      <c r="F41" s="5">
        <f t="shared" si="3"/>
        <v>0</v>
      </c>
      <c r="G41" s="5">
        <f>0.5*$H41</f>
        <v>0</v>
      </c>
      <c r="H41" s="5"/>
      <c r="I41" s="22" t="s">
        <v>549</v>
      </c>
      <c r="J41" s="68" t="b">
        <f>NOT(ISERROR(MATCH(A41,Index[Item],0)))</f>
        <v>1</v>
      </c>
    </row>
    <row r="42" spans="1:10" ht="37.5" x14ac:dyDescent="0.3">
      <c r="A42" s="1" t="s">
        <v>550</v>
      </c>
      <c r="B42" s="5">
        <f>110*$H42</f>
        <v>0</v>
      </c>
      <c r="C42" s="5">
        <f>0*$H42</f>
        <v>0</v>
      </c>
      <c r="D42" s="5">
        <f>9*$H42</f>
        <v>0</v>
      </c>
      <c r="E42" s="5">
        <f>6*$H42</f>
        <v>0</v>
      </c>
      <c r="F42" s="5">
        <f t="shared" si="3"/>
        <v>0</v>
      </c>
      <c r="G42" s="5">
        <f>0*$H42</f>
        <v>0</v>
      </c>
      <c r="H42" s="5"/>
      <c r="I42" s="22" t="s">
        <v>549</v>
      </c>
      <c r="J42" s="68" t="b">
        <f>NOT(ISERROR(MATCH(A42,Index[Item],0)))</f>
        <v>1</v>
      </c>
    </row>
    <row r="43" spans="1:10" x14ac:dyDescent="0.3">
      <c r="A43" s="1" t="s">
        <v>551</v>
      </c>
      <c r="B43" s="5">
        <f>110*$H43</f>
        <v>0</v>
      </c>
      <c r="C43" s="5">
        <f>1*$H43</f>
        <v>0</v>
      </c>
      <c r="D43" s="5">
        <f>9*$H43</f>
        <v>0</v>
      </c>
      <c r="E43" s="5">
        <f>6*$H43</f>
        <v>0</v>
      </c>
      <c r="F43" s="5">
        <f t="shared" si="3"/>
        <v>0</v>
      </c>
      <c r="G43" s="5">
        <f>0*$H43</f>
        <v>0</v>
      </c>
      <c r="H43" s="5"/>
      <c r="I43" s="22" t="s">
        <v>549</v>
      </c>
      <c r="J43" s="68" t="b">
        <f>NOT(ISERROR(MATCH(A43,Index[Item],0)))</f>
        <v>1</v>
      </c>
    </row>
    <row r="44" spans="1:10" x14ac:dyDescent="0.3">
      <c r="A44" s="1" t="s">
        <v>308</v>
      </c>
      <c r="B44" s="5">
        <f>60*$H44</f>
        <v>0</v>
      </c>
      <c r="C44" s="5">
        <f>17*$H44</f>
        <v>0</v>
      </c>
      <c r="D44" s="5">
        <f t="shared" ref="D44:F45" si="4">0*$H44</f>
        <v>0</v>
      </c>
      <c r="E44" s="5">
        <f t="shared" si="4"/>
        <v>0</v>
      </c>
      <c r="F44" s="5">
        <f t="shared" si="4"/>
        <v>0</v>
      </c>
      <c r="G44" s="5">
        <f>17*$H44</f>
        <v>0</v>
      </c>
      <c r="H44" s="5"/>
      <c r="I44" s="22" t="s">
        <v>309</v>
      </c>
      <c r="J44" s="68" t="b">
        <f>NOT(ISERROR(MATCH(A44,Index[Item],0)))</f>
        <v>1</v>
      </c>
    </row>
    <row r="45" spans="1:10" x14ac:dyDescent="0.3">
      <c r="A45" s="1" t="s">
        <v>303</v>
      </c>
      <c r="B45" s="5">
        <f>30*$H45</f>
        <v>30</v>
      </c>
      <c r="C45" s="5">
        <f>0*$H45</f>
        <v>0</v>
      </c>
      <c r="D45" s="5">
        <f t="shared" si="4"/>
        <v>0</v>
      </c>
      <c r="E45" s="5">
        <f t="shared" si="4"/>
        <v>0</v>
      </c>
      <c r="F45" s="5">
        <f t="shared" si="4"/>
        <v>0</v>
      </c>
      <c r="G45" s="5">
        <f>8*$H45</f>
        <v>8</v>
      </c>
      <c r="H45" s="5">
        <v>1</v>
      </c>
      <c r="I45" s="22" t="s">
        <v>304</v>
      </c>
      <c r="J45" s="68" t="b">
        <f>NOT(ISERROR(MATCH(A45,Index[Item],0)))</f>
        <v>1</v>
      </c>
    </row>
    <row r="46" spans="1:10" x14ac:dyDescent="0.3">
      <c r="A46" s="1" t="s">
        <v>305</v>
      </c>
      <c r="B46" s="5">
        <f>30*$H46</f>
        <v>0</v>
      </c>
      <c r="C46" s="5">
        <f>8*$H46</f>
        <v>0</v>
      </c>
      <c r="D46" s="5">
        <f t="shared" ref="D46:F46" si="5">0*$H46</f>
        <v>0</v>
      </c>
      <c r="E46" s="5">
        <f t="shared" si="5"/>
        <v>0</v>
      </c>
      <c r="F46" s="5">
        <f t="shared" si="5"/>
        <v>0</v>
      </c>
      <c r="G46" s="5">
        <f>8*$H46</f>
        <v>0</v>
      </c>
      <c r="H46" s="5"/>
      <c r="I46" s="22" t="s">
        <v>304</v>
      </c>
      <c r="J46" s="68" t="b">
        <f>NOT(ISERROR(MATCH(A46,Index[Item],0)))</f>
        <v>1</v>
      </c>
    </row>
    <row r="47" spans="1:10" ht="37.5" x14ac:dyDescent="0.3">
      <c r="A47" s="1" t="s">
        <v>342</v>
      </c>
      <c r="B47" s="5">
        <f>120*$H47</f>
        <v>0</v>
      </c>
      <c r="C47" s="5">
        <f>0*$H47</f>
        <v>0</v>
      </c>
      <c r="D47" s="5">
        <f>14*$H47</f>
        <v>0</v>
      </c>
      <c r="E47" s="5">
        <f t="shared" ref="E47:G48" si="6">0*$H47</f>
        <v>0</v>
      </c>
      <c r="F47" s="5">
        <f t="shared" si="6"/>
        <v>0</v>
      </c>
      <c r="G47" s="5">
        <f t="shared" si="6"/>
        <v>0</v>
      </c>
      <c r="H47" s="5"/>
      <c r="I47" s="22" t="s">
        <v>307</v>
      </c>
      <c r="J47" s="68" t="b">
        <f>NOT(ISERROR(MATCH(A47,Index[Item],0)))</f>
        <v>1</v>
      </c>
    </row>
    <row r="48" spans="1:10" x14ac:dyDescent="0.3">
      <c r="A48" s="1" t="s">
        <v>344</v>
      </c>
      <c r="B48" s="5">
        <f>100*$H48</f>
        <v>200</v>
      </c>
      <c r="C48" s="5">
        <f>0*$H48</f>
        <v>0</v>
      </c>
      <c r="D48" s="5">
        <f>11*$H48</f>
        <v>22</v>
      </c>
      <c r="E48" s="5">
        <f t="shared" si="6"/>
        <v>0</v>
      </c>
      <c r="F48" s="5">
        <f t="shared" si="6"/>
        <v>0</v>
      </c>
      <c r="G48" s="5">
        <f t="shared" si="6"/>
        <v>0</v>
      </c>
      <c r="H48" s="5">
        <v>2</v>
      </c>
      <c r="I48" s="22" t="s">
        <v>345</v>
      </c>
      <c r="J48" s="68" t="b">
        <f>NOT(ISERROR(MATCH(A48,Index[Item],0)))</f>
        <v>1</v>
      </c>
    </row>
    <row r="49" spans="1:10" x14ac:dyDescent="0.3">
      <c r="A49" s="1" t="s">
        <v>361</v>
      </c>
      <c r="B49" s="5">
        <f>95*$H49</f>
        <v>0</v>
      </c>
      <c r="C49" s="5">
        <f>2.6*$H49</f>
        <v>0</v>
      </c>
      <c r="D49" s="5">
        <f>0*$H49</f>
        <v>0</v>
      </c>
      <c r="E49" s="5">
        <f>0.6*$H49</f>
        <v>0</v>
      </c>
      <c r="F49" s="5">
        <f>0*$H49</f>
        <v>0</v>
      </c>
      <c r="G49" s="5">
        <f>0*$H49</f>
        <v>0</v>
      </c>
      <c r="H49" s="5"/>
      <c r="I49" s="22" t="s">
        <v>362</v>
      </c>
      <c r="J49" s="68" t="b">
        <f>NOT(ISERROR(MATCH(A49,Index[Item],0)))</f>
        <v>1</v>
      </c>
    </row>
    <row r="50" spans="1:10" x14ac:dyDescent="0.3">
      <c r="A50" s="1" t="s">
        <v>295</v>
      </c>
      <c r="B50" s="5">
        <f>0*$H50</f>
        <v>0</v>
      </c>
      <c r="C50" s="5">
        <f t="shared" ref="C50:G53" si="7">0*$H50</f>
        <v>0</v>
      </c>
      <c r="D50" s="5">
        <f t="shared" si="7"/>
        <v>0</v>
      </c>
      <c r="E50" s="5">
        <f t="shared" si="7"/>
        <v>0</v>
      </c>
      <c r="F50" s="5">
        <f t="shared" si="7"/>
        <v>0</v>
      </c>
      <c r="G50" s="5">
        <f t="shared" si="7"/>
        <v>0</v>
      </c>
      <c r="H50" s="5">
        <v>8</v>
      </c>
      <c r="I50" s="22" t="s">
        <v>296</v>
      </c>
      <c r="J50" s="68" t="b">
        <f>NOT(ISERROR(MATCH(A50,Index[Item],0)))</f>
        <v>1</v>
      </c>
    </row>
    <row r="51" spans="1:10" x14ac:dyDescent="0.3">
      <c r="A51" s="1" t="s">
        <v>297</v>
      </c>
      <c r="B51" s="5">
        <f>0*$H51</f>
        <v>0</v>
      </c>
      <c r="C51" s="5">
        <f t="shared" si="7"/>
        <v>0</v>
      </c>
      <c r="D51" s="5">
        <f t="shared" si="7"/>
        <v>0</v>
      </c>
      <c r="E51" s="5">
        <f t="shared" si="7"/>
        <v>0</v>
      </c>
      <c r="F51" s="5">
        <f t="shared" si="7"/>
        <v>0</v>
      </c>
      <c r="G51" s="5">
        <f t="shared" si="7"/>
        <v>0</v>
      </c>
      <c r="H51" s="5"/>
      <c r="I51" s="22" t="s">
        <v>296</v>
      </c>
      <c r="J51" s="68" t="b">
        <f>NOT(ISERROR(MATCH(A51,Index[Item],0)))</f>
        <v>1</v>
      </c>
    </row>
    <row r="52" spans="1:10" x14ac:dyDescent="0.3">
      <c r="A52" s="1" t="s">
        <v>298</v>
      </c>
      <c r="B52" s="5">
        <f>0*$H52</f>
        <v>0</v>
      </c>
      <c r="C52" s="5">
        <f t="shared" si="7"/>
        <v>0</v>
      </c>
      <c r="D52" s="5">
        <f t="shared" si="7"/>
        <v>0</v>
      </c>
      <c r="E52" s="5">
        <f t="shared" si="7"/>
        <v>0</v>
      </c>
      <c r="F52" s="5">
        <f t="shared" si="7"/>
        <v>0</v>
      </c>
      <c r="G52" s="5">
        <f t="shared" si="7"/>
        <v>0</v>
      </c>
      <c r="H52" s="5"/>
      <c r="I52" s="22" t="s">
        <v>299</v>
      </c>
      <c r="J52" s="68" t="b">
        <f>NOT(ISERROR(MATCH(A52,Index[Item],0)))</f>
        <v>1</v>
      </c>
    </row>
    <row r="53" spans="1:10" x14ac:dyDescent="0.3">
      <c r="A53" s="1" t="s">
        <v>300</v>
      </c>
      <c r="B53" s="5">
        <f>0*$H53</f>
        <v>0</v>
      </c>
      <c r="C53" s="5">
        <f t="shared" si="7"/>
        <v>0</v>
      </c>
      <c r="D53" s="5">
        <f t="shared" si="7"/>
        <v>0</v>
      </c>
      <c r="E53" s="5">
        <f t="shared" si="7"/>
        <v>0</v>
      </c>
      <c r="F53" s="5">
        <f t="shared" si="7"/>
        <v>0</v>
      </c>
      <c r="G53" s="5">
        <f t="shared" si="7"/>
        <v>0</v>
      </c>
      <c r="H53" s="5"/>
      <c r="I53" s="22" t="s">
        <v>299</v>
      </c>
      <c r="J53" s="68" t="b">
        <f>NOT(ISERROR(MATCH(A53,Index[Item],0)))</f>
        <v>1</v>
      </c>
    </row>
    <row r="54" spans="1:10" x14ac:dyDescent="0.3">
      <c r="A54" s="1" t="s">
        <v>481</v>
      </c>
      <c r="B54" s="5">
        <f>PizzaSpice[[#Totals],[Calories]]</f>
        <v>13.749999999999998</v>
      </c>
      <c r="C54" s="5">
        <f>PizzaSpice[[#Totals],[Carbs]]</f>
        <v>2.85</v>
      </c>
      <c r="D54" s="5">
        <f>PizzaSpice[[#Totals],[Fat]]</f>
        <v>0.1</v>
      </c>
      <c r="E54" s="5">
        <f>PizzaSpice[[#Totals],[Protein]]</f>
        <v>0.55000000000000004</v>
      </c>
      <c r="F54" s="5">
        <f>PizzaSpice[[#Totals],[Fiber]]</f>
        <v>1.05</v>
      </c>
      <c r="G54" s="5">
        <f>PizzaSpice[[#Totals],[Sugar]]</f>
        <v>0.25</v>
      </c>
      <c r="H54" s="5">
        <f>PizzaSpice[[#Totals],[Serving by TSP]]</f>
        <v>2.5</v>
      </c>
      <c r="J54" s="68" t="b">
        <f>NOT(ISERROR(MATCH(A54,Index[Item],0)))</f>
        <v>1</v>
      </c>
    </row>
    <row r="55" spans="1:10" x14ac:dyDescent="0.3">
      <c r="A55" s="1" t="s">
        <v>544</v>
      </c>
      <c r="B55" s="5">
        <f>SUBTOTAL(109,Pizza[Calories])/Pizza[[#Totals],[Measurement]]</f>
        <v>399.4975</v>
      </c>
      <c r="C55" s="5">
        <f>SUBTOTAL(109,Pizza[Carbs])/Pizza[[#Totals],[Measurement]]</f>
        <v>40.659999999999997</v>
      </c>
      <c r="D55" s="5">
        <f>SUBTOTAL(109,Pizza[[Fat ]])/Pizza[[#Totals],[Measurement]]</f>
        <v>17.895</v>
      </c>
      <c r="E55" s="5">
        <f>SUBTOTAL(109,Pizza[Protein])/Pizza[[#Totals],[Measurement]]</f>
        <v>14.414999999999999</v>
      </c>
      <c r="F55" s="5">
        <f>SUBTOTAL(109,Pizza[Fiber])/Pizza[[#Totals],[Measurement]]</f>
        <v>1.69875</v>
      </c>
      <c r="G55" s="5">
        <f>SUBTOTAL(109,Pizza[Sugar])/Pizza[[#Totals],[Measurement]]</f>
        <v>3.7875000000000001</v>
      </c>
      <c r="H55" s="5">
        <f>SUBTOTAL(109,Pizza[Servings])/Pizza[[#Totals],[Measurement]]</f>
        <v>6.7374999999999998</v>
      </c>
      <c r="I55" s="22" t="s">
        <v>546</v>
      </c>
    </row>
    <row r="57" spans="1:10" x14ac:dyDescent="0.3">
      <c r="A57" s="48" t="s">
        <v>0</v>
      </c>
      <c r="B57" s="49" t="s">
        <v>1</v>
      </c>
      <c r="C57" s="49" t="s">
        <v>2</v>
      </c>
      <c r="D57" s="49" t="s">
        <v>3</v>
      </c>
      <c r="E57" s="49" t="s">
        <v>4</v>
      </c>
      <c r="F57" s="49" t="s">
        <v>5</v>
      </c>
      <c r="G57" s="49" t="s">
        <v>6</v>
      </c>
      <c r="H57" s="50" t="s">
        <v>7</v>
      </c>
      <c r="I57" s="22" t="s">
        <v>542</v>
      </c>
    </row>
    <row r="58" spans="1:10" x14ac:dyDescent="0.3">
      <c r="A58" s="51" t="s">
        <v>8</v>
      </c>
      <c r="B58" s="46">
        <f>1.6*$H58</f>
        <v>0</v>
      </c>
      <c r="C58" s="46">
        <f>0.3*$H58</f>
        <v>0</v>
      </c>
      <c r="D58" s="46">
        <f>0*$H58</f>
        <v>0</v>
      </c>
      <c r="E58" s="46">
        <f>0.2*$H58</f>
        <v>0</v>
      </c>
      <c r="F58" s="46">
        <f>0.3*$H58</f>
        <v>0</v>
      </c>
      <c r="G58" s="46">
        <f>0*$H58</f>
        <v>0</v>
      </c>
      <c r="H58" s="52"/>
      <c r="J58" s="2" t="b">
        <f>NOT(ISERROR(MATCH(A58,Spice[Spice],0)))</f>
        <v>1</v>
      </c>
    </row>
    <row r="59" spans="1:10" x14ac:dyDescent="0.3">
      <c r="A59" s="51" t="s">
        <v>9</v>
      </c>
      <c r="B59" s="46">
        <f>5.8*$H59</f>
        <v>0</v>
      </c>
      <c r="C59" s="46">
        <f>1.5*$H59</f>
        <v>0</v>
      </c>
      <c r="D59" s="46">
        <f>0.1*$H59</f>
        <v>0</v>
      </c>
      <c r="E59" s="46">
        <f>0.2*$H59</f>
        <v>0</v>
      </c>
      <c r="F59" s="46">
        <f>0.6*$H59</f>
        <v>0</v>
      </c>
      <c r="G59" s="46">
        <f>0*$H59</f>
        <v>0</v>
      </c>
      <c r="H59" s="52"/>
      <c r="J59" s="2" t="b">
        <f>NOT(ISERROR(MATCH(A59,Spice[Spice],0)))</f>
        <v>1</v>
      </c>
    </row>
    <row r="60" spans="1:10" x14ac:dyDescent="0.3">
      <c r="A60" s="53" t="s">
        <v>10</v>
      </c>
      <c r="B60" s="54">
        <f>7.6*$H60</f>
        <v>0</v>
      </c>
      <c r="C60" s="54">
        <f>1.3*$H60</f>
        <v>0</v>
      </c>
      <c r="D60" s="54">
        <f>0.4*$H60</f>
        <v>0</v>
      </c>
      <c r="E60" s="54">
        <f>0.4*$H60</f>
        <v>0</v>
      </c>
      <c r="F60" s="54">
        <f>0.9*$H60</f>
        <v>0</v>
      </c>
      <c r="G60" s="54">
        <f>0.2*$H60</f>
        <v>0</v>
      </c>
      <c r="H60" s="55"/>
      <c r="J60" s="2" t="b">
        <f>NOT(ISERROR(MATCH(A60,Spice[Spice],0)))</f>
        <v>1</v>
      </c>
    </row>
    <row r="61" spans="1:10" x14ac:dyDescent="0.3">
      <c r="A61" s="56" t="s">
        <v>11</v>
      </c>
      <c r="B61" s="32">
        <f>48*$H61</f>
        <v>0</v>
      </c>
      <c r="C61" s="32">
        <f>8*$H61</f>
        <v>0</v>
      </c>
      <c r="D61" s="32">
        <f>0*$H61</f>
        <v>0</v>
      </c>
      <c r="E61" s="32">
        <f>0*$H61</f>
        <v>0</v>
      </c>
      <c r="F61" s="32">
        <f>0*$H61</f>
        <v>0</v>
      </c>
      <c r="G61" s="32">
        <f>0*$H61</f>
        <v>0</v>
      </c>
      <c r="H61" s="57"/>
      <c r="J61" s="2" t="b">
        <f>NOT(ISERROR(MATCH(A61,Spice[Spice],0)))</f>
        <v>1</v>
      </c>
    </row>
    <row r="62" spans="1:10" x14ac:dyDescent="0.3">
      <c r="A62" s="53" t="s">
        <v>12</v>
      </c>
      <c r="B62" s="54">
        <f>6.4*$H62</f>
        <v>0</v>
      </c>
      <c r="C62" s="54">
        <f>2.1*$H62</f>
        <v>0</v>
      </c>
      <c r="D62" s="54">
        <f>0*$H61</f>
        <v>0</v>
      </c>
      <c r="E62" s="54">
        <f>0.1*$H62</f>
        <v>0</v>
      </c>
      <c r="F62" s="54">
        <f>1.4*$H62</f>
        <v>0</v>
      </c>
      <c r="G62" s="54">
        <f>0.1*$H62</f>
        <v>0</v>
      </c>
      <c r="H62" s="55"/>
      <c r="J62" s="2" t="b">
        <f>NOT(ISERROR(MATCH(A62,Spice[Spice],0)))</f>
        <v>1</v>
      </c>
    </row>
    <row r="63" spans="1:10" x14ac:dyDescent="0.3">
      <c r="A63" s="51" t="s">
        <v>13</v>
      </c>
      <c r="B63" s="46">
        <f>1.7*$H63</f>
        <v>0</v>
      </c>
      <c r="C63" s="46">
        <f>0.3*$H63</f>
        <v>0</v>
      </c>
      <c r="D63" s="46">
        <f>0*$H63</f>
        <v>0</v>
      </c>
      <c r="E63" s="46">
        <f>0.1*$H63</f>
        <v>0</v>
      </c>
      <c r="F63" s="46">
        <f>0.1*$H63</f>
        <v>0</v>
      </c>
      <c r="G63" s="46">
        <f>0*$H63</f>
        <v>0</v>
      </c>
      <c r="H63" s="52"/>
      <c r="J63" s="2" t="b">
        <f>NOT(ISERROR(MATCH(A63,Spice[Spice],0)))</f>
        <v>1</v>
      </c>
    </row>
    <row r="64" spans="1:10" ht="37.5" x14ac:dyDescent="0.3">
      <c r="A64" s="51" t="s">
        <v>14</v>
      </c>
      <c r="B64" s="46">
        <f>5.7*$H64</f>
        <v>5.7</v>
      </c>
      <c r="C64" s="46">
        <f>1*$H64</f>
        <v>1</v>
      </c>
      <c r="D64" s="46">
        <f>0*$H64</f>
        <v>0</v>
      </c>
      <c r="E64" s="46">
        <f>0.2*$H64</f>
        <v>0.2</v>
      </c>
      <c r="F64" s="46">
        <f>0.5*$H64</f>
        <v>0.5</v>
      </c>
      <c r="G64" s="46">
        <f>0.2*$H64</f>
        <v>0.2</v>
      </c>
      <c r="H64" s="52">
        <v>1</v>
      </c>
      <c r="J64" s="2" t="b">
        <f>NOT(ISERROR(MATCH(A64,Spice[Spice],0)))</f>
        <v>1</v>
      </c>
    </row>
    <row r="65" spans="1:10" x14ac:dyDescent="0.3">
      <c r="A65" s="56" t="s">
        <v>15</v>
      </c>
      <c r="B65" s="32">
        <f>7.6*$H65</f>
        <v>0</v>
      </c>
      <c r="C65" s="32">
        <f>0.9*$H65</f>
        <v>0</v>
      </c>
      <c r="D65" s="32">
        <f>0.5*$H65</f>
        <v>0</v>
      </c>
      <c r="E65" s="32">
        <f>0.4*$H65</f>
        <v>0</v>
      </c>
      <c r="F65" s="32">
        <f>0.2*$H65</f>
        <v>0</v>
      </c>
      <c r="G65" s="32">
        <f>0.1*$H65</f>
        <v>0</v>
      </c>
      <c r="H65" s="57"/>
      <c r="J65" s="2" t="b">
        <f>NOT(ISERROR(MATCH(A65,Spice[Spice],0)))</f>
        <v>1</v>
      </c>
    </row>
    <row r="66" spans="1:10" x14ac:dyDescent="0.3">
      <c r="A66" s="56" t="s">
        <v>16</v>
      </c>
      <c r="B66" s="32">
        <f>(36/5)*$H66</f>
        <v>0</v>
      </c>
      <c r="C66" s="32">
        <f>(5/5)*$H66</f>
        <v>0</v>
      </c>
      <c r="D66" s="32">
        <f>(1.2/5)*$H66</f>
        <v>0</v>
      </c>
      <c r="E66" s="32">
        <f>(1.3/5)*$H66</f>
        <v>0</v>
      </c>
      <c r="F66" s="32">
        <f>(3/5)*$H66</f>
        <v>0</v>
      </c>
      <c r="G66" s="32">
        <f>(0.2/5)*$H66</f>
        <v>0</v>
      </c>
      <c r="H66" s="57"/>
      <c r="J66" s="2" t="b">
        <f>NOT(ISERROR(MATCH(A66,Spice[Spice],0)))</f>
        <v>1</v>
      </c>
    </row>
    <row r="67" spans="1:10" x14ac:dyDescent="0.3">
      <c r="A67" s="51" t="s">
        <v>17</v>
      </c>
      <c r="B67" s="46">
        <f>5*$H67</f>
        <v>0</v>
      </c>
      <c r="C67" s="46">
        <f>1*$H67</f>
        <v>0</v>
      </c>
      <c r="D67" s="46">
        <f>0*$H67</f>
        <v>0</v>
      </c>
      <c r="E67" s="46">
        <f>0*$H67</f>
        <v>0</v>
      </c>
      <c r="F67" s="46">
        <f>0*$H67</f>
        <v>0</v>
      </c>
      <c r="G67" s="46">
        <f>0*$H67</f>
        <v>0</v>
      </c>
      <c r="H67" s="52"/>
      <c r="J67" s="2" t="b">
        <f>NOT(ISERROR(MATCH(A67,Spice[Spice],0)))</f>
        <v>1</v>
      </c>
    </row>
    <row r="68" spans="1:10" x14ac:dyDescent="0.3">
      <c r="A68" s="51" t="s">
        <v>18</v>
      </c>
      <c r="B68" s="46">
        <f>10*$H68</f>
        <v>5</v>
      </c>
      <c r="C68" s="46">
        <f>2.3*$H68</f>
        <v>1.1499999999999999</v>
      </c>
      <c r="D68" s="46">
        <f>0*$H68</f>
        <v>0</v>
      </c>
      <c r="E68" s="46">
        <f>0.5*$H68</f>
        <v>0.25</v>
      </c>
      <c r="F68" s="46">
        <f>0.3*$H68</f>
        <v>0.15</v>
      </c>
      <c r="G68" s="46">
        <f>0.1*$H68</f>
        <v>0.05</v>
      </c>
      <c r="H68" s="52">
        <v>0.5</v>
      </c>
      <c r="J68" s="2" t="b">
        <f>NOT(ISERROR(MATCH(A68,Spice[Spice],0)))</f>
        <v>1</v>
      </c>
    </row>
    <row r="69" spans="1:10" x14ac:dyDescent="0.3">
      <c r="A69" s="53" t="s">
        <v>19</v>
      </c>
      <c r="B69" s="54">
        <f>1.2*$H69</f>
        <v>0</v>
      </c>
      <c r="C69" s="54">
        <f>0.3*$H69</f>
        <v>0</v>
      </c>
      <c r="D69" s="54">
        <f>0*$H69</f>
        <v>0</v>
      </c>
      <c r="E69" s="54">
        <f>1*$H69</f>
        <v>0</v>
      </c>
      <c r="F69" s="54">
        <f>0*$H69</f>
        <v>0</v>
      </c>
      <c r="G69" s="54">
        <f>0*$H69</f>
        <v>0</v>
      </c>
      <c r="H69" s="55"/>
      <c r="J69" s="2" t="b">
        <f>NOT(ISERROR(MATCH(A69,Spice[Spice],0)))</f>
        <v>1</v>
      </c>
    </row>
    <row r="70" spans="1:10" x14ac:dyDescent="0.3">
      <c r="A70" s="53" t="s">
        <v>20</v>
      </c>
      <c r="B70" s="54">
        <f>6*$H70</f>
        <v>0</v>
      </c>
      <c r="C70" s="54">
        <f>1.3*$H70</f>
        <v>0</v>
      </c>
      <c r="D70" s="54">
        <f>0.1*$H70</f>
        <v>0</v>
      </c>
      <c r="E70" s="54">
        <f>0.2*$H70</f>
        <v>0</v>
      </c>
      <c r="F70" s="54">
        <f>0.3*$H70</f>
        <v>0</v>
      </c>
      <c r="G70" s="54">
        <f>0.1*$H70</f>
        <v>0</v>
      </c>
      <c r="H70" s="55"/>
      <c r="J70" s="2" t="b">
        <f>NOT(ISERROR(MATCH(A70,Spice[Spice],0)))</f>
        <v>1</v>
      </c>
    </row>
    <row r="71" spans="1:10" x14ac:dyDescent="0.3">
      <c r="A71" s="51" t="s">
        <v>21</v>
      </c>
      <c r="B71" s="46">
        <f>2.2*$H71</f>
        <v>1.1000000000000001</v>
      </c>
      <c r="C71" s="46">
        <f>0.5*$H71</f>
        <v>0.25</v>
      </c>
      <c r="D71" s="46">
        <f>0.1*$H71</f>
        <v>0.05</v>
      </c>
      <c r="E71" s="46">
        <f>0.1*$H71</f>
        <v>0.05</v>
      </c>
      <c r="F71" s="46">
        <f>0.3*$H71</f>
        <v>0.15</v>
      </c>
      <c r="G71" s="46">
        <f>0*$H71</f>
        <v>0</v>
      </c>
      <c r="H71" s="52">
        <v>0.5</v>
      </c>
      <c r="J71" s="2" t="b">
        <f>NOT(ISERROR(MATCH(A71,Spice[Spice],0)))</f>
        <v>1</v>
      </c>
    </row>
    <row r="72" spans="1:10" x14ac:dyDescent="0.3">
      <c r="A72" s="53" t="s">
        <v>22</v>
      </c>
      <c r="B72" s="54">
        <f>0*$H72</f>
        <v>0</v>
      </c>
      <c r="C72" s="54">
        <f>0*$H72</f>
        <v>0</v>
      </c>
      <c r="D72" s="54">
        <f>0*$H72</f>
        <v>0</v>
      </c>
      <c r="E72" s="54">
        <f>0*$H72</f>
        <v>0</v>
      </c>
      <c r="F72" s="54">
        <f>0*$H72</f>
        <v>0</v>
      </c>
      <c r="G72" s="54">
        <f>0*$H72</f>
        <v>0</v>
      </c>
      <c r="H72" s="55"/>
      <c r="J72" s="2" t="b">
        <f>NOT(ISERROR(MATCH(A72,Spice[Spice],0)))</f>
        <v>1</v>
      </c>
    </row>
    <row r="73" spans="1:10" x14ac:dyDescent="0.3">
      <c r="A73" s="51" t="s">
        <v>23</v>
      </c>
      <c r="B73" s="46">
        <f>8.2*$H73</f>
        <v>0</v>
      </c>
      <c r="C73" s="46">
        <f>1.9*$H73</f>
        <v>0</v>
      </c>
      <c r="D73" s="46">
        <f>0*$H73</f>
        <v>0</v>
      </c>
      <c r="E73" s="46">
        <f>0.3*$H73</f>
        <v>0</v>
      </c>
      <c r="F73" s="46">
        <f>0.4*$H73</f>
        <v>0</v>
      </c>
      <c r="G73" s="46">
        <f>0.2*$H73</f>
        <v>0</v>
      </c>
      <c r="H73" s="52"/>
      <c r="J73" s="2" t="b">
        <f>NOT(ISERROR(MATCH(A73,Spice[Spice],0)))</f>
        <v>1</v>
      </c>
    </row>
    <row r="74" spans="1:10" x14ac:dyDescent="0.3">
      <c r="A74" s="53" t="s">
        <v>24</v>
      </c>
      <c r="B74" s="54">
        <f>2.7*$H74</f>
        <v>0</v>
      </c>
      <c r="C74" s="54">
        <f>0.7*$H74</f>
        <v>0</v>
      </c>
      <c r="D74" s="54">
        <f>0*$H74</f>
        <v>0</v>
      </c>
      <c r="E74" s="54">
        <f>0.1*$H74</f>
        <v>0</v>
      </c>
      <c r="F74" s="54">
        <f>0.4*$H74</f>
        <v>0</v>
      </c>
      <c r="G74" s="54">
        <f>0*$H74</f>
        <v>0</v>
      </c>
      <c r="H74" s="55"/>
      <c r="J74" s="2" t="b">
        <f>NOT(ISERROR(MATCH(A74,Spice[Spice],0)))</f>
        <v>1</v>
      </c>
    </row>
    <row r="75" spans="1:10" x14ac:dyDescent="0.3">
      <c r="A75" s="56" t="s">
        <v>25</v>
      </c>
      <c r="B75" s="32">
        <f>6.5*$H75</f>
        <v>0</v>
      </c>
      <c r="C75" s="32">
        <f>1.2*$H75</f>
        <v>0</v>
      </c>
      <c r="D75" s="32">
        <f>0.3*$H75</f>
        <v>0</v>
      </c>
      <c r="E75" s="32">
        <f>0.3*$H75</f>
        <v>0</v>
      </c>
      <c r="F75" s="32">
        <f>0.8*$H75</f>
        <v>0</v>
      </c>
      <c r="G75" s="32">
        <f>0.2*$H75</f>
        <v>0</v>
      </c>
      <c r="H75" s="57"/>
      <c r="J75" s="2" t="b">
        <f>NOT(ISERROR(MATCH(A75,Spice[Spice],0)))</f>
        <v>1</v>
      </c>
    </row>
    <row r="76" spans="1:10" x14ac:dyDescent="0.3">
      <c r="A76" s="51" t="s">
        <v>26</v>
      </c>
      <c r="B76" s="46">
        <f>1.5*$H76</f>
        <v>0</v>
      </c>
      <c r="C76" s="46">
        <f>0.3*$H76</f>
        <v>0</v>
      </c>
      <c r="D76" s="46">
        <f>0*$H76</f>
        <v>0</v>
      </c>
      <c r="E76" s="46">
        <f>0.1*$H76</f>
        <v>0</v>
      </c>
      <c r="F76" s="46">
        <f>0.1*$H76</f>
        <v>0</v>
      </c>
      <c r="G76" s="46">
        <f>0*$H76</f>
        <v>0</v>
      </c>
      <c r="H76" s="52"/>
      <c r="J76" s="2" t="b">
        <f>NOT(ISERROR(MATCH(A76,Spice[Spice],0)))</f>
        <v>1</v>
      </c>
    </row>
    <row r="77" spans="1:10" x14ac:dyDescent="0.3">
      <c r="A77" s="51" t="s">
        <v>27</v>
      </c>
      <c r="B77" s="46">
        <f>5.7*$H77</f>
        <v>0</v>
      </c>
      <c r="C77" s="46">
        <f>1*$H77</f>
        <v>0</v>
      </c>
      <c r="D77" s="46">
        <f>0.3*$H77</f>
        <v>0</v>
      </c>
      <c r="E77" s="46">
        <f>0.2*$H77</f>
        <v>0</v>
      </c>
      <c r="F77" s="46">
        <f>0.5*$H77</f>
        <v>0</v>
      </c>
      <c r="G77" s="46">
        <f>0.2*$H77</f>
        <v>0</v>
      </c>
      <c r="H77" s="52"/>
      <c r="J77" s="2" t="b">
        <f>NOT(ISERROR(MATCH(A77,Spice[Spice],0)))</f>
        <v>1</v>
      </c>
    </row>
    <row r="78" spans="1:10" x14ac:dyDescent="0.3">
      <c r="A78" s="53" t="s">
        <v>28</v>
      </c>
      <c r="B78" s="54">
        <f t="shared" ref="B78:G78" si="8">0*$H78</f>
        <v>0</v>
      </c>
      <c r="C78" s="54">
        <f t="shared" si="8"/>
        <v>0</v>
      </c>
      <c r="D78" s="54">
        <f t="shared" si="8"/>
        <v>0</v>
      </c>
      <c r="E78" s="54">
        <f t="shared" si="8"/>
        <v>0</v>
      </c>
      <c r="F78" s="54">
        <f t="shared" si="8"/>
        <v>0</v>
      </c>
      <c r="G78" s="54">
        <f t="shared" si="8"/>
        <v>0</v>
      </c>
      <c r="H78" s="55"/>
      <c r="J78" s="2" t="b">
        <f>NOT(ISERROR(MATCH(A78,Spice[Spice],0)))</f>
        <v>1</v>
      </c>
    </row>
    <row r="79" spans="1:10" x14ac:dyDescent="0.3">
      <c r="A79" s="56" t="s">
        <v>29</v>
      </c>
      <c r="B79" s="32">
        <f>2.5*$H79</f>
        <v>0</v>
      </c>
      <c r="C79" s="32">
        <f>0.6*$H79</f>
        <v>0</v>
      </c>
      <c r="D79" s="32">
        <f>0.1*$H79</f>
        <v>0</v>
      </c>
      <c r="E79" s="32">
        <f>0.1*$H79</f>
        <v>0</v>
      </c>
      <c r="F79" s="32">
        <f>0.3*$H79</f>
        <v>0</v>
      </c>
      <c r="G79" s="32">
        <f t="shared" ref="G79:G84" si="9">0*$H79</f>
        <v>0</v>
      </c>
      <c r="H79" s="57"/>
      <c r="J79" s="2" t="b">
        <f>NOT(ISERROR(MATCH(A79,Spice[Spice],0)))</f>
        <v>1</v>
      </c>
    </row>
    <row r="80" spans="1:10" x14ac:dyDescent="0.3">
      <c r="A80" s="41" t="s">
        <v>30</v>
      </c>
      <c r="B80" s="32">
        <f>4*$H80</f>
        <v>0</v>
      </c>
      <c r="C80" s="32">
        <f>1*$H80</f>
        <v>0</v>
      </c>
      <c r="D80" s="32">
        <f t="shared" ref="D80:F81" si="10">0*$H80</f>
        <v>0</v>
      </c>
      <c r="E80" s="32">
        <f t="shared" si="10"/>
        <v>0</v>
      </c>
      <c r="F80" s="32">
        <f t="shared" si="10"/>
        <v>0</v>
      </c>
      <c r="G80" s="32">
        <f t="shared" si="9"/>
        <v>0</v>
      </c>
      <c r="H80" s="42"/>
      <c r="J80" s="2" t="b">
        <f>NOT(ISERROR(MATCH(A80,Spice[Spice],0)))</f>
        <v>1</v>
      </c>
    </row>
    <row r="81" spans="1:10" x14ac:dyDescent="0.3">
      <c r="A81" s="41" t="s">
        <v>31</v>
      </c>
      <c r="B81" s="32">
        <f>0*$H81</f>
        <v>0</v>
      </c>
      <c r="C81" s="32">
        <f>0*$H81</f>
        <v>0</v>
      </c>
      <c r="D81" s="32">
        <f t="shared" si="10"/>
        <v>0</v>
      </c>
      <c r="E81" s="32">
        <f t="shared" si="10"/>
        <v>0</v>
      </c>
      <c r="F81" s="32">
        <f t="shared" si="10"/>
        <v>0</v>
      </c>
      <c r="G81" s="32">
        <f t="shared" si="9"/>
        <v>0</v>
      </c>
      <c r="H81" s="42"/>
      <c r="J81" s="2" t="b">
        <f>NOT(ISERROR(MATCH(A81,Spice[Spice],0)))</f>
        <v>1</v>
      </c>
    </row>
    <row r="82" spans="1:10" x14ac:dyDescent="0.3">
      <c r="A82" s="56" t="s">
        <v>32</v>
      </c>
      <c r="B82" s="76">
        <f>8*$H82</f>
        <v>0</v>
      </c>
      <c r="C82" s="76">
        <f>1.43*$H82</f>
        <v>0</v>
      </c>
      <c r="D82" s="76">
        <f>0.22*$H82</f>
        <v>0</v>
      </c>
      <c r="E82" s="76">
        <f>0.17*$H82</f>
        <v>0</v>
      </c>
      <c r="F82" s="76">
        <f>0.5*$H82</f>
        <v>0</v>
      </c>
      <c r="G82" s="76">
        <f t="shared" si="9"/>
        <v>0</v>
      </c>
      <c r="H82" s="57"/>
      <c r="J82" s="2" t="b">
        <f>NOT(ISERROR(MATCH(A82,Spice[Spice],0)))</f>
        <v>1</v>
      </c>
    </row>
    <row r="83" spans="1:10" x14ac:dyDescent="0.3">
      <c r="A83" s="56" t="s">
        <v>632</v>
      </c>
      <c r="B83" s="76">
        <f>3.9*$H83</f>
        <v>1.95</v>
      </c>
      <c r="C83" s="76">
        <f>0.9*$H83</f>
        <v>0.45</v>
      </c>
      <c r="D83" s="76">
        <f>0.1*$H83</f>
        <v>0.05</v>
      </c>
      <c r="E83" s="76">
        <f>0.1*$H83</f>
        <v>0.05</v>
      </c>
      <c r="F83" s="76">
        <f>0.5*$H83</f>
        <v>0.25</v>
      </c>
      <c r="G83" s="76">
        <f t="shared" si="9"/>
        <v>0</v>
      </c>
      <c r="H83" s="57">
        <v>0.5</v>
      </c>
      <c r="J83" s="2" t="b">
        <f>NOT(ISERROR(MATCH(A83,Spice[Spice],0)))</f>
        <v>1</v>
      </c>
    </row>
    <row r="84" spans="1:10" x14ac:dyDescent="0.3">
      <c r="A84" s="56" t="s">
        <v>33</v>
      </c>
      <c r="B84" s="76">
        <f>7.1*$H84</f>
        <v>0</v>
      </c>
      <c r="C84" s="76">
        <f>1.6*$H84</f>
        <v>0</v>
      </c>
      <c r="D84" s="76">
        <f>0.1*$H84</f>
        <v>0</v>
      </c>
      <c r="E84" s="76">
        <f>0.3*$H84</f>
        <v>0</v>
      </c>
      <c r="F84" s="76">
        <f>0.6*$H84</f>
        <v>0</v>
      </c>
      <c r="G84" s="76">
        <f t="shared" si="9"/>
        <v>0</v>
      </c>
      <c r="H84" s="57"/>
      <c r="J84" s="2" t="b">
        <f>NOT(ISERROR(MATCH(A84,Spice[Spice],0)))</f>
        <v>1</v>
      </c>
    </row>
    <row r="85" spans="1:10" x14ac:dyDescent="0.3">
      <c r="A85" s="42" t="s">
        <v>34</v>
      </c>
      <c r="B85" s="42">
        <f>SUBTOTAL(109,PizzaSpice[Calories])</f>
        <v>13.749999999999998</v>
      </c>
      <c r="C85" s="42">
        <f>SUBTOTAL(109,PizzaSpice[Carbs])</f>
        <v>2.85</v>
      </c>
      <c r="D85" s="42">
        <f>SUBTOTAL(109,PizzaSpice[Fat])</f>
        <v>0.1</v>
      </c>
      <c r="E85" s="42">
        <f>SUBTOTAL(109,PizzaSpice[Protein])</f>
        <v>0.55000000000000004</v>
      </c>
      <c r="F85" s="42">
        <f>SUBTOTAL(109,PizzaSpice[Fiber])</f>
        <v>1.05</v>
      </c>
      <c r="G85" s="42">
        <f>SUBTOTAL(109,PizzaSpice[Sugar])</f>
        <v>0.25</v>
      </c>
      <c r="H85" s="32">
        <f>SUBTOTAL(109,PizzaSpice[Serving by TSP])</f>
        <v>2.5</v>
      </c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117F-9F3F-4700-BE68-509940DE6067}">
  <sheetPr codeName="Sheet19"/>
  <dimension ref="A1:J65"/>
  <sheetViews>
    <sheetView workbookViewId="0"/>
  </sheetViews>
  <sheetFormatPr defaultColWidth="9.140625" defaultRowHeight="18.75" x14ac:dyDescent="0.3"/>
  <cols>
    <col min="1" max="1" width="26.42578125" style="1" customWidth="1"/>
    <col min="2" max="6" width="13.85546875" style="2" customWidth="1"/>
    <col min="7" max="7" width="14.7109375" style="2" customWidth="1"/>
    <col min="8" max="8" width="21.140625" style="2" customWidth="1"/>
    <col min="9" max="9" width="39.42578125" style="2" customWidth="1"/>
    <col min="10" max="10" width="10.28515625" style="2" customWidth="1"/>
    <col min="11" max="16384" width="9.140625" style="2"/>
  </cols>
  <sheetData>
    <row r="1" spans="1:10" x14ac:dyDescent="0.3">
      <c r="A1" s="2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x14ac:dyDescent="0.3">
      <c r="A2" s="1" t="s">
        <v>229</v>
      </c>
      <c r="B2" s="5">
        <f>110*$H2</f>
        <v>1100</v>
      </c>
      <c r="C2" s="5">
        <f>0*$H2</f>
        <v>0</v>
      </c>
      <c r="D2" s="5">
        <f>3*$H2</f>
        <v>30</v>
      </c>
      <c r="E2" s="5">
        <f>22*$H2</f>
        <v>220</v>
      </c>
      <c r="F2" s="5">
        <f>0*$H2</f>
        <v>0</v>
      </c>
      <c r="G2" s="5">
        <f>0*$H2</f>
        <v>0</v>
      </c>
      <c r="H2" s="5">
        <v>10</v>
      </c>
      <c r="I2" s="2" t="s">
        <v>204</v>
      </c>
      <c r="J2" s="5" t="b">
        <f>NOT(ISERROR(MATCH(A2,Index[Item],0)))</f>
        <v>1</v>
      </c>
    </row>
    <row r="3" spans="1:10" x14ac:dyDescent="0.3">
      <c r="A3" s="1" t="s">
        <v>195</v>
      </c>
      <c r="B3" s="5">
        <f>25*$H3</f>
        <v>0</v>
      </c>
      <c r="C3" s="5">
        <f>0*$H3</f>
        <v>0</v>
      </c>
      <c r="D3" s="5">
        <f>1.5*$H3</f>
        <v>0</v>
      </c>
      <c r="E3" s="5">
        <f t="shared" ref="E3" si="0">3*$H3</f>
        <v>0</v>
      </c>
      <c r="F3" s="5">
        <f t="shared" ref="F3:F8" si="1">0*$H3</f>
        <v>0</v>
      </c>
      <c r="G3" s="5">
        <f>0*$H3</f>
        <v>0</v>
      </c>
      <c r="H3" s="5"/>
      <c r="J3" s="5" t="b">
        <f>NOT(ISERROR(MATCH(A3,Index[Item],0)))</f>
        <v>1</v>
      </c>
    </row>
    <row r="4" spans="1:10" ht="37.5" x14ac:dyDescent="0.3">
      <c r="A4" s="1" t="s">
        <v>178</v>
      </c>
      <c r="B4" s="5">
        <f>130*$H4</f>
        <v>0</v>
      </c>
      <c r="C4" s="5">
        <f>0*$H4</f>
        <v>0</v>
      </c>
      <c r="D4" s="5">
        <f>12*$H4</f>
        <v>0</v>
      </c>
      <c r="E4" s="5">
        <f>6*$H4</f>
        <v>0</v>
      </c>
      <c r="F4" s="5">
        <f t="shared" si="1"/>
        <v>0</v>
      </c>
      <c r="G4" s="5">
        <f>0*$H4</f>
        <v>0</v>
      </c>
      <c r="H4" s="5"/>
      <c r="I4" s="2" t="s">
        <v>179</v>
      </c>
      <c r="J4" s="5" t="b">
        <f>NOT(ISERROR(MATCH(A4,Index[Item],0)))</f>
        <v>1</v>
      </c>
    </row>
    <row r="5" spans="1:10" ht="37.5" x14ac:dyDescent="0.3">
      <c r="A5" s="1" t="s">
        <v>180</v>
      </c>
      <c r="B5" s="5">
        <f>70*$H5</f>
        <v>280</v>
      </c>
      <c r="C5" s="5">
        <f>0.5*$H5</f>
        <v>2</v>
      </c>
      <c r="D5" s="5">
        <f>4*$H5</f>
        <v>16</v>
      </c>
      <c r="E5" s="5">
        <f>10*$H5</f>
        <v>40</v>
      </c>
      <c r="F5" s="5">
        <f t="shared" si="1"/>
        <v>0</v>
      </c>
      <c r="G5" s="5">
        <f>0.5*$H5</f>
        <v>2</v>
      </c>
      <c r="H5" s="5">
        <v>4</v>
      </c>
      <c r="I5" s="2" t="s">
        <v>181</v>
      </c>
      <c r="J5" s="5" t="b">
        <f>NOT(ISERROR(MATCH(A5,Index[Item],0)))</f>
        <v>1</v>
      </c>
    </row>
    <row r="6" spans="1:10" ht="37.5" x14ac:dyDescent="0.3">
      <c r="A6" s="1" t="s">
        <v>183</v>
      </c>
      <c r="B6" s="5">
        <f>110*$H6</f>
        <v>440</v>
      </c>
      <c r="C6" s="5">
        <f>0.5*$H6</f>
        <v>2</v>
      </c>
      <c r="D6" s="5">
        <f>10*$H6</f>
        <v>40</v>
      </c>
      <c r="E6" s="5">
        <f>6*$H6</f>
        <v>24</v>
      </c>
      <c r="F6" s="5">
        <f t="shared" si="1"/>
        <v>0</v>
      </c>
      <c r="G6" s="5">
        <f>0*$H6</f>
        <v>0</v>
      </c>
      <c r="H6" s="5">
        <v>4</v>
      </c>
      <c r="I6" s="60" t="s">
        <v>181</v>
      </c>
      <c r="J6" s="5" t="b">
        <f>NOT(ISERROR(MATCH(A6,Index[Item],0)))</f>
        <v>1</v>
      </c>
    </row>
    <row r="7" spans="1:10" ht="37.5" x14ac:dyDescent="0.3">
      <c r="A7" s="1" t="s">
        <v>643</v>
      </c>
      <c r="B7" s="5">
        <f>120*$H7</f>
        <v>480</v>
      </c>
      <c r="C7" s="5">
        <f>1*$H7</f>
        <v>4</v>
      </c>
      <c r="D7" s="5">
        <f>10*$H7</f>
        <v>40</v>
      </c>
      <c r="E7" s="5">
        <f>6*$H7</f>
        <v>24</v>
      </c>
      <c r="F7" s="5">
        <f>0*$H7</f>
        <v>0</v>
      </c>
      <c r="G7" s="5">
        <f>0.5*$H7</f>
        <v>2</v>
      </c>
      <c r="H7" s="5">
        <v>4</v>
      </c>
      <c r="I7" s="60" t="s">
        <v>181</v>
      </c>
      <c r="J7" s="5" t="b">
        <f>NOT(ISERROR(MATCH(A7,Index[Item],0)))</f>
        <v>1</v>
      </c>
    </row>
    <row r="8" spans="1:10" ht="37.5" x14ac:dyDescent="0.3">
      <c r="A8" s="1" t="s">
        <v>184</v>
      </c>
      <c r="B8" s="5">
        <f>210*$H8</f>
        <v>0</v>
      </c>
      <c r="C8" s="5">
        <f>2*$H8</f>
        <v>0</v>
      </c>
      <c r="D8" s="5">
        <f>18*$H8</f>
        <v>0</v>
      </c>
      <c r="E8" s="5">
        <f>10*$H8</f>
        <v>0</v>
      </c>
      <c r="F8" s="5">
        <f t="shared" si="1"/>
        <v>0</v>
      </c>
      <c r="G8" s="5">
        <f>2*$H8</f>
        <v>0</v>
      </c>
      <c r="H8" s="5"/>
      <c r="I8" s="2" t="s">
        <v>185</v>
      </c>
      <c r="J8" s="5" t="b">
        <f>NOT(ISERROR(MATCH(A8,Index[Item],0)))</f>
        <v>1</v>
      </c>
    </row>
    <row r="9" spans="1:10" x14ac:dyDescent="0.3">
      <c r="A9" s="1" t="s">
        <v>564</v>
      </c>
      <c r="B9" s="5">
        <f>'Pasta Sauce'!B34*$H9</f>
        <v>266.85000000000002</v>
      </c>
      <c r="C9" s="5">
        <f>'Pasta Sauce'!C34*$H9</f>
        <v>31.35</v>
      </c>
      <c r="D9" s="5">
        <f>'Pasta Sauce'!D34*$H9</f>
        <v>11.2</v>
      </c>
      <c r="E9" s="5">
        <f>'Pasta Sauce'!E34*$H9</f>
        <v>3.4000000000000004</v>
      </c>
      <c r="F9" s="5">
        <f>'Pasta Sauce'!F34*$H9</f>
        <v>6.55</v>
      </c>
      <c r="G9" s="5">
        <f>'Pasta Sauce'!G34*$H9</f>
        <v>17.25</v>
      </c>
      <c r="H9" s="5">
        <v>0.5</v>
      </c>
      <c r="J9" s="5" t="b">
        <f>NOT(ISERROR(MATCH(A9,Index[Item],0)))</f>
        <v>1</v>
      </c>
    </row>
    <row r="10" spans="1:10" x14ac:dyDescent="0.3">
      <c r="A10" s="1" t="s">
        <v>573</v>
      </c>
      <c r="B10" s="5">
        <f>50*$H10</f>
        <v>0</v>
      </c>
      <c r="C10" s="5">
        <f>0.5*$H10</f>
        <v>0</v>
      </c>
      <c r="D10" s="5">
        <f>5*$H10</f>
        <v>0</v>
      </c>
      <c r="E10" s="5">
        <f>0*$H10</f>
        <v>0</v>
      </c>
      <c r="F10" s="5">
        <f>0*$H10</f>
        <v>0</v>
      </c>
      <c r="G10" s="5">
        <f>0.5*$H10</f>
        <v>0</v>
      </c>
      <c r="H10" s="5"/>
      <c r="I10" s="2" t="s">
        <v>574</v>
      </c>
      <c r="J10" s="5" t="b">
        <f>NOT(ISERROR(MATCH(A10,Index[Item],0)))</f>
        <v>1</v>
      </c>
    </row>
    <row r="11" spans="1:10" ht="37.5" x14ac:dyDescent="0.3">
      <c r="A11" s="1" t="s">
        <v>645</v>
      </c>
      <c r="B11" s="5">
        <f>100*$H11</f>
        <v>0</v>
      </c>
      <c r="C11" s="5">
        <f>0.5*$H11</f>
        <v>0</v>
      </c>
      <c r="D11" s="5">
        <f>10*$H11</f>
        <v>0</v>
      </c>
      <c r="E11" s="5">
        <f>2*$H11</f>
        <v>0</v>
      </c>
      <c r="F11" s="5">
        <f>0*$H11</f>
        <v>0</v>
      </c>
      <c r="G11" s="5">
        <f>0.5*$H11</f>
        <v>0</v>
      </c>
      <c r="H11" s="5"/>
      <c r="I11" s="2" t="s">
        <v>556</v>
      </c>
      <c r="J11" s="5" t="b">
        <f>NOT(ISERROR(MATCH(A11,Index[Item],0)))</f>
        <v>1</v>
      </c>
    </row>
    <row r="12" spans="1:10" x14ac:dyDescent="0.3">
      <c r="A12" s="1" t="s">
        <v>543</v>
      </c>
      <c r="B12" s="5">
        <f>28*$H12</f>
        <v>56</v>
      </c>
      <c r="C12" s="5">
        <f>6.7*$H12</f>
        <v>13.4</v>
      </c>
      <c r="D12" s="5">
        <f t="shared" ref="D12:D18" si="2">0.2*$H12</f>
        <v>0.4</v>
      </c>
      <c r="E12" s="5">
        <f>1.9*$H12</f>
        <v>3.8</v>
      </c>
      <c r="F12" s="5">
        <f>1.2*$H12</f>
        <v>2.4</v>
      </c>
      <c r="G12" s="5">
        <f>3.2*$H12</f>
        <v>6.4</v>
      </c>
      <c r="H12" s="5">
        <v>2</v>
      </c>
      <c r="I12" s="2" t="s">
        <v>96</v>
      </c>
      <c r="J12" s="5" t="b">
        <f>NOT(ISERROR(MATCH(A12,Index[Item],0)))</f>
        <v>1</v>
      </c>
    </row>
    <row r="13" spans="1:10" x14ac:dyDescent="0.3">
      <c r="A13" s="1" t="s">
        <v>27</v>
      </c>
      <c r="B13" s="5">
        <f>28*$H13</f>
        <v>0</v>
      </c>
      <c r="C13" s="5">
        <f>6.7*$H13</f>
        <v>0</v>
      </c>
      <c r="D13" s="5">
        <f t="shared" si="2"/>
        <v>0</v>
      </c>
      <c r="E13" s="5">
        <f>0.9*$H13</f>
        <v>0</v>
      </c>
      <c r="F13" s="5">
        <f>1.2*$H13</f>
        <v>0</v>
      </c>
      <c r="G13" s="5">
        <f>4.4*$H13</f>
        <v>0</v>
      </c>
      <c r="H13" s="5"/>
      <c r="I13" s="2" t="s">
        <v>96</v>
      </c>
      <c r="J13" s="5" t="b">
        <f>NOT(ISERROR(MATCH(A13,Index[Item],0)))</f>
        <v>1</v>
      </c>
    </row>
    <row r="14" spans="1:10" x14ac:dyDescent="0.3">
      <c r="A14" s="1" t="s">
        <v>102</v>
      </c>
      <c r="B14" s="5">
        <f>44*$H14</f>
        <v>88</v>
      </c>
      <c r="C14" s="5">
        <f>10*$H14</f>
        <v>20</v>
      </c>
      <c r="D14" s="5">
        <f t="shared" si="2"/>
        <v>0.4</v>
      </c>
      <c r="E14" s="5">
        <f>1.4*$H14</f>
        <v>2.8</v>
      </c>
      <c r="F14" s="5">
        <f>1.4*$H14</f>
        <v>2.8</v>
      </c>
      <c r="G14" s="5">
        <f>4.7*$H14</f>
        <v>9.4</v>
      </c>
      <c r="H14" s="5">
        <v>2</v>
      </c>
      <c r="I14" s="2" t="s">
        <v>96</v>
      </c>
      <c r="J14" s="5" t="b">
        <f>NOT(ISERROR(MATCH(A14,Index[Item],0)))</f>
        <v>1</v>
      </c>
    </row>
    <row r="15" spans="1:10" x14ac:dyDescent="0.3">
      <c r="A15" s="1" t="s">
        <v>655</v>
      </c>
      <c r="B15" s="5">
        <f>44*$H15</f>
        <v>0</v>
      </c>
      <c r="C15" s="5">
        <f>10*$H15</f>
        <v>0</v>
      </c>
      <c r="D15" s="5">
        <f>0*$H15</f>
        <v>0</v>
      </c>
      <c r="E15" s="5">
        <f>1*$H15</f>
        <v>0</v>
      </c>
      <c r="F15" s="5">
        <f>1*$H15</f>
        <v>0</v>
      </c>
      <c r="G15" s="5">
        <f>5*$H15</f>
        <v>0</v>
      </c>
      <c r="H15" s="5"/>
      <c r="I15" s="2" t="s">
        <v>96</v>
      </c>
      <c r="J15" s="5" t="b">
        <f>NOT(ISERROR(MATCH(A15,Index[Item],0)))</f>
        <v>1</v>
      </c>
    </row>
    <row r="16" spans="1:10" x14ac:dyDescent="0.3">
      <c r="A16" s="1" t="s">
        <v>98</v>
      </c>
      <c r="B16" s="5">
        <f>28*$H16</f>
        <v>0</v>
      </c>
      <c r="C16" s="5">
        <f>6.7*$H16</f>
        <v>0</v>
      </c>
      <c r="D16" s="5">
        <f t="shared" si="2"/>
        <v>0</v>
      </c>
      <c r="E16" s="5">
        <f>0.9*$H16</f>
        <v>0</v>
      </c>
      <c r="F16" s="5">
        <f>1.2*$H16</f>
        <v>0</v>
      </c>
      <c r="G16" s="5">
        <f>4.4*$H16</f>
        <v>0</v>
      </c>
      <c r="H16" s="5"/>
      <c r="I16" s="2" t="s">
        <v>96</v>
      </c>
      <c r="J16" s="5" t="b">
        <f>NOT(ISERROR(MATCH(A16,Index[Item],0)))</f>
        <v>1</v>
      </c>
    </row>
    <row r="17" spans="1:10" x14ac:dyDescent="0.3">
      <c r="A17" s="1" t="s">
        <v>99</v>
      </c>
      <c r="B17" s="5">
        <f>27*$H17</f>
        <v>0</v>
      </c>
      <c r="C17" s="5">
        <f>6.3*$H17</f>
        <v>0</v>
      </c>
      <c r="D17" s="5">
        <f t="shared" si="2"/>
        <v>0</v>
      </c>
      <c r="E17" s="5">
        <f>1*$H17</f>
        <v>0</v>
      </c>
      <c r="F17" s="5">
        <f>0.9*$H17</f>
        <v>0</v>
      </c>
      <c r="G17" s="5">
        <f>0*$H17</f>
        <v>0</v>
      </c>
      <c r="H17" s="5"/>
      <c r="I17" s="2" t="s">
        <v>96</v>
      </c>
      <c r="J17" s="5" t="b">
        <f>NOT(ISERROR(MATCH(A17,Index[Item],0)))</f>
        <v>1</v>
      </c>
    </row>
    <row r="18" spans="1:10" x14ac:dyDescent="0.3">
      <c r="A18" s="1" t="s">
        <v>95</v>
      </c>
      <c r="B18" s="5">
        <f>32*$H18</f>
        <v>0</v>
      </c>
      <c r="C18" s="5">
        <f>7.3*$H18</f>
        <v>0</v>
      </c>
      <c r="D18" s="5">
        <f t="shared" si="2"/>
        <v>0</v>
      </c>
      <c r="E18" s="5">
        <f>1.8*$H18</f>
        <v>0</v>
      </c>
      <c r="F18" s="5">
        <f>2.7*$H18</f>
        <v>0</v>
      </c>
      <c r="G18" s="5">
        <f>2.3*$H18</f>
        <v>0</v>
      </c>
      <c r="H18" s="5"/>
      <c r="I18" s="2" t="s">
        <v>96</v>
      </c>
      <c r="J18" s="5" t="b">
        <f>NOT(ISERROR(MATCH(A18,Index[Item],0)))</f>
        <v>1</v>
      </c>
    </row>
    <row r="19" spans="1:10" x14ac:dyDescent="0.3">
      <c r="A19" s="1" t="s">
        <v>101</v>
      </c>
      <c r="B19" s="5">
        <f>29*$H19</f>
        <v>58</v>
      </c>
      <c r="C19" s="5">
        <f>6.5*$H19</f>
        <v>13</v>
      </c>
      <c r="D19" s="5">
        <f>0.4*$H19</f>
        <v>0.8</v>
      </c>
      <c r="E19" s="5">
        <f>0.9*$H19</f>
        <v>1.8</v>
      </c>
      <c r="F19" s="5">
        <f>2.8*$H19</f>
        <v>5.6</v>
      </c>
      <c r="G19" s="5">
        <f>4.1*$H19</f>
        <v>8.1999999999999993</v>
      </c>
      <c r="H19" s="5">
        <v>2</v>
      </c>
      <c r="I19" s="2" t="s">
        <v>96</v>
      </c>
      <c r="J19" s="5" t="b">
        <f>NOT(ISERROR(MATCH(A19,Index[Item],0)))</f>
        <v>1</v>
      </c>
    </row>
    <row r="20" spans="1:10" x14ac:dyDescent="0.3">
      <c r="A20" s="1" t="s">
        <v>100</v>
      </c>
      <c r="B20" s="5">
        <f>27*$H20</f>
        <v>0</v>
      </c>
      <c r="C20" s="5">
        <f>5.4*$H20</f>
        <v>0</v>
      </c>
      <c r="D20" s="5">
        <f>0.5*$H20</f>
        <v>0</v>
      </c>
      <c r="E20" s="5">
        <f>1.7*$H20</f>
        <v>0</v>
      </c>
      <c r="F20" s="5">
        <f>3.4*$H20</f>
        <v>0</v>
      </c>
      <c r="G20" s="5">
        <f>2*$H20</f>
        <v>0</v>
      </c>
      <c r="H20" s="5"/>
      <c r="I20" s="2" t="s">
        <v>96</v>
      </c>
      <c r="J20" s="5" t="b">
        <f>NOT(ISERROR(MATCH(A20,Index[Item],0)))</f>
        <v>1</v>
      </c>
    </row>
    <row r="21" spans="1:10" x14ac:dyDescent="0.3">
      <c r="A21" s="1" t="s">
        <v>557</v>
      </c>
      <c r="B21" s="5">
        <f>20*$H21</f>
        <v>40</v>
      </c>
      <c r="C21" s="5">
        <f>5*$H21</f>
        <v>10</v>
      </c>
      <c r="D21" s="5">
        <f>0*$H21</f>
        <v>0</v>
      </c>
      <c r="E21" s="5">
        <f>1*$H21</f>
        <v>2</v>
      </c>
      <c r="F21" s="5">
        <f>2*$H21</f>
        <v>4</v>
      </c>
      <c r="G21" s="5">
        <f>2*$H21</f>
        <v>4</v>
      </c>
      <c r="H21" s="5">
        <v>2</v>
      </c>
      <c r="I21" s="2" t="s">
        <v>96</v>
      </c>
      <c r="J21" s="5" t="b">
        <f>NOT(ISERROR(MATCH(A21,Index[Item],0)))</f>
        <v>1</v>
      </c>
    </row>
    <row r="22" spans="1:10" x14ac:dyDescent="0.3">
      <c r="A22" s="1" t="s">
        <v>111</v>
      </c>
      <c r="B22" s="5">
        <f>4.5*$H22</f>
        <v>15</v>
      </c>
      <c r="C22" s="5">
        <f>1*$H22</f>
        <v>3.3333333333333335</v>
      </c>
      <c r="D22" s="5">
        <f>0*$H22</f>
        <v>0</v>
      </c>
      <c r="E22" s="5">
        <f>0.2*$H22</f>
        <v>0.66666666666666674</v>
      </c>
      <c r="F22" s="5">
        <f>0.1*$H22</f>
        <v>0.33333333333333337</v>
      </c>
      <c r="G22" s="5">
        <f>0*$H22</f>
        <v>0</v>
      </c>
      <c r="H22" s="5">
        <f>10/3</f>
        <v>3.3333333333333335</v>
      </c>
      <c r="I22" s="2" t="s">
        <v>112</v>
      </c>
      <c r="J22" s="5" t="b">
        <f>NOT(ISERROR(MATCH(A22,Index[Item],0)))</f>
        <v>1</v>
      </c>
    </row>
    <row r="23" spans="1:10" x14ac:dyDescent="0.3">
      <c r="A23" s="1" t="s">
        <v>137</v>
      </c>
      <c r="B23" s="5">
        <f>5*$H23</f>
        <v>0</v>
      </c>
      <c r="C23" s="5">
        <f>0.5*$H23</f>
        <v>0</v>
      </c>
      <c r="D23" s="5">
        <f t="shared" ref="D23:G24" si="3">0*$H23</f>
        <v>0</v>
      </c>
      <c r="E23" s="5">
        <f t="shared" si="3"/>
        <v>0</v>
      </c>
      <c r="F23" s="5">
        <f t="shared" si="3"/>
        <v>0</v>
      </c>
      <c r="G23" s="5">
        <f t="shared" si="3"/>
        <v>0</v>
      </c>
      <c r="H23" s="5"/>
      <c r="I23" s="2" t="s">
        <v>138</v>
      </c>
      <c r="J23" s="5" t="b">
        <f>NOT(ISERROR(MATCH(A23,Index[Item],0)))</f>
        <v>1</v>
      </c>
    </row>
    <row r="24" spans="1:10" ht="56.25" x14ac:dyDescent="0.3">
      <c r="A24" s="1" t="s">
        <v>633</v>
      </c>
      <c r="B24" s="5">
        <f>25*$H24</f>
        <v>0</v>
      </c>
      <c r="C24" s="5">
        <f>5*$H24</f>
        <v>0</v>
      </c>
      <c r="D24" s="5">
        <f t="shared" si="3"/>
        <v>0</v>
      </c>
      <c r="E24" s="5">
        <f>1*$H24</f>
        <v>0</v>
      </c>
      <c r="F24" s="5">
        <f t="shared" si="3"/>
        <v>0</v>
      </c>
      <c r="G24" s="5">
        <f>3*$H24</f>
        <v>0</v>
      </c>
      <c r="H24" s="5"/>
      <c r="I24" s="2" t="s">
        <v>634</v>
      </c>
      <c r="J24" s="5" t="b">
        <f>NOT(ISERROR(MATCH(A24,Index[Item],0)))</f>
        <v>1</v>
      </c>
    </row>
    <row r="25" spans="1:10" x14ac:dyDescent="0.3">
      <c r="A25" s="1" t="s">
        <v>79</v>
      </c>
      <c r="B25" s="5">
        <f>110*$H25</f>
        <v>0</v>
      </c>
      <c r="C25" s="5">
        <f>0.5*$H25</f>
        <v>0</v>
      </c>
      <c r="D25" s="5">
        <f>9*$H25</f>
        <v>0</v>
      </c>
      <c r="E25" s="5">
        <f>7*$H25</f>
        <v>0</v>
      </c>
      <c r="F25" s="5">
        <f>0*$H25</f>
        <v>0</v>
      </c>
      <c r="G25" s="5">
        <f>0*$H25</f>
        <v>0</v>
      </c>
      <c r="H25" s="5"/>
      <c r="I25" s="2" t="s">
        <v>80</v>
      </c>
      <c r="J25" s="5" t="b">
        <f>NOT(ISERROR(MATCH(A25,Index[Item],0)))</f>
        <v>1</v>
      </c>
    </row>
    <row r="26" spans="1:10" x14ac:dyDescent="0.3">
      <c r="A26" s="1" t="s">
        <v>81</v>
      </c>
      <c r="B26" s="5">
        <f>120*$H26</f>
        <v>0</v>
      </c>
      <c r="C26" s="5">
        <f>2*$H26</f>
        <v>0</v>
      </c>
      <c r="D26" s="5">
        <f>9*$H26</f>
        <v>0</v>
      </c>
      <c r="E26" s="5">
        <f>6*$H26</f>
        <v>0</v>
      </c>
      <c r="F26" s="5">
        <f>0*$H26</f>
        <v>0</v>
      </c>
      <c r="G26" s="5">
        <f>0*$H26</f>
        <v>0</v>
      </c>
      <c r="H26" s="5"/>
      <c r="I26" s="2" t="s">
        <v>80</v>
      </c>
      <c r="J26" s="5" t="b">
        <f>NOT(ISERROR(MATCH(A26,Index[Item],0)))</f>
        <v>1</v>
      </c>
    </row>
    <row r="27" spans="1:10" x14ac:dyDescent="0.3">
      <c r="A27" s="1" t="s">
        <v>84</v>
      </c>
      <c r="B27" s="5">
        <f>110*$H27</f>
        <v>0</v>
      </c>
      <c r="C27" s="5">
        <f>0.5*$H27</f>
        <v>0</v>
      </c>
      <c r="D27" s="5">
        <f>9*$H27</f>
        <v>0</v>
      </c>
      <c r="E27" s="5">
        <f>6*$H27</f>
        <v>0</v>
      </c>
      <c r="F27" s="5">
        <f t="shared" ref="F27:F34" si="4">0*$H27</f>
        <v>0</v>
      </c>
      <c r="G27" s="5">
        <f>0.5*$H27</f>
        <v>0</v>
      </c>
      <c r="H27" s="5"/>
      <c r="I27" s="2" t="s">
        <v>80</v>
      </c>
      <c r="J27" s="5" t="b">
        <f>NOT(ISERROR(MATCH(A27,Index[Item],0)))</f>
        <v>1</v>
      </c>
    </row>
    <row r="28" spans="1:10" ht="37.5" x14ac:dyDescent="0.3">
      <c r="A28" s="1" t="s">
        <v>86</v>
      </c>
      <c r="B28" s="5">
        <f>90*$H28</f>
        <v>0</v>
      </c>
      <c r="C28" s="5">
        <f>1*$H28</f>
        <v>0</v>
      </c>
      <c r="D28" s="5">
        <f>7*$H28</f>
        <v>0</v>
      </c>
      <c r="E28" s="5">
        <f>6*$H28</f>
        <v>0</v>
      </c>
      <c r="F28" s="5">
        <f t="shared" si="4"/>
        <v>0</v>
      </c>
      <c r="G28" s="5">
        <f>0*$H28</f>
        <v>0</v>
      </c>
      <c r="H28" s="5"/>
      <c r="I28" s="2" t="s">
        <v>80</v>
      </c>
      <c r="J28" s="5" t="b">
        <f>NOT(ISERROR(MATCH(A28,Index[Item],0)))</f>
        <v>1</v>
      </c>
    </row>
    <row r="29" spans="1:10" ht="37.5" x14ac:dyDescent="0.3">
      <c r="A29" s="1" t="s">
        <v>87</v>
      </c>
      <c r="B29" s="5">
        <f>80*$H29</f>
        <v>0</v>
      </c>
      <c r="C29" s="5">
        <f>2*$H29</f>
        <v>0</v>
      </c>
      <c r="D29" s="5">
        <f>6*$H29</f>
        <v>0</v>
      </c>
      <c r="E29" s="5">
        <f>7*$H29</f>
        <v>0</v>
      </c>
      <c r="F29" s="5">
        <f t="shared" si="4"/>
        <v>0</v>
      </c>
      <c r="G29" s="5">
        <f>0.5*$H29</f>
        <v>0</v>
      </c>
      <c r="H29" s="5"/>
      <c r="I29" s="2" t="s">
        <v>80</v>
      </c>
      <c r="J29" s="5" t="b">
        <f>NOT(ISERROR(MATCH(A29,Index[Item],0)))</f>
        <v>1</v>
      </c>
    </row>
    <row r="30" spans="1:10" ht="37.5" x14ac:dyDescent="0.3">
      <c r="A30" s="1" t="s">
        <v>577</v>
      </c>
      <c r="B30" s="5">
        <f>60*$H30</f>
        <v>0</v>
      </c>
      <c r="C30" s="5">
        <f>1*$H30</f>
        <v>0</v>
      </c>
      <c r="D30" s="5">
        <f>4*$H30</f>
        <v>0</v>
      </c>
      <c r="E30" s="5">
        <f>5*$H30</f>
        <v>0</v>
      </c>
      <c r="F30" s="5">
        <f t="shared" si="4"/>
        <v>0</v>
      </c>
      <c r="G30" s="5">
        <f>0*$H30</f>
        <v>0</v>
      </c>
      <c r="H30" s="5"/>
      <c r="I30" s="2" t="s">
        <v>579</v>
      </c>
      <c r="J30" s="5" t="b">
        <f>NOT(ISERROR(MATCH(A30,Index[Item],0)))</f>
        <v>1</v>
      </c>
    </row>
    <row r="31" spans="1:10" ht="37.5" x14ac:dyDescent="0.3">
      <c r="A31" s="1" t="s">
        <v>578</v>
      </c>
      <c r="B31" s="5">
        <f>70*$H31</f>
        <v>0</v>
      </c>
      <c r="C31" s="5">
        <f>0*$H31</f>
        <v>0</v>
      </c>
      <c r="D31" s="5">
        <f>6*$H31</f>
        <v>0</v>
      </c>
      <c r="E31" s="5">
        <f>5*$H31</f>
        <v>0</v>
      </c>
      <c r="F31" s="5">
        <f t="shared" si="4"/>
        <v>0</v>
      </c>
      <c r="G31" s="5">
        <f>0*$H31</f>
        <v>0</v>
      </c>
      <c r="H31" s="5"/>
      <c r="I31" s="2" t="s">
        <v>579</v>
      </c>
      <c r="J31" s="5" t="b">
        <f>NOT(ISERROR(MATCH(A31,Index[Item],0)))</f>
        <v>1</v>
      </c>
    </row>
    <row r="32" spans="1:10" ht="37.5" x14ac:dyDescent="0.3">
      <c r="A32" s="1" t="s">
        <v>594</v>
      </c>
      <c r="B32" s="5">
        <f>80*$H32</f>
        <v>0</v>
      </c>
      <c r="C32" s="5">
        <f>0.5*$H32</f>
        <v>0</v>
      </c>
      <c r="D32" s="5">
        <f>7*$H32</f>
        <v>0</v>
      </c>
      <c r="E32" s="5">
        <f>5*$H32</f>
        <v>0</v>
      </c>
      <c r="F32" s="5">
        <f t="shared" si="4"/>
        <v>0</v>
      </c>
      <c r="G32" s="5">
        <f>0*$H32</f>
        <v>0</v>
      </c>
      <c r="H32" s="5"/>
      <c r="I32" s="2" t="s">
        <v>579</v>
      </c>
      <c r="J32" s="5" t="b">
        <f>NOT(ISERROR(MATCH(A32,Index[Item],0)))</f>
        <v>1</v>
      </c>
    </row>
    <row r="33" spans="1:10" ht="37.5" x14ac:dyDescent="0.3">
      <c r="A33" s="1" t="s">
        <v>595</v>
      </c>
      <c r="B33" s="5">
        <f>80*$H33</f>
        <v>0</v>
      </c>
      <c r="C33" s="5">
        <f>0.5*$H33</f>
        <v>0</v>
      </c>
      <c r="D33" s="5">
        <f>7*$H33</f>
        <v>0</v>
      </c>
      <c r="E33" s="5">
        <f>5*$H33</f>
        <v>0</v>
      </c>
      <c r="F33" s="5">
        <f t="shared" si="4"/>
        <v>0</v>
      </c>
      <c r="G33" s="5">
        <f>0*$H33</f>
        <v>0</v>
      </c>
      <c r="H33" s="5"/>
      <c r="I33" s="2" t="s">
        <v>579</v>
      </c>
      <c r="J33" s="5" t="b">
        <f>NOT(ISERROR(MATCH(A33,Index[Item],0)))</f>
        <v>1</v>
      </c>
    </row>
    <row r="34" spans="1:10" ht="37.5" x14ac:dyDescent="0.3">
      <c r="A34" s="1" t="s">
        <v>596</v>
      </c>
      <c r="B34" s="5">
        <f>80*$H34</f>
        <v>0</v>
      </c>
      <c r="C34" s="5">
        <f>0.5*$H34</f>
        <v>0</v>
      </c>
      <c r="D34" s="5">
        <f>7*$H34</f>
        <v>0</v>
      </c>
      <c r="E34" s="5">
        <f>5*$H34</f>
        <v>0</v>
      </c>
      <c r="F34" s="5">
        <f t="shared" si="4"/>
        <v>0</v>
      </c>
      <c r="G34" s="5">
        <f>0*$H34</f>
        <v>0</v>
      </c>
      <c r="H34" s="5"/>
      <c r="I34" s="2" t="s">
        <v>579</v>
      </c>
      <c r="J34" s="5" t="b">
        <f>NOT(ISERROR(MATCH(A34,Index[Item],0)))</f>
        <v>1</v>
      </c>
    </row>
    <row r="35" spans="1:10" x14ac:dyDescent="0.3">
      <c r="A35" s="1" t="s">
        <v>481</v>
      </c>
      <c r="B35" s="5">
        <f>MexicanSpice4946[[#Totals],[Calories]]</f>
        <v>57.099999999999994</v>
      </c>
      <c r="C35" s="5">
        <f>MexicanSpice4946[[#Totals],[Carbs]]</f>
        <v>13.600000000000001</v>
      </c>
      <c r="D35" s="5">
        <f>MexicanSpice4946[[#Totals],[Fat]]</f>
        <v>0.70000000000000007</v>
      </c>
      <c r="E35" s="5">
        <f>MexicanSpice4946[[#Totals],[Protein]]</f>
        <v>4.3</v>
      </c>
      <c r="F35" s="5">
        <f>MexicanSpice4946[[#Totals],[Fiber]]</f>
        <v>5</v>
      </c>
      <c r="G35" s="5">
        <f>MexicanSpice4946[[#Totals],[Sugar]]</f>
        <v>0.2</v>
      </c>
      <c r="H35" s="5">
        <f>MexicanSpice4946[[#Totals],[Serving by TSP]]</f>
        <v>14</v>
      </c>
      <c r="J35" s="5" t="b">
        <f>NOT(ISERROR(MATCH(A35,Index[Item],0)))</f>
        <v>1</v>
      </c>
    </row>
    <row r="36" spans="1:10" x14ac:dyDescent="0.3">
      <c r="A36" s="2" t="s">
        <v>34</v>
      </c>
      <c r="B36" s="5">
        <f>SUBTOTAL(109,RomanChicken[Calories])/RomanChicken[[#Totals],[Measurement]]</f>
        <v>480.1583333333333</v>
      </c>
      <c r="C36" s="5">
        <f>SUBTOTAL(109,RomanChicken[Carbs])/RomanChicken[[#Totals],[Measurement]]</f>
        <v>18.780555555555555</v>
      </c>
      <c r="D36" s="5">
        <f>SUBTOTAL(109,RomanChicken[[Fat ]])/RomanChicken[[#Totals],[Measurement]]</f>
        <v>23.25</v>
      </c>
      <c r="E36" s="5">
        <f>SUBTOTAL(109,RomanChicken[Protein])/RomanChicken[[#Totals],[Measurement]]</f>
        <v>54.461111111111116</v>
      </c>
      <c r="F36" s="5">
        <f>SUBTOTAL(109,RomanChicken[Fiber])/RomanChicken[[#Totals],[Measurement]]</f>
        <v>4.447222222222222</v>
      </c>
      <c r="G36" s="5">
        <f>SUBTOTAL(109,RomanChicken[Sugar])/RomanChicken[[#Totals],[Measurement]]</f>
        <v>8.2416666666666671</v>
      </c>
      <c r="H36" s="5">
        <f>SUBTOTAL(109,RomanChicken[Servings])/RomanChicken[[#Totals],[Measurement]]</f>
        <v>7.9722222222222223</v>
      </c>
      <c r="I36" s="2" t="s">
        <v>545</v>
      </c>
    </row>
    <row r="37" spans="1:10" x14ac:dyDescent="0.3">
      <c r="A37"/>
      <c r="B37"/>
      <c r="C37"/>
      <c r="D37"/>
      <c r="E37"/>
      <c r="F37"/>
      <c r="G37"/>
      <c r="H37"/>
      <c r="I37"/>
    </row>
    <row r="38" spans="1:10" x14ac:dyDescent="0.3">
      <c r="B38" s="5"/>
      <c r="C38" s="5"/>
      <c r="D38" s="5"/>
      <c r="E38" s="5"/>
      <c r="F38" s="5"/>
      <c r="G38" s="5"/>
      <c r="H38" s="5"/>
    </row>
    <row r="39" spans="1:10" x14ac:dyDescent="0.3">
      <c r="A39" s="10" t="s">
        <v>0</v>
      </c>
      <c r="B39" s="11" t="s">
        <v>1</v>
      </c>
      <c r="C39" s="11" t="s">
        <v>2</v>
      </c>
      <c r="D39" s="11" t="s">
        <v>3</v>
      </c>
      <c r="E39" s="11" t="s">
        <v>4</v>
      </c>
      <c r="F39" s="11" t="s">
        <v>5</v>
      </c>
      <c r="G39" s="11" t="s">
        <v>6</v>
      </c>
      <c r="H39" s="11" t="s">
        <v>7</v>
      </c>
    </row>
    <row r="40" spans="1:10" x14ac:dyDescent="0.3">
      <c r="A40" s="8" t="s">
        <v>8</v>
      </c>
      <c r="B40" s="6">
        <f>1.6*$H40</f>
        <v>1.6</v>
      </c>
      <c r="C40" s="6">
        <f>0.3*$H40</f>
        <v>0.3</v>
      </c>
      <c r="D40" s="6">
        <f>0*$H40</f>
        <v>0</v>
      </c>
      <c r="E40" s="6">
        <f>0.2*$H40</f>
        <v>0.2</v>
      </c>
      <c r="F40" s="6">
        <f>0.3*$H40</f>
        <v>0.3</v>
      </c>
      <c r="G40" s="6">
        <f>0*$H40</f>
        <v>0</v>
      </c>
      <c r="H40" s="3">
        <v>1</v>
      </c>
      <c r="J40" s="2" t="b">
        <f>NOT(ISERROR(MATCH(A40,Spice[Spice],0)))</f>
        <v>1</v>
      </c>
    </row>
    <row r="41" spans="1:10" x14ac:dyDescent="0.3">
      <c r="A41" s="9" t="s">
        <v>9</v>
      </c>
      <c r="B41" s="7">
        <f>5.8*$H41</f>
        <v>11.6</v>
      </c>
      <c r="C41" s="7">
        <f>1.5*$H41</f>
        <v>3</v>
      </c>
      <c r="D41" s="7">
        <f>0.1*$H41</f>
        <v>0.2</v>
      </c>
      <c r="E41" s="7">
        <f>0.2*$H41</f>
        <v>0.4</v>
      </c>
      <c r="F41" s="7">
        <f>0.6*$H41</f>
        <v>1.2</v>
      </c>
      <c r="G41" s="7">
        <f>0*$H41</f>
        <v>0</v>
      </c>
      <c r="H41" s="4">
        <v>2</v>
      </c>
      <c r="J41" s="2" t="b">
        <f>NOT(ISERROR(MATCH(A41,Spice[Spice],0)))</f>
        <v>1</v>
      </c>
    </row>
    <row r="42" spans="1:10" x14ac:dyDescent="0.3">
      <c r="A42" s="8" t="s">
        <v>10</v>
      </c>
      <c r="B42" s="6">
        <f>7.6*$H42</f>
        <v>0</v>
      </c>
      <c r="C42" s="6">
        <f>1.3*$H42</f>
        <v>0</v>
      </c>
      <c r="D42" s="6">
        <f>0.4*$H42</f>
        <v>0</v>
      </c>
      <c r="E42" s="6">
        <f>0.4*$H42</f>
        <v>0</v>
      </c>
      <c r="F42" s="6">
        <f>0.9*$H42</f>
        <v>0</v>
      </c>
      <c r="G42" s="6">
        <f>0.2*$H42</f>
        <v>0</v>
      </c>
      <c r="H42" s="3"/>
      <c r="J42" s="2" t="b">
        <f>NOT(ISERROR(MATCH(A42,Spice[Spice],0)))</f>
        <v>1</v>
      </c>
    </row>
    <row r="43" spans="1:10" x14ac:dyDescent="0.3">
      <c r="A43" s="9" t="s">
        <v>11</v>
      </c>
      <c r="B43" s="7">
        <f>48*$H43</f>
        <v>0</v>
      </c>
      <c r="C43" s="7">
        <f>8*$H43</f>
        <v>0</v>
      </c>
      <c r="D43" s="7">
        <f>0*$H43</f>
        <v>0</v>
      </c>
      <c r="E43" s="7">
        <f>0*$H43</f>
        <v>0</v>
      </c>
      <c r="F43" s="7">
        <f>0*$H43</f>
        <v>0</v>
      </c>
      <c r="G43" s="7">
        <f>0*$H43</f>
        <v>0</v>
      </c>
      <c r="H43" s="4"/>
      <c r="J43" s="2" t="b">
        <f>NOT(ISERROR(MATCH(A43,Spice[Spice],0)))</f>
        <v>1</v>
      </c>
    </row>
    <row r="44" spans="1:10" x14ac:dyDescent="0.3">
      <c r="A44" s="8" t="s">
        <v>12</v>
      </c>
      <c r="B44" s="6">
        <f>6.4*$H44</f>
        <v>0</v>
      </c>
      <c r="C44" s="6">
        <f>2.1*$H44</f>
        <v>0</v>
      </c>
      <c r="D44" s="6">
        <f>0*$H43</f>
        <v>0</v>
      </c>
      <c r="E44" s="6">
        <f>0.1*$H44</f>
        <v>0</v>
      </c>
      <c r="F44" s="6">
        <f>1.4*$H44</f>
        <v>0</v>
      </c>
      <c r="G44" s="6">
        <f>0.1*$H44</f>
        <v>0</v>
      </c>
      <c r="H44" s="3"/>
      <c r="J44" s="2" t="b">
        <f>NOT(ISERROR(MATCH(A44,Spice[Spice],0)))</f>
        <v>1</v>
      </c>
    </row>
    <row r="45" spans="1:10" x14ac:dyDescent="0.3">
      <c r="A45" s="9" t="s">
        <v>13</v>
      </c>
      <c r="B45" s="7">
        <f>1.7*$H45</f>
        <v>0</v>
      </c>
      <c r="C45" s="7">
        <f>0.3*$H45</f>
        <v>0</v>
      </c>
      <c r="D45" s="7">
        <f>0*$H45</f>
        <v>0</v>
      </c>
      <c r="E45" s="7">
        <f>0.1*$H45</f>
        <v>0</v>
      </c>
      <c r="F45" s="7">
        <f>0.1*$H45</f>
        <v>0</v>
      </c>
      <c r="G45" s="7">
        <f>0*$H45</f>
        <v>0</v>
      </c>
      <c r="H45" s="4"/>
      <c r="J45" s="2" t="b">
        <f>NOT(ISERROR(MATCH(A45,Spice[Spice],0)))</f>
        <v>1</v>
      </c>
    </row>
    <row r="46" spans="1:10" ht="37.5" x14ac:dyDescent="0.3">
      <c r="A46" s="8" t="s">
        <v>14</v>
      </c>
      <c r="B46" s="6">
        <f>5.7*$H46</f>
        <v>0</v>
      </c>
      <c r="C46" s="6">
        <f>1*$H46</f>
        <v>0</v>
      </c>
      <c r="D46" s="6">
        <f>0*$H46</f>
        <v>0</v>
      </c>
      <c r="E46" s="6">
        <f>0.2*$H46</f>
        <v>0</v>
      </c>
      <c r="F46" s="6">
        <f>0.5*$H46</f>
        <v>0</v>
      </c>
      <c r="G46" s="6">
        <f>0.2*$H46</f>
        <v>0</v>
      </c>
      <c r="H46" s="3"/>
      <c r="J46" s="2" t="b">
        <f>NOT(ISERROR(MATCH(A46,Spice[Spice],0)))</f>
        <v>1</v>
      </c>
    </row>
    <row r="47" spans="1:10" x14ac:dyDescent="0.3">
      <c r="A47" s="9" t="s">
        <v>15</v>
      </c>
      <c r="B47" s="7">
        <f>7.6*$H47</f>
        <v>0</v>
      </c>
      <c r="C47" s="7">
        <f>0.9*$H47</f>
        <v>0</v>
      </c>
      <c r="D47" s="7">
        <f>0.5*$H47</f>
        <v>0</v>
      </c>
      <c r="E47" s="7">
        <f>0.4*$H47</f>
        <v>0</v>
      </c>
      <c r="F47" s="7">
        <f>0.2*$H47</f>
        <v>0</v>
      </c>
      <c r="G47" s="7">
        <f>0.1*$H47</f>
        <v>0</v>
      </c>
      <c r="H47" s="4"/>
      <c r="J47" s="2" t="b">
        <f>NOT(ISERROR(MATCH(A47,Spice[Spice],0)))</f>
        <v>1</v>
      </c>
    </row>
    <row r="48" spans="1:10" x14ac:dyDescent="0.3">
      <c r="A48" s="8" t="s">
        <v>16</v>
      </c>
      <c r="B48" s="6">
        <f>(36/5)*$H48</f>
        <v>0</v>
      </c>
      <c r="C48" s="6">
        <f>(5/5)*$H48</f>
        <v>0</v>
      </c>
      <c r="D48" s="6">
        <f>(1.2/5)*$H48</f>
        <v>0</v>
      </c>
      <c r="E48" s="6">
        <f>(1.3/5)*$H48</f>
        <v>0</v>
      </c>
      <c r="F48" s="6">
        <f>(3/5)*$H48</f>
        <v>0</v>
      </c>
      <c r="G48" s="6">
        <f>(0.2/5)*$H48</f>
        <v>0</v>
      </c>
      <c r="H48" s="3"/>
      <c r="J48" s="2" t="b">
        <f>NOT(ISERROR(MATCH(A48,Spice[Spice],0)))</f>
        <v>1</v>
      </c>
    </row>
    <row r="49" spans="1:10" x14ac:dyDescent="0.3">
      <c r="A49" s="9" t="s">
        <v>17</v>
      </c>
      <c r="B49" s="7">
        <f>5*$H49</f>
        <v>0</v>
      </c>
      <c r="C49" s="7">
        <f>1*$H49</f>
        <v>0</v>
      </c>
      <c r="D49" s="7">
        <f>0*$H49</f>
        <v>0</v>
      </c>
      <c r="E49" s="7">
        <f>0*$H49</f>
        <v>0</v>
      </c>
      <c r="F49" s="7">
        <f>0*$H49</f>
        <v>0</v>
      </c>
      <c r="G49" s="7">
        <f>0*$H49</f>
        <v>0</v>
      </c>
      <c r="H49" s="4"/>
      <c r="J49" s="2" t="b">
        <f>NOT(ISERROR(MATCH(A49,Spice[Spice],0)))</f>
        <v>1</v>
      </c>
    </row>
    <row r="50" spans="1:10" x14ac:dyDescent="0.3">
      <c r="A50" s="8" t="s">
        <v>18</v>
      </c>
      <c r="B50" s="6">
        <f>10*$H50</f>
        <v>20</v>
      </c>
      <c r="C50" s="6">
        <f>2.3*$H50</f>
        <v>4.5999999999999996</v>
      </c>
      <c r="D50" s="6">
        <f>0*$H50</f>
        <v>0</v>
      </c>
      <c r="E50" s="6">
        <f>0.5*$H50</f>
        <v>1</v>
      </c>
      <c r="F50" s="6">
        <f>0.3*$H50</f>
        <v>0.6</v>
      </c>
      <c r="G50" s="6">
        <f>0.1*$H50</f>
        <v>0.2</v>
      </c>
      <c r="H50" s="3">
        <v>2</v>
      </c>
      <c r="J50" s="2" t="b">
        <f>NOT(ISERROR(MATCH(A50,Spice[Spice],0)))</f>
        <v>1</v>
      </c>
    </row>
    <row r="51" spans="1:10" x14ac:dyDescent="0.3">
      <c r="A51" s="9" t="s">
        <v>19</v>
      </c>
      <c r="B51" s="7">
        <f>1.2*$H51</f>
        <v>2.4</v>
      </c>
      <c r="C51" s="7">
        <f>0.3*$H51</f>
        <v>0.6</v>
      </c>
      <c r="D51" s="7">
        <f>0*$H51</f>
        <v>0</v>
      </c>
      <c r="E51" s="7">
        <f>1*$H51</f>
        <v>2</v>
      </c>
      <c r="F51" s="7">
        <f>0*$H51</f>
        <v>0</v>
      </c>
      <c r="G51" s="7">
        <f>0*$H51</f>
        <v>0</v>
      </c>
      <c r="H51" s="4">
        <v>2</v>
      </c>
      <c r="J51" s="2" t="b">
        <f>NOT(ISERROR(MATCH(A51,Spice[Spice],0)))</f>
        <v>1</v>
      </c>
    </row>
    <row r="52" spans="1:10" ht="18" customHeight="1" x14ac:dyDescent="0.3">
      <c r="A52" s="9" t="s">
        <v>20</v>
      </c>
      <c r="B52" s="7">
        <f>6*$H52</f>
        <v>0</v>
      </c>
      <c r="C52" s="7">
        <f>1.3*$H52</f>
        <v>0</v>
      </c>
      <c r="D52" s="7">
        <f>0.1*$H52</f>
        <v>0</v>
      </c>
      <c r="E52" s="7">
        <f>0.2*$H52</f>
        <v>0</v>
      </c>
      <c r="F52" s="7">
        <f>0.3*$H52</f>
        <v>0</v>
      </c>
      <c r="G52" s="7">
        <f>0.1*$H52</f>
        <v>0</v>
      </c>
      <c r="H52" s="4"/>
      <c r="J52" s="2" t="b">
        <f>NOT(ISERROR(MATCH(A52,Spice[Spice],0)))</f>
        <v>1</v>
      </c>
    </row>
    <row r="53" spans="1:10" x14ac:dyDescent="0.3">
      <c r="A53" s="8" t="s">
        <v>21</v>
      </c>
      <c r="B53" s="6">
        <f>2.2*$H53</f>
        <v>4.4000000000000004</v>
      </c>
      <c r="C53" s="6">
        <f>0.5*$H53</f>
        <v>1</v>
      </c>
      <c r="D53" s="6">
        <f>0.1*$H53</f>
        <v>0.2</v>
      </c>
      <c r="E53" s="6">
        <f>0.1*$H53</f>
        <v>0.2</v>
      </c>
      <c r="F53" s="6">
        <f>0.3*$H53</f>
        <v>0.6</v>
      </c>
      <c r="G53" s="6">
        <f>0*$H53</f>
        <v>0</v>
      </c>
      <c r="H53" s="3">
        <v>2</v>
      </c>
      <c r="J53" s="2" t="b">
        <f>NOT(ISERROR(MATCH(A53,Spice[Spice],0)))</f>
        <v>1</v>
      </c>
    </row>
    <row r="54" spans="1:10" x14ac:dyDescent="0.3">
      <c r="A54" s="9" t="s">
        <v>22</v>
      </c>
      <c r="B54" s="7">
        <f>0*$H54</f>
        <v>0</v>
      </c>
      <c r="C54" s="7">
        <f>0*$H54</f>
        <v>0</v>
      </c>
      <c r="D54" s="7">
        <f>0*$H54</f>
        <v>0</v>
      </c>
      <c r="E54" s="7">
        <f>0*$H54</f>
        <v>0</v>
      </c>
      <c r="F54" s="7">
        <f>0*$H54</f>
        <v>0</v>
      </c>
      <c r="G54" s="7">
        <f>0*$H54</f>
        <v>0</v>
      </c>
      <c r="H54" s="4"/>
      <c r="J54" s="2" t="b">
        <f>NOT(ISERROR(MATCH(A54,Spice[Spice],0)))</f>
        <v>1</v>
      </c>
    </row>
    <row r="55" spans="1:10" x14ac:dyDescent="0.3">
      <c r="A55" s="8" t="s">
        <v>23</v>
      </c>
      <c r="B55" s="6">
        <f>8.2*$H55</f>
        <v>0</v>
      </c>
      <c r="C55" s="6">
        <f>1.9*$H55</f>
        <v>0</v>
      </c>
      <c r="D55" s="6">
        <f>0*$H55</f>
        <v>0</v>
      </c>
      <c r="E55" s="6">
        <f>0.3*$H55</f>
        <v>0</v>
      </c>
      <c r="F55" s="6">
        <f>0.4*$H55</f>
        <v>0</v>
      </c>
      <c r="G55" s="6">
        <f>0.2*$H55</f>
        <v>0</v>
      </c>
      <c r="H55" s="3"/>
      <c r="J55" s="2" t="b">
        <f>NOT(ISERROR(MATCH(A55,Spice[Spice],0)))</f>
        <v>1</v>
      </c>
    </row>
    <row r="56" spans="1:10" x14ac:dyDescent="0.3">
      <c r="A56" s="9" t="s">
        <v>24</v>
      </c>
      <c r="B56" s="7">
        <f>2.7*$H56</f>
        <v>5.4</v>
      </c>
      <c r="C56" s="7">
        <f>0.7*$H56</f>
        <v>1.4</v>
      </c>
      <c r="D56" s="7">
        <f>0*$H56</f>
        <v>0</v>
      </c>
      <c r="E56" s="7">
        <f>0.1*$H56</f>
        <v>0.2</v>
      </c>
      <c r="F56" s="7">
        <f>0.4*$H56</f>
        <v>0.8</v>
      </c>
      <c r="G56" s="7">
        <f>0*$H56</f>
        <v>0</v>
      </c>
      <c r="H56" s="4">
        <v>2</v>
      </c>
      <c r="J56" s="2" t="b">
        <f>NOT(ISERROR(MATCH(A56,Spice[Spice],0)))</f>
        <v>1</v>
      </c>
    </row>
    <row r="57" spans="1:10" x14ac:dyDescent="0.3">
      <c r="A57" s="8" t="s">
        <v>25</v>
      </c>
      <c r="B57" s="6">
        <f>6.5*$H57</f>
        <v>0</v>
      </c>
      <c r="C57" s="6">
        <f>1.2*$H57</f>
        <v>0</v>
      </c>
      <c r="D57" s="6">
        <f>0.3*$H57</f>
        <v>0</v>
      </c>
      <c r="E57" s="6">
        <f>0.3*$H57</f>
        <v>0</v>
      </c>
      <c r="F57" s="6">
        <f>0.8*$H57</f>
        <v>0</v>
      </c>
      <c r="G57" s="6">
        <f>0.2*$H57</f>
        <v>0</v>
      </c>
      <c r="H57" s="3"/>
      <c r="J57" s="2" t="b">
        <f>NOT(ISERROR(MATCH(A57,Spice[Spice],0)))</f>
        <v>1</v>
      </c>
    </row>
    <row r="58" spans="1:10" x14ac:dyDescent="0.3">
      <c r="A58" s="9" t="s">
        <v>26</v>
      </c>
      <c r="B58" s="7">
        <f>1.5*$H58</f>
        <v>0</v>
      </c>
      <c r="C58" s="7">
        <f>0.3*$H58</f>
        <v>0</v>
      </c>
      <c r="D58" s="7">
        <f>0*$H58</f>
        <v>0</v>
      </c>
      <c r="E58" s="7">
        <f>0.1*$H58</f>
        <v>0</v>
      </c>
      <c r="F58" s="7">
        <f>0.1*$H58</f>
        <v>0</v>
      </c>
      <c r="G58" s="7">
        <f>0*$H58</f>
        <v>0</v>
      </c>
      <c r="H58" s="4"/>
      <c r="J58" s="2" t="b">
        <f>NOT(ISERROR(MATCH(A58,Spice[Spice],0)))</f>
        <v>1</v>
      </c>
    </row>
    <row r="59" spans="1:10" x14ac:dyDescent="0.3">
      <c r="A59" s="8" t="s">
        <v>27</v>
      </c>
      <c r="B59" s="6">
        <f>5.7*$H59</f>
        <v>0</v>
      </c>
      <c r="C59" s="6">
        <f>1*$H59</f>
        <v>0</v>
      </c>
      <c r="D59" s="6">
        <f>0.3*$H59</f>
        <v>0</v>
      </c>
      <c r="E59" s="6">
        <f>0.2*$H59</f>
        <v>0</v>
      </c>
      <c r="F59" s="6">
        <f>0.5*$H59</f>
        <v>0</v>
      </c>
      <c r="G59" s="6">
        <f>0.2*$H59</f>
        <v>0</v>
      </c>
      <c r="H59" s="3"/>
      <c r="J59" s="2" t="b">
        <f>NOT(ISERROR(MATCH(A59,Spice[Spice],0)))</f>
        <v>1</v>
      </c>
    </row>
    <row r="60" spans="1:10" x14ac:dyDescent="0.3">
      <c r="A60" s="12" t="s">
        <v>28</v>
      </c>
      <c r="B60" s="13">
        <f t="shared" ref="B60:G60" si="5">0*$H60</f>
        <v>0</v>
      </c>
      <c r="C60" s="13">
        <f t="shared" si="5"/>
        <v>0</v>
      </c>
      <c r="D60" s="13">
        <f t="shared" si="5"/>
        <v>0</v>
      </c>
      <c r="E60" s="13">
        <f t="shared" si="5"/>
        <v>0</v>
      </c>
      <c r="F60" s="13">
        <f t="shared" si="5"/>
        <v>0</v>
      </c>
      <c r="G60" s="13">
        <f t="shared" si="5"/>
        <v>0</v>
      </c>
      <c r="H60" s="14"/>
      <c r="J60" s="2" t="b">
        <f>NOT(ISERROR(MATCH(A60,Spice[Spice],0)))</f>
        <v>1</v>
      </c>
    </row>
    <row r="61" spans="1:10" x14ac:dyDescent="0.3">
      <c r="A61" s="8" t="s">
        <v>29</v>
      </c>
      <c r="B61" s="6">
        <f>2.5*$H61</f>
        <v>0</v>
      </c>
      <c r="C61" s="6">
        <f>0.6*$H61</f>
        <v>0</v>
      </c>
      <c r="D61" s="6">
        <f>0.1*$H61</f>
        <v>0</v>
      </c>
      <c r="E61" s="6">
        <f>0.1*$H61</f>
        <v>0</v>
      </c>
      <c r="F61" s="6">
        <f>0.3*$H61</f>
        <v>0</v>
      </c>
      <c r="G61" s="6">
        <f>0*$H61</f>
        <v>0</v>
      </c>
      <c r="H61" s="3"/>
      <c r="J61" s="2" t="b">
        <f>NOT(ISERROR(MATCH(A61,Spice[Spice],0)))</f>
        <v>1</v>
      </c>
    </row>
    <row r="62" spans="1:10" x14ac:dyDescent="0.3">
      <c r="A62" s="8" t="s">
        <v>31</v>
      </c>
      <c r="B62" s="6">
        <f>0*$H62</f>
        <v>0</v>
      </c>
      <c r="C62" s="6">
        <f>0*$H62</f>
        <v>0</v>
      </c>
      <c r="D62" s="6">
        <f>0*$H62</f>
        <v>0</v>
      </c>
      <c r="E62" s="6">
        <f>0*$H62</f>
        <v>0</v>
      </c>
      <c r="F62" s="6">
        <f>0*$H62</f>
        <v>0</v>
      </c>
      <c r="G62" s="6">
        <f>0*$H62</f>
        <v>0</v>
      </c>
      <c r="H62" s="3"/>
      <c r="J62" s="2" t="b">
        <f>NOT(ISERROR(MATCH(A62,Spice[Spice],0)))</f>
        <v>1</v>
      </c>
    </row>
    <row r="63" spans="1:10" x14ac:dyDescent="0.3">
      <c r="A63" s="8" t="s">
        <v>632</v>
      </c>
      <c r="B63" s="6">
        <f>3.9*$H63</f>
        <v>11.7</v>
      </c>
      <c r="C63" s="6">
        <f>0.9*$H63</f>
        <v>2.7</v>
      </c>
      <c r="D63" s="6">
        <f>0.1*$H63</f>
        <v>0.30000000000000004</v>
      </c>
      <c r="E63" s="6">
        <f>0.1*$H63</f>
        <v>0.30000000000000004</v>
      </c>
      <c r="F63" s="6">
        <f>0.5*$H63</f>
        <v>1.5</v>
      </c>
      <c r="G63" s="6">
        <f>0*$H63</f>
        <v>0</v>
      </c>
      <c r="H63" s="3">
        <v>3</v>
      </c>
      <c r="J63" s="2" t="b">
        <f>NOT(ISERROR(MATCH(A63,Spice[Spice],0)))</f>
        <v>1</v>
      </c>
    </row>
    <row r="64" spans="1:10" x14ac:dyDescent="0.3">
      <c r="A64" s="8" t="s">
        <v>33</v>
      </c>
      <c r="B64" s="6">
        <f>7.1*$H64</f>
        <v>0</v>
      </c>
      <c r="C64" s="6">
        <f>1.6*$H64</f>
        <v>0</v>
      </c>
      <c r="D64" s="6">
        <f>0.1*$H64</f>
        <v>0</v>
      </c>
      <c r="E64" s="6">
        <f>0.3*$H64</f>
        <v>0</v>
      </c>
      <c r="F64" s="6">
        <f>0.6*$H64</f>
        <v>0</v>
      </c>
      <c r="G64" s="6">
        <f>0*$H64</f>
        <v>0</v>
      </c>
      <c r="H64" s="3"/>
      <c r="J64" s="2" t="b">
        <f>NOT(ISERROR(MATCH(A64,Spice[Spice],0)))</f>
        <v>1</v>
      </c>
    </row>
    <row r="65" spans="1:8" x14ac:dyDescent="0.3">
      <c r="A65" s="8" t="s">
        <v>34</v>
      </c>
      <c r="B65" s="6">
        <f>SUBTOTAL(109,MexicanSpice4946[Calories])</f>
        <v>57.099999999999994</v>
      </c>
      <c r="C65" s="6">
        <f>SUBTOTAL(109,MexicanSpice4946[Carbs])</f>
        <v>13.600000000000001</v>
      </c>
      <c r="D65" s="6">
        <f>SUBTOTAL(109,MexicanSpice4946[Fat])</f>
        <v>0.70000000000000007</v>
      </c>
      <c r="E65" s="6">
        <f>SUBTOTAL(109,MexicanSpice4946[Protein])</f>
        <v>4.3</v>
      </c>
      <c r="F65" s="6">
        <f>SUBTOTAL(109,MexicanSpice4946[Fiber])</f>
        <v>5</v>
      </c>
      <c r="G65" s="6">
        <f>SUBTOTAL(109,MexicanSpice4946[Sugar])</f>
        <v>0.2</v>
      </c>
      <c r="H65" s="3">
        <f>SUBTOTAL(109,MexicanSpice4946[Serving by TSP])</f>
        <v>14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F335-A809-484B-8C8D-64D28F5641FF}">
  <sheetPr codeName="Sheet5"/>
  <dimension ref="A1:J61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x14ac:dyDescent="0.3">
      <c r="A2" s="1" t="s">
        <v>229</v>
      </c>
      <c r="B2" s="5">
        <f>110*$H2</f>
        <v>880</v>
      </c>
      <c r="C2" s="5">
        <f>0*$H2</f>
        <v>0</v>
      </c>
      <c r="D2" s="5">
        <f>3*$H2</f>
        <v>24</v>
      </c>
      <c r="E2" s="5">
        <f>22*$H2</f>
        <v>176</v>
      </c>
      <c r="F2" s="5">
        <f>0*$H2</f>
        <v>0</v>
      </c>
      <c r="G2" s="5">
        <f>0*$H2</f>
        <v>0</v>
      </c>
      <c r="H2" s="5">
        <v>8</v>
      </c>
      <c r="I2" s="22" t="s">
        <v>204</v>
      </c>
      <c r="J2" s="5" t="b">
        <f>NOT(ISERROR(MATCH(A2,Index[Item],0)))</f>
        <v>1</v>
      </c>
    </row>
    <row r="3" spans="1:10" x14ac:dyDescent="0.3">
      <c r="A3" s="1" t="s">
        <v>175</v>
      </c>
      <c r="B3" s="5">
        <f>170*$H3</f>
        <v>0</v>
      </c>
      <c r="C3" s="5">
        <f>1*$H3</f>
        <v>0</v>
      </c>
      <c r="D3" s="5">
        <f>15*$H3</f>
        <v>0</v>
      </c>
      <c r="E3" s="5">
        <f>8*$H3</f>
        <v>0</v>
      </c>
      <c r="F3" s="5">
        <f>0*$H3</f>
        <v>0</v>
      </c>
      <c r="G3" s="5">
        <f>0*$H3</f>
        <v>0</v>
      </c>
      <c r="H3" s="5"/>
      <c r="J3" s="5" t="b">
        <f>NOT(ISERROR(MATCH(A3,Index[Item],0)))</f>
        <v>1</v>
      </c>
    </row>
    <row r="4" spans="1:10" x14ac:dyDescent="0.3">
      <c r="A4" s="1" t="s">
        <v>176</v>
      </c>
      <c r="B4" s="5">
        <f>180*$H4</f>
        <v>0</v>
      </c>
      <c r="C4" s="5">
        <f>1*$H4</f>
        <v>0</v>
      </c>
      <c r="D4" s="5">
        <f>16*$H4</f>
        <v>0</v>
      </c>
      <c r="E4" s="5">
        <f>8*$H4</f>
        <v>0</v>
      </c>
      <c r="F4" s="5">
        <f t="shared" ref="F4:G14" si="0">0*$H4</f>
        <v>0</v>
      </c>
      <c r="G4" s="5">
        <f>1*$H4</f>
        <v>0</v>
      </c>
      <c r="H4" s="5"/>
      <c r="J4" s="5" t="b">
        <f>NOT(ISERROR(MATCH(A4,Index[Item],0)))</f>
        <v>1</v>
      </c>
    </row>
    <row r="5" spans="1:10" x14ac:dyDescent="0.3">
      <c r="A5" s="1" t="s">
        <v>177</v>
      </c>
      <c r="B5" s="5">
        <f>180*$H5</f>
        <v>0</v>
      </c>
      <c r="C5" s="5">
        <f>1*$H5</f>
        <v>0</v>
      </c>
      <c r="D5" s="5">
        <f>16*$H5</f>
        <v>0</v>
      </c>
      <c r="E5" s="5">
        <f>8*$H5</f>
        <v>0</v>
      </c>
      <c r="F5" s="5">
        <f t="shared" si="0"/>
        <v>0</v>
      </c>
      <c r="G5" s="5">
        <f>1*$H5</f>
        <v>0</v>
      </c>
      <c r="H5" s="5"/>
      <c r="J5" s="5" t="b">
        <f>NOT(ISERROR(MATCH(A5,Index[Item],0)))</f>
        <v>1</v>
      </c>
    </row>
    <row r="6" spans="1:10" ht="37.5" x14ac:dyDescent="0.3">
      <c r="A6" s="1" t="s">
        <v>580</v>
      </c>
      <c r="B6" s="5">
        <f>100*$H6</f>
        <v>639.28571428571433</v>
      </c>
      <c r="C6" s="5">
        <f>3*$H6</f>
        <v>19.178571428571431</v>
      </c>
      <c r="D6" s="5">
        <f>6*$H6</f>
        <v>38.357142857142861</v>
      </c>
      <c r="E6" s="5">
        <f>8*$H6</f>
        <v>51.142857142857146</v>
      </c>
      <c r="F6" s="5">
        <f>0*$H6</f>
        <v>0</v>
      </c>
      <c r="G6" s="5">
        <f>1*$H6</f>
        <v>6.3928571428571432</v>
      </c>
      <c r="H6" s="5">
        <f>358/56</f>
        <v>6.3928571428571432</v>
      </c>
      <c r="I6" s="22" t="s">
        <v>581</v>
      </c>
      <c r="J6" s="5" t="b">
        <f>NOT(ISERROR(MATCH(A6,Index[Item],0)))</f>
        <v>1</v>
      </c>
    </row>
    <row r="7" spans="1:10" ht="37.5" x14ac:dyDescent="0.3">
      <c r="A7" s="1" t="s">
        <v>178</v>
      </c>
      <c r="B7" s="5">
        <f>130*$H7</f>
        <v>0</v>
      </c>
      <c r="C7" s="5">
        <f>0*$H7</f>
        <v>0</v>
      </c>
      <c r="D7" s="5">
        <f>12*$H7</f>
        <v>0</v>
      </c>
      <c r="E7" s="5">
        <f>6*$H7</f>
        <v>0</v>
      </c>
      <c r="F7" s="5">
        <f t="shared" si="0"/>
        <v>0</v>
      </c>
      <c r="G7" s="5">
        <f>0*$H7</f>
        <v>0</v>
      </c>
      <c r="H7" s="5"/>
      <c r="J7" s="5" t="b">
        <f>NOT(ISERROR(MATCH(A7,Index[Item],0)))</f>
        <v>1</v>
      </c>
    </row>
    <row r="8" spans="1:10" ht="37.5" x14ac:dyDescent="0.3">
      <c r="A8" s="1" t="s">
        <v>180</v>
      </c>
      <c r="B8" s="5">
        <f>70*$H8</f>
        <v>490</v>
      </c>
      <c r="C8" s="5">
        <f>0.5*$H8</f>
        <v>3.5</v>
      </c>
      <c r="D8" s="5">
        <f>4*$H8</f>
        <v>28</v>
      </c>
      <c r="E8" s="5">
        <f>10*$H8</f>
        <v>70</v>
      </c>
      <c r="F8" s="5">
        <f t="shared" si="0"/>
        <v>0</v>
      </c>
      <c r="G8" s="5">
        <f>0.5*$H8</f>
        <v>3.5</v>
      </c>
      <c r="H8" s="2">
        <v>7</v>
      </c>
      <c r="I8" s="22" t="s">
        <v>181</v>
      </c>
      <c r="J8" s="5" t="b">
        <f>NOT(ISERROR(MATCH(A8,Index[Item],0)))</f>
        <v>1</v>
      </c>
    </row>
    <row r="9" spans="1:10" ht="37.5" x14ac:dyDescent="0.3">
      <c r="A9" s="1" t="s">
        <v>182</v>
      </c>
      <c r="B9" s="5">
        <f>130*$H9</f>
        <v>0</v>
      </c>
      <c r="C9" s="5">
        <f>0*$H9</f>
        <v>0</v>
      </c>
      <c r="D9" s="5">
        <f>12*$H9</f>
        <v>0</v>
      </c>
      <c r="E9" s="5">
        <f>5*$H9</f>
        <v>0</v>
      </c>
      <c r="F9" s="5">
        <f t="shared" si="0"/>
        <v>0</v>
      </c>
      <c r="G9" s="5">
        <f t="shared" si="0"/>
        <v>0</v>
      </c>
      <c r="H9" s="5"/>
      <c r="J9" s="5" t="b">
        <f>NOT(ISERROR(MATCH(A9,Index[Item],0)))</f>
        <v>1</v>
      </c>
    </row>
    <row r="10" spans="1:10" x14ac:dyDescent="0.3">
      <c r="A10" s="1" t="s">
        <v>188</v>
      </c>
      <c r="B10" s="5">
        <f>140*$H10</f>
        <v>0</v>
      </c>
      <c r="C10" s="5">
        <f>1*$H10</f>
        <v>0</v>
      </c>
      <c r="D10" s="5">
        <f>13*$H10</f>
        <v>0</v>
      </c>
      <c r="E10" s="5">
        <f>6*$H10</f>
        <v>0</v>
      </c>
      <c r="F10" s="5">
        <f t="shared" si="0"/>
        <v>0</v>
      </c>
      <c r="G10" s="5">
        <f>0.5*$H10</f>
        <v>0</v>
      </c>
      <c r="H10" s="5"/>
      <c r="I10" s="22" t="s">
        <v>189</v>
      </c>
      <c r="J10" s="5" t="b">
        <f>NOT(ISERROR(MATCH(A10,Index[Item],0)))</f>
        <v>1</v>
      </c>
    </row>
    <row r="11" spans="1:10" ht="37.5" x14ac:dyDescent="0.3">
      <c r="A11" s="1" t="s">
        <v>192</v>
      </c>
      <c r="B11" s="5">
        <f>70*$H11</f>
        <v>0</v>
      </c>
      <c r="C11" s="5">
        <f>1*$H11</f>
        <v>0</v>
      </c>
      <c r="D11" s="5">
        <f>4*$H11</f>
        <v>0</v>
      </c>
      <c r="E11" s="5">
        <f>9*$H11</f>
        <v>0</v>
      </c>
      <c r="F11" s="5">
        <f t="shared" si="0"/>
        <v>0</v>
      </c>
      <c r="G11" s="5">
        <f>0*$H11</f>
        <v>0</v>
      </c>
      <c r="H11" s="5"/>
      <c r="I11" s="22" t="s">
        <v>630</v>
      </c>
      <c r="J11" s="5" t="b">
        <f>NOT(ISERROR(MATCH(A11,Index[Item],0)))</f>
        <v>1</v>
      </c>
    </row>
    <row r="12" spans="1:10" ht="37.5" x14ac:dyDescent="0.3">
      <c r="A12" s="1" t="s">
        <v>582</v>
      </c>
      <c r="B12" s="5">
        <f>70*$H12</f>
        <v>0</v>
      </c>
      <c r="C12" s="5">
        <f>1*$H12</f>
        <v>0</v>
      </c>
      <c r="D12" s="5">
        <f>3.5*$H12</f>
        <v>0</v>
      </c>
      <c r="E12" s="5">
        <f>10*$H12</f>
        <v>0</v>
      </c>
      <c r="F12" s="5">
        <f t="shared" si="0"/>
        <v>0</v>
      </c>
      <c r="G12" s="5">
        <f>0.5*$H12</f>
        <v>0</v>
      </c>
      <c r="H12" s="5"/>
      <c r="I12" s="22" t="s">
        <v>583</v>
      </c>
      <c r="J12" s="5" t="b">
        <f>NOT(ISERROR(MATCH(A12,Index[Item],0)))</f>
        <v>1</v>
      </c>
    </row>
    <row r="13" spans="1:10" x14ac:dyDescent="0.3">
      <c r="A13" s="1" t="s">
        <v>194</v>
      </c>
      <c r="B13" s="5">
        <f>200*$H13</f>
        <v>0</v>
      </c>
      <c r="C13" s="5">
        <f>2*$H13</f>
        <v>0</v>
      </c>
      <c r="D13" s="5">
        <f>18*$H13</f>
        <v>0</v>
      </c>
      <c r="E13" s="5">
        <f>7*$H13</f>
        <v>0</v>
      </c>
      <c r="F13" s="5">
        <f t="shared" si="0"/>
        <v>0</v>
      </c>
      <c r="G13" s="5">
        <f t="shared" si="0"/>
        <v>0</v>
      </c>
      <c r="H13" s="5"/>
      <c r="J13" s="5" t="b">
        <f>NOT(ISERROR(MATCH(A13,Index[Item],0)))</f>
        <v>1</v>
      </c>
    </row>
    <row r="14" spans="1:10" x14ac:dyDescent="0.3">
      <c r="A14" s="1" t="s">
        <v>195</v>
      </c>
      <c r="B14" s="5">
        <f>25*$H14</f>
        <v>0</v>
      </c>
      <c r="C14" s="5">
        <f>0*$H14</f>
        <v>0</v>
      </c>
      <c r="D14" s="5">
        <f>1.5*$H14</f>
        <v>0</v>
      </c>
      <c r="E14" s="5">
        <f>3*$H14</f>
        <v>0</v>
      </c>
      <c r="F14" s="5">
        <f t="shared" ref="F14" si="1">0*$H14</f>
        <v>0</v>
      </c>
      <c r="G14" s="5">
        <f t="shared" si="0"/>
        <v>0</v>
      </c>
      <c r="H14" s="5"/>
      <c r="J14" s="5" t="b">
        <f>NOT(ISERROR(MATCH(A14,Index[Item],0)))</f>
        <v>1</v>
      </c>
    </row>
    <row r="15" spans="1:10" x14ac:dyDescent="0.3">
      <c r="A15" s="1" t="s">
        <v>332</v>
      </c>
      <c r="B15" s="5">
        <f t="shared" ref="B15:F16" si="2">0*$H15</f>
        <v>0</v>
      </c>
      <c r="C15" s="5">
        <f t="shared" si="2"/>
        <v>0</v>
      </c>
      <c r="D15" s="5">
        <f t="shared" si="2"/>
        <v>0</v>
      </c>
      <c r="E15" s="5">
        <f t="shared" si="2"/>
        <v>0</v>
      </c>
      <c r="F15" s="5">
        <f t="shared" si="2"/>
        <v>0</v>
      </c>
      <c r="G15" s="5">
        <f>0*$H15</f>
        <v>0</v>
      </c>
      <c r="H15" s="5">
        <v>1</v>
      </c>
      <c r="I15" s="22" t="s">
        <v>333</v>
      </c>
      <c r="J15" s="5" t="b">
        <f>NOT(ISERROR(MATCH(A15,Index[Item],0)))</f>
        <v>1</v>
      </c>
    </row>
    <row r="16" spans="1:10" ht="37.5" x14ac:dyDescent="0.3">
      <c r="A16" s="1" t="s">
        <v>334</v>
      </c>
      <c r="B16" s="5">
        <f>5*$H16</f>
        <v>0</v>
      </c>
      <c r="C16" s="5">
        <f>0.5*$H16</f>
        <v>0</v>
      </c>
      <c r="D16" s="5">
        <f t="shared" si="2"/>
        <v>0</v>
      </c>
      <c r="E16" s="5">
        <f t="shared" si="2"/>
        <v>0</v>
      </c>
      <c r="F16" s="5">
        <f t="shared" si="2"/>
        <v>0</v>
      </c>
      <c r="G16" s="5">
        <f>0*$H16</f>
        <v>0</v>
      </c>
      <c r="H16" s="5"/>
      <c r="I16" s="22" t="s">
        <v>333</v>
      </c>
      <c r="J16" s="5" t="b">
        <f>NOT(ISERROR(MATCH(A16,Index[Item],0)))</f>
        <v>1</v>
      </c>
    </row>
    <row r="17" spans="1:10" x14ac:dyDescent="0.3">
      <c r="A17" s="1" t="s">
        <v>571</v>
      </c>
      <c r="B17" s="5">
        <f>40*$H17</f>
        <v>0</v>
      </c>
      <c r="C17" s="5">
        <f>8*$H17</f>
        <v>0</v>
      </c>
      <c r="D17" s="5">
        <f>0*$H17</f>
        <v>0</v>
      </c>
      <c r="E17" s="5">
        <f>2*$H17</f>
        <v>0</v>
      </c>
      <c r="F17" s="5">
        <f>1*$H17</f>
        <v>0</v>
      </c>
      <c r="G17" s="5">
        <f>5*$H17</f>
        <v>0</v>
      </c>
      <c r="H17" s="5"/>
      <c r="I17" s="22" t="s">
        <v>572</v>
      </c>
      <c r="J17" s="5" t="b">
        <f>NOT(ISERROR(MATCH(A17,Index[Item],0)))</f>
        <v>1</v>
      </c>
    </row>
    <row r="18" spans="1:10" x14ac:dyDescent="0.3">
      <c r="A18" s="1" t="s">
        <v>573</v>
      </c>
      <c r="B18" s="5">
        <f>50*$H18</f>
        <v>0</v>
      </c>
      <c r="C18" s="5">
        <f>0.5*$H18</f>
        <v>0</v>
      </c>
      <c r="D18" s="5">
        <f>5*$H18</f>
        <v>0</v>
      </c>
      <c r="E18" s="5">
        <f>0*$H18</f>
        <v>0</v>
      </c>
      <c r="F18" s="5">
        <f>0*$H18</f>
        <v>0</v>
      </c>
      <c r="G18" s="5">
        <f>0.5*$H18</f>
        <v>0</v>
      </c>
      <c r="H18" s="5"/>
      <c r="I18" s="22" t="s">
        <v>574</v>
      </c>
      <c r="J18" s="5" t="b">
        <f>NOT(ISERROR(MATCH(A18,Index[Item],0)))</f>
        <v>1</v>
      </c>
    </row>
    <row r="19" spans="1:10" ht="37.5" x14ac:dyDescent="0.3">
      <c r="A19" s="1" t="s">
        <v>645</v>
      </c>
      <c r="B19" s="5">
        <f>100*$H19</f>
        <v>0</v>
      </c>
      <c r="C19" s="5">
        <f>0.5*$H19</f>
        <v>0</v>
      </c>
      <c r="D19" s="5">
        <f>10*$H19</f>
        <v>0</v>
      </c>
      <c r="E19" s="5">
        <f>2*$H19</f>
        <v>0</v>
      </c>
      <c r="F19" s="5">
        <f>0*$H19</f>
        <v>0</v>
      </c>
      <c r="G19" s="5">
        <f>0.5*$H19</f>
        <v>0</v>
      </c>
      <c r="H19" s="5"/>
      <c r="I19" s="22" t="s">
        <v>556</v>
      </c>
      <c r="J19" s="5" t="b">
        <f>NOT(ISERROR(MATCH(A19,Index[Item],0)))</f>
        <v>1</v>
      </c>
    </row>
    <row r="20" spans="1:10" x14ac:dyDescent="0.3">
      <c r="A20" s="1" t="s">
        <v>644</v>
      </c>
      <c r="B20" s="5">
        <f>90*$H20</f>
        <v>720</v>
      </c>
      <c r="C20" s="5">
        <f>2*$H20</f>
        <v>16</v>
      </c>
      <c r="D20" s="5">
        <f>9*$H20</f>
        <v>72</v>
      </c>
      <c r="E20" s="5">
        <f>2*$H20</f>
        <v>16</v>
      </c>
      <c r="F20" s="5">
        <f>0*$H20</f>
        <v>0</v>
      </c>
      <c r="G20" s="5">
        <f>1*$H20</f>
        <v>8</v>
      </c>
      <c r="H20" s="5">
        <v>8</v>
      </c>
      <c r="I20" s="22" t="s">
        <v>556</v>
      </c>
      <c r="J20" s="5" t="b">
        <f>NOT(ISERROR(MATCH(A20,Index[Item],0)))</f>
        <v>1</v>
      </c>
    </row>
    <row r="21" spans="1:10" x14ac:dyDescent="0.3">
      <c r="A21" s="1" t="s">
        <v>591</v>
      </c>
      <c r="B21" s="5">
        <f>40*$H21</f>
        <v>0</v>
      </c>
      <c r="C21" s="5">
        <f>3*$H21</f>
        <v>0</v>
      </c>
      <c r="D21" s="5">
        <f>3*$H21</f>
        <v>0</v>
      </c>
      <c r="E21" s="5">
        <f>1*$H21</f>
        <v>0</v>
      </c>
      <c r="F21" s="5">
        <f>2*$H21</f>
        <v>0</v>
      </c>
      <c r="G21" s="5">
        <f>0*$H21</f>
        <v>0</v>
      </c>
      <c r="H21" s="5"/>
      <c r="I21" s="22" t="s">
        <v>592</v>
      </c>
      <c r="J21" s="5" t="b">
        <f>NOT(ISERROR(MATCH(A21,Index[Item],0)))</f>
        <v>1</v>
      </c>
    </row>
    <row r="22" spans="1:10" x14ac:dyDescent="0.3">
      <c r="A22" s="1" t="s">
        <v>543</v>
      </c>
      <c r="B22" s="5">
        <f>28*$H22</f>
        <v>56</v>
      </c>
      <c r="C22" s="5">
        <f>6.7*$H22</f>
        <v>13.4</v>
      </c>
      <c r="D22" s="5">
        <f t="shared" ref="D22:D28" si="3">0.2*$H22</f>
        <v>0.4</v>
      </c>
      <c r="E22" s="5">
        <f>1.9*$H22</f>
        <v>3.8</v>
      </c>
      <c r="F22" s="5">
        <f>1.2*$H22</f>
        <v>2.4</v>
      </c>
      <c r="G22" s="5">
        <f>3.2*$H22</f>
        <v>6.4</v>
      </c>
      <c r="H22" s="5">
        <v>2</v>
      </c>
      <c r="I22" s="22" t="s">
        <v>96</v>
      </c>
      <c r="J22" s="5" t="b">
        <f>NOT(ISERROR(MATCH(A22,Index[Item],0)))</f>
        <v>1</v>
      </c>
    </row>
    <row r="23" spans="1:10" x14ac:dyDescent="0.3">
      <c r="A23" s="1" t="s">
        <v>27</v>
      </c>
      <c r="B23" s="5">
        <f>28*$H23</f>
        <v>0</v>
      </c>
      <c r="C23" s="5">
        <f>6.7*$H23</f>
        <v>0</v>
      </c>
      <c r="D23" s="5">
        <f t="shared" si="3"/>
        <v>0</v>
      </c>
      <c r="E23" s="5">
        <f>0.9*$H23</f>
        <v>0</v>
      </c>
      <c r="F23" s="5">
        <f>1.2*$H23</f>
        <v>0</v>
      </c>
      <c r="G23" s="5">
        <f>4.4*$H23</f>
        <v>0</v>
      </c>
      <c r="H23" s="5"/>
      <c r="I23" s="22" t="s">
        <v>96</v>
      </c>
      <c r="J23" s="5" t="b">
        <f>NOT(ISERROR(MATCH(A23,Index[Item],0)))</f>
        <v>1</v>
      </c>
    </row>
    <row r="24" spans="1:10" x14ac:dyDescent="0.3">
      <c r="A24" s="1" t="s">
        <v>98</v>
      </c>
      <c r="B24" s="5">
        <f>28*$H24</f>
        <v>0</v>
      </c>
      <c r="C24" s="5">
        <f>6.7*$H24</f>
        <v>0</v>
      </c>
      <c r="D24" s="5">
        <f t="shared" si="3"/>
        <v>0</v>
      </c>
      <c r="E24" s="5">
        <f>0.9*$H24</f>
        <v>0</v>
      </c>
      <c r="F24" s="5">
        <f>1.2*$H24</f>
        <v>0</v>
      </c>
      <c r="G24" s="5">
        <f>4.4*$H24</f>
        <v>0</v>
      </c>
      <c r="H24" s="5"/>
      <c r="I24" s="22" t="s">
        <v>96</v>
      </c>
      <c r="J24" s="5" t="b">
        <f>NOT(ISERROR(MATCH(A24,Index[Item],0)))</f>
        <v>1</v>
      </c>
    </row>
    <row r="25" spans="1:10" x14ac:dyDescent="0.3">
      <c r="A25" s="1" t="s">
        <v>99</v>
      </c>
      <c r="B25" s="5">
        <f>27*$H25</f>
        <v>0</v>
      </c>
      <c r="C25" s="5">
        <f>6.3*$H25</f>
        <v>0</v>
      </c>
      <c r="D25" s="5">
        <f t="shared" si="3"/>
        <v>0</v>
      </c>
      <c r="E25" s="5">
        <f>1*$H25</f>
        <v>0</v>
      </c>
      <c r="F25" s="5">
        <f>0.9*$H25</f>
        <v>0</v>
      </c>
      <c r="G25" s="5">
        <f>0*$H25</f>
        <v>0</v>
      </c>
      <c r="H25" s="5"/>
      <c r="I25" s="22" t="s">
        <v>96</v>
      </c>
      <c r="J25" s="5" t="b">
        <f>NOT(ISERROR(MATCH(A25,Index[Item],0)))</f>
        <v>1</v>
      </c>
    </row>
    <row r="26" spans="1:10" x14ac:dyDescent="0.3">
      <c r="A26" s="1" t="s">
        <v>102</v>
      </c>
      <c r="B26" s="5">
        <f>44*$H26</f>
        <v>88</v>
      </c>
      <c r="C26" s="5">
        <f>10*$H26</f>
        <v>20</v>
      </c>
      <c r="D26" s="5">
        <f t="shared" si="3"/>
        <v>0.4</v>
      </c>
      <c r="E26" s="5">
        <f>1.4*$H26</f>
        <v>2.8</v>
      </c>
      <c r="F26" s="5">
        <f>1.4*$H26</f>
        <v>2.8</v>
      </c>
      <c r="G26" s="5">
        <f>4.7*$H26</f>
        <v>9.4</v>
      </c>
      <c r="H26" s="5">
        <v>2</v>
      </c>
      <c r="I26" s="22" t="s">
        <v>96</v>
      </c>
      <c r="J26" s="5" t="b">
        <f>NOT(ISERROR(MATCH(A26,Index[Item],0)))</f>
        <v>1</v>
      </c>
    </row>
    <row r="27" spans="1:10" x14ac:dyDescent="0.3">
      <c r="A27" s="1" t="s">
        <v>655</v>
      </c>
      <c r="B27" s="5">
        <f>44*$H27</f>
        <v>0</v>
      </c>
      <c r="C27" s="5">
        <f>10*$H27</f>
        <v>0</v>
      </c>
      <c r="D27" s="5">
        <f>0*$H27</f>
        <v>0</v>
      </c>
      <c r="E27" s="5">
        <f>1*$H27</f>
        <v>0</v>
      </c>
      <c r="F27" s="5">
        <f>1*$H27</f>
        <v>0</v>
      </c>
      <c r="G27" s="5">
        <f>5*$H27</f>
        <v>0</v>
      </c>
      <c r="H27" s="5"/>
      <c r="I27" s="22" t="s">
        <v>96</v>
      </c>
      <c r="J27" s="5" t="b">
        <f>NOT(ISERROR(MATCH(A27,Index[Item],0)))</f>
        <v>1</v>
      </c>
    </row>
    <row r="28" spans="1:10" x14ac:dyDescent="0.3">
      <c r="A28" s="1" t="s">
        <v>95</v>
      </c>
      <c r="B28" s="5">
        <f>32*$H28</f>
        <v>0</v>
      </c>
      <c r="C28" s="5">
        <f>7.3*$H28</f>
        <v>0</v>
      </c>
      <c r="D28" s="5">
        <f t="shared" si="3"/>
        <v>0</v>
      </c>
      <c r="E28" s="5">
        <f>1.8*$H28</f>
        <v>0</v>
      </c>
      <c r="F28" s="5">
        <f t="shared" ref="F28" si="4">2.7*$H28</f>
        <v>0</v>
      </c>
      <c r="G28" s="5">
        <f>2.3*$H28</f>
        <v>0</v>
      </c>
      <c r="H28" s="5"/>
      <c r="I28" s="22" t="s">
        <v>96</v>
      </c>
      <c r="J28" s="5" t="b">
        <f>NOT(ISERROR(MATCH(A28,Index[Item],0)))</f>
        <v>1</v>
      </c>
    </row>
    <row r="29" spans="1:10" x14ac:dyDescent="0.3">
      <c r="A29" s="1" t="s">
        <v>101</v>
      </c>
      <c r="B29" s="5">
        <f>29*$H29</f>
        <v>58</v>
      </c>
      <c r="C29" s="5">
        <f>6.5*$H29</f>
        <v>13</v>
      </c>
      <c r="D29" s="5">
        <f>0.4*$H29</f>
        <v>0.8</v>
      </c>
      <c r="E29" s="5">
        <f>0.9*$H29</f>
        <v>1.8</v>
      </c>
      <c r="F29" s="5">
        <f>2.8*$H29</f>
        <v>5.6</v>
      </c>
      <c r="G29" s="5">
        <f>4.1*$H29</f>
        <v>8.1999999999999993</v>
      </c>
      <c r="H29" s="5">
        <v>2</v>
      </c>
      <c r="I29" s="22" t="s">
        <v>96</v>
      </c>
      <c r="J29" s="5" t="b">
        <f>NOT(ISERROR(MATCH(A29,Index[Item],0)))</f>
        <v>1</v>
      </c>
    </row>
    <row r="30" spans="1:10" x14ac:dyDescent="0.3">
      <c r="A30" s="1" t="s">
        <v>100</v>
      </c>
      <c r="B30" s="5">
        <f>27*$H30</f>
        <v>0</v>
      </c>
      <c r="C30" s="5">
        <f>5.4*$H30</f>
        <v>0</v>
      </c>
      <c r="D30" s="5">
        <f>0.5*$H30</f>
        <v>0</v>
      </c>
      <c r="E30" s="5">
        <f>1.7*$H30</f>
        <v>0</v>
      </c>
      <c r="F30" s="5">
        <f>3.4*$H30</f>
        <v>0</v>
      </c>
      <c r="G30" s="5">
        <f>2*$H30</f>
        <v>0</v>
      </c>
      <c r="H30" s="5"/>
      <c r="I30" s="22" t="s">
        <v>96</v>
      </c>
      <c r="J30" s="5" t="b">
        <f>NOT(ISERROR(MATCH(A30,Index[Item],0)))</f>
        <v>1</v>
      </c>
    </row>
    <row r="31" spans="1:10" x14ac:dyDescent="0.3">
      <c r="A31" s="1" t="s">
        <v>557</v>
      </c>
      <c r="B31" s="5">
        <f>20*$H31</f>
        <v>40</v>
      </c>
      <c r="C31" s="5">
        <f>5*$H31</f>
        <v>10</v>
      </c>
      <c r="D31" s="5">
        <f>0*$H31</f>
        <v>0</v>
      </c>
      <c r="E31" s="5">
        <f>1*$H31</f>
        <v>2</v>
      </c>
      <c r="F31" s="5">
        <f>2*$H31</f>
        <v>4</v>
      </c>
      <c r="G31" s="5">
        <f>2*$H31</f>
        <v>4</v>
      </c>
      <c r="H31" s="5">
        <v>2</v>
      </c>
      <c r="I31" s="22" t="s">
        <v>96</v>
      </c>
      <c r="J31" s="5" t="b">
        <f>NOT(ISERROR(MATCH(A31,Index[Item],0)))</f>
        <v>1</v>
      </c>
    </row>
    <row r="32" spans="1:10" x14ac:dyDescent="0.3">
      <c r="A32" s="1" t="s">
        <v>111</v>
      </c>
      <c r="B32" s="5">
        <f>4.5*$H32</f>
        <v>0</v>
      </c>
      <c r="C32" s="5">
        <f>1*$H32</f>
        <v>0</v>
      </c>
      <c r="D32" s="5">
        <f>0*$H32</f>
        <v>0</v>
      </c>
      <c r="E32" s="5">
        <f>0.2*$H32</f>
        <v>0</v>
      </c>
      <c r="F32" s="5">
        <f>0.1*$H32</f>
        <v>0</v>
      </c>
      <c r="G32" s="5">
        <f>0*$H32</f>
        <v>0</v>
      </c>
      <c r="H32" s="5"/>
      <c r="I32" s="22" t="s">
        <v>112</v>
      </c>
      <c r="J32" s="5" t="b">
        <f>NOT(ISERROR(MATCH(A32,Index[Item],0)))</f>
        <v>1</v>
      </c>
    </row>
    <row r="33" spans="1:10" x14ac:dyDescent="0.3">
      <c r="A33" s="1" t="s">
        <v>481</v>
      </c>
      <c r="B33" s="5">
        <f>Table37[[#Totals],[Calories]]</f>
        <v>57.400000000000006</v>
      </c>
      <c r="C33" s="5">
        <f>Table37[[#Totals],[Carbs]]</f>
        <v>11.399999999999999</v>
      </c>
      <c r="D33" s="5">
        <f>Table37[[#Totals],[Fat]]</f>
        <v>1.7000000000000002</v>
      </c>
      <c r="E33" s="5">
        <f>Table37[[#Totals],[Protein]]</f>
        <v>2.5</v>
      </c>
      <c r="F33" s="5">
        <f>Table37[[#Totals],[Fiber]]</f>
        <v>4.8</v>
      </c>
      <c r="G33" s="5">
        <f>Table37[[#Totals],[Sugar]]</f>
        <v>1</v>
      </c>
      <c r="H33" s="5">
        <f>Table37[[#Totals],[Serving by TSP]]</f>
        <v>9</v>
      </c>
      <c r="J33" s="5" t="b">
        <f>NOT(ISERROR(MATCH(A33,Index[Item],0)))</f>
        <v>1</v>
      </c>
    </row>
    <row r="34" spans="1:10" x14ac:dyDescent="0.3">
      <c r="A34" s="1" t="s">
        <v>544</v>
      </c>
      <c r="B34" s="5">
        <f>SUBTOTAL(109,Buffalo[Calories])/Buffalo[[#Totals],[Measurement]]</f>
        <v>504.78095238095239</v>
      </c>
      <c r="C34" s="5">
        <f>SUBTOTAL(109,Buffalo[Carbs])/Buffalo[[#Totals],[Measurement]]</f>
        <v>17.74642857142857</v>
      </c>
      <c r="D34" s="5">
        <f>SUBTOTAL(109,Buffalo[[Fat ]])/Buffalo[[#Totals],[Measurement]]</f>
        <v>27.609523809523811</v>
      </c>
      <c r="E34" s="5">
        <f>SUBTOTAL(109,Buffalo[Protein])/Buffalo[[#Totals],[Measurement]]</f>
        <v>54.340476190476188</v>
      </c>
      <c r="F34" s="5">
        <f>SUBTOTAL(109,Buffalo[Fiber])/Buffalo[[#Totals],[Measurement]]</f>
        <v>3.2666666666666662</v>
      </c>
      <c r="G34" s="5">
        <f>SUBTOTAL(109,Buffalo[Sugar])/Buffalo[[#Totals],[Measurement]]</f>
        <v>7.8154761904761898</v>
      </c>
      <c r="H34" s="5">
        <f>SUBTOTAL(109,Buffalo[Servings])/Buffalo[[#Totals],[Measurement]]</f>
        <v>7.8988095238095228</v>
      </c>
      <c r="I34" s="22" t="s">
        <v>545</v>
      </c>
    </row>
    <row r="35" spans="1:10" x14ac:dyDescent="0.3">
      <c r="I35" s="2"/>
    </row>
    <row r="36" spans="1:10" x14ac:dyDescent="0.3">
      <c r="A36" s="1" t="s">
        <v>0</v>
      </c>
      <c r="B36" s="2" t="s">
        <v>1</v>
      </c>
      <c r="C36" s="2" t="s">
        <v>2</v>
      </c>
      <c r="D36" s="2" t="s">
        <v>3</v>
      </c>
      <c r="E36" s="2" t="s">
        <v>4</v>
      </c>
      <c r="F36" s="2" t="s">
        <v>5</v>
      </c>
      <c r="G36" s="2" t="s">
        <v>6</v>
      </c>
      <c r="H36" s="2" t="s">
        <v>7</v>
      </c>
      <c r="I36" s="2"/>
    </row>
    <row r="37" spans="1:10" x14ac:dyDescent="0.3">
      <c r="A37" s="1" t="s">
        <v>8</v>
      </c>
      <c r="B37" s="5">
        <f>1.6*$H37</f>
        <v>0</v>
      </c>
      <c r="C37" s="5">
        <f>0.3*$H37</f>
        <v>0</v>
      </c>
      <c r="D37" s="5">
        <f>0*$H37</f>
        <v>0</v>
      </c>
      <c r="E37" s="5">
        <f>0.2*$H37</f>
        <v>0</v>
      </c>
      <c r="F37" s="5">
        <f>0.3*$H37</f>
        <v>0</v>
      </c>
      <c r="G37" s="5">
        <f>0*$H37</f>
        <v>0</v>
      </c>
      <c r="I37" s="2"/>
    </row>
    <row r="38" spans="1:10" x14ac:dyDescent="0.3">
      <c r="A38" s="1" t="s">
        <v>9</v>
      </c>
      <c r="B38" s="5">
        <f>5.8*$H38</f>
        <v>11.6</v>
      </c>
      <c r="C38" s="5">
        <f>1.5*$H38</f>
        <v>3</v>
      </c>
      <c r="D38" s="5">
        <f>0.1*$H38</f>
        <v>0.2</v>
      </c>
      <c r="E38" s="5">
        <f>0.2*$H38</f>
        <v>0.4</v>
      </c>
      <c r="F38" s="5">
        <f>0.6*$H38</f>
        <v>1.2</v>
      </c>
      <c r="G38" s="5">
        <f>0*$H38</f>
        <v>0</v>
      </c>
      <c r="H38" s="2">
        <v>2</v>
      </c>
      <c r="I38" s="2"/>
    </row>
    <row r="39" spans="1:10" x14ac:dyDescent="0.3">
      <c r="A39" s="1" t="s">
        <v>10</v>
      </c>
      <c r="B39" s="5">
        <f>7.6*$H39</f>
        <v>7.6</v>
      </c>
      <c r="C39" s="5">
        <f>1.3*$H39</f>
        <v>1.3</v>
      </c>
      <c r="D39" s="5">
        <f>0.4*$H39</f>
        <v>0.4</v>
      </c>
      <c r="E39" s="5">
        <f>0.4*$H39</f>
        <v>0.4</v>
      </c>
      <c r="F39" s="5">
        <f>0.9*$H39</f>
        <v>0.9</v>
      </c>
      <c r="G39" s="5">
        <f>0.2*$H39</f>
        <v>0.2</v>
      </c>
      <c r="H39" s="2">
        <v>1</v>
      </c>
      <c r="I39" s="2"/>
    </row>
    <row r="40" spans="1:10" x14ac:dyDescent="0.3">
      <c r="A40" s="1" t="s">
        <v>11</v>
      </c>
      <c r="B40" s="5">
        <f>48*$H40</f>
        <v>0</v>
      </c>
      <c r="C40" s="5">
        <f>8*$H40</f>
        <v>0</v>
      </c>
      <c r="D40" s="5">
        <f>0*$H40</f>
        <v>0</v>
      </c>
      <c r="E40" s="5">
        <f>0*$H40</f>
        <v>0</v>
      </c>
      <c r="F40" s="5">
        <f>0*$H40</f>
        <v>0</v>
      </c>
      <c r="G40" s="5">
        <f>0*$H40</f>
        <v>0</v>
      </c>
      <c r="I40" s="2"/>
    </row>
    <row r="41" spans="1:10" x14ac:dyDescent="0.3">
      <c r="A41" s="1" t="s">
        <v>12</v>
      </c>
      <c r="B41" s="5">
        <f>6.4*$H41</f>
        <v>0</v>
      </c>
      <c r="C41" s="5">
        <f>2.1*$H41</f>
        <v>0</v>
      </c>
      <c r="D41" s="5">
        <f>0*$H40</f>
        <v>0</v>
      </c>
      <c r="E41" s="5">
        <f>0.1*$H41</f>
        <v>0</v>
      </c>
      <c r="F41" s="5">
        <f>1.4*$H41</f>
        <v>0</v>
      </c>
      <c r="G41" s="5">
        <f>0.1*$H41</f>
        <v>0</v>
      </c>
      <c r="I41" s="2"/>
    </row>
    <row r="42" spans="1:10" x14ac:dyDescent="0.3">
      <c r="A42" s="1" t="s">
        <v>13</v>
      </c>
      <c r="B42" s="5">
        <f>1.7*$H42</f>
        <v>0</v>
      </c>
      <c r="C42" s="5">
        <f>0.3*$H42</f>
        <v>0</v>
      </c>
      <c r="D42" s="5">
        <f>0*$H42</f>
        <v>0</v>
      </c>
      <c r="E42" s="5">
        <f>0.1*$H42</f>
        <v>0</v>
      </c>
      <c r="F42" s="5">
        <f>0.1*$H42</f>
        <v>0</v>
      </c>
      <c r="G42" s="5">
        <f>0*$H42</f>
        <v>0</v>
      </c>
      <c r="I42" s="2"/>
    </row>
    <row r="43" spans="1:10" ht="37.5" x14ac:dyDescent="0.3">
      <c r="A43" s="1" t="s">
        <v>14</v>
      </c>
      <c r="B43" s="5">
        <f>5.7*$H43</f>
        <v>5.7</v>
      </c>
      <c r="C43" s="5">
        <f>1*$H43</f>
        <v>1</v>
      </c>
      <c r="D43" s="5">
        <f>0*$H43</f>
        <v>0</v>
      </c>
      <c r="E43" s="5">
        <f>0.2*$H43</f>
        <v>0.2</v>
      </c>
      <c r="F43" s="5">
        <f>0.5*$H43</f>
        <v>0.5</v>
      </c>
      <c r="G43" s="5">
        <f>0.2*$H43</f>
        <v>0.2</v>
      </c>
      <c r="H43" s="2">
        <v>1</v>
      </c>
      <c r="I43" s="2"/>
    </row>
    <row r="44" spans="1:10" x14ac:dyDescent="0.3">
      <c r="A44" s="1" t="s">
        <v>15</v>
      </c>
      <c r="B44" s="5">
        <f>7.6*$H44</f>
        <v>7.6</v>
      </c>
      <c r="C44" s="5">
        <f>0.9*$H44</f>
        <v>0.9</v>
      </c>
      <c r="D44" s="5">
        <f>0.5*$H44</f>
        <v>0.5</v>
      </c>
      <c r="E44" s="5">
        <f>0.4*$H44</f>
        <v>0.4</v>
      </c>
      <c r="F44" s="5">
        <f>0.2*$H44</f>
        <v>0.2</v>
      </c>
      <c r="G44" s="5">
        <f>0.1*$H44</f>
        <v>0.1</v>
      </c>
      <c r="H44" s="2">
        <v>1</v>
      </c>
      <c r="I44" s="2"/>
    </row>
    <row r="45" spans="1:10" x14ac:dyDescent="0.3">
      <c r="A45" s="1" t="s">
        <v>16</v>
      </c>
      <c r="B45" s="5">
        <f>(36/5)*$H45</f>
        <v>0</v>
      </c>
      <c r="C45" s="5">
        <f>(5/5)*$H45</f>
        <v>0</v>
      </c>
      <c r="D45" s="5">
        <f>(1.2/5)*$H45</f>
        <v>0</v>
      </c>
      <c r="E45" s="5">
        <f>(1.3/5)*$H45</f>
        <v>0</v>
      </c>
      <c r="F45" s="5">
        <f>(3/5)*$H45</f>
        <v>0</v>
      </c>
      <c r="G45" s="5">
        <f>(0.2/5)*$H45</f>
        <v>0</v>
      </c>
      <c r="I45" s="2"/>
    </row>
    <row r="46" spans="1:10" x14ac:dyDescent="0.3">
      <c r="A46" s="1" t="s">
        <v>17</v>
      </c>
      <c r="B46" s="5">
        <f>5*$H46</f>
        <v>0</v>
      </c>
      <c r="C46" s="5">
        <f>1*$H46</f>
        <v>0</v>
      </c>
      <c r="D46" s="5">
        <f>0*$H46</f>
        <v>0</v>
      </c>
      <c r="E46" s="5">
        <f>0*$H46</f>
        <v>0</v>
      </c>
      <c r="F46" s="5">
        <f>0*$H46</f>
        <v>0</v>
      </c>
      <c r="G46" s="5">
        <f>0*$H46</f>
        <v>0</v>
      </c>
      <c r="I46" s="2"/>
    </row>
    <row r="47" spans="1:10" x14ac:dyDescent="0.3">
      <c r="A47" s="1" t="s">
        <v>18</v>
      </c>
      <c r="B47" s="5">
        <f>10*$H47</f>
        <v>10</v>
      </c>
      <c r="C47" s="5">
        <f>2.3*$H47</f>
        <v>2.2999999999999998</v>
      </c>
      <c r="D47" s="5">
        <f>0*$H47</f>
        <v>0</v>
      </c>
      <c r="E47" s="5">
        <f>0.5*$H47</f>
        <v>0.5</v>
      </c>
      <c r="F47" s="5">
        <f>0.3*$H47</f>
        <v>0.3</v>
      </c>
      <c r="G47" s="5">
        <f>0.1*$H47</f>
        <v>0.1</v>
      </c>
      <c r="H47" s="2">
        <v>1</v>
      </c>
      <c r="I47" s="2"/>
    </row>
    <row r="48" spans="1:10" x14ac:dyDescent="0.3">
      <c r="A48" s="1" t="s">
        <v>19</v>
      </c>
      <c r="B48" s="5">
        <f>1.2*$H48</f>
        <v>0</v>
      </c>
      <c r="C48" s="5">
        <f>0.3*$H48</f>
        <v>0</v>
      </c>
      <c r="D48" s="5">
        <f>0*$H48</f>
        <v>0</v>
      </c>
      <c r="E48" s="5">
        <f>1*$H48</f>
        <v>0</v>
      </c>
      <c r="F48" s="5">
        <f>0*$H48</f>
        <v>0</v>
      </c>
      <c r="G48" s="5">
        <f>0*$H48</f>
        <v>0</v>
      </c>
      <c r="I48" s="2"/>
    </row>
    <row r="49" spans="1:9" x14ac:dyDescent="0.3">
      <c r="A49" s="1" t="s">
        <v>20</v>
      </c>
      <c r="B49" s="5">
        <f>6*$H49</f>
        <v>0</v>
      </c>
      <c r="C49" s="5">
        <f>1.3*$H49</f>
        <v>0</v>
      </c>
      <c r="D49" s="5">
        <f>0.1*$H49</f>
        <v>0</v>
      </c>
      <c r="E49" s="5">
        <f>0.2*$H49</f>
        <v>0</v>
      </c>
      <c r="F49" s="5">
        <f>0.3*$H49</f>
        <v>0</v>
      </c>
      <c r="G49" s="5">
        <f>0.1*$H49</f>
        <v>0</v>
      </c>
      <c r="I49" s="2"/>
    </row>
    <row r="50" spans="1:9" x14ac:dyDescent="0.3">
      <c r="A50" s="1" t="s">
        <v>21</v>
      </c>
      <c r="B50" s="5">
        <f>2.2*$H50</f>
        <v>0</v>
      </c>
      <c r="C50" s="5">
        <f>0.5*$H50</f>
        <v>0</v>
      </c>
      <c r="D50" s="5">
        <f>0.1*$H50</f>
        <v>0</v>
      </c>
      <c r="E50" s="5">
        <f>0.1*$H50</f>
        <v>0</v>
      </c>
      <c r="F50" s="5">
        <f>0.3*$H50</f>
        <v>0</v>
      </c>
      <c r="G50" s="5">
        <f>0*$H50</f>
        <v>0</v>
      </c>
      <c r="I50" s="2"/>
    </row>
    <row r="51" spans="1:9" x14ac:dyDescent="0.3">
      <c r="A51" s="1" t="s">
        <v>22</v>
      </c>
      <c r="B51" s="5">
        <f>0*$H51</f>
        <v>0</v>
      </c>
      <c r="C51" s="5">
        <f>0*$H51</f>
        <v>0</v>
      </c>
      <c r="D51" s="5">
        <f>0*$H51</f>
        <v>0</v>
      </c>
      <c r="E51" s="5">
        <f>0*$H51</f>
        <v>0</v>
      </c>
      <c r="F51" s="5">
        <f>0*$H51</f>
        <v>0</v>
      </c>
      <c r="G51" s="5">
        <f>0*$H51</f>
        <v>0</v>
      </c>
      <c r="I51" s="2"/>
    </row>
    <row r="52" spans="1:9" x14ac:dyDescent="0.3">
      <c r="A52" s="1" t="s">
        <v>23</v>
      </c>
      <c r="B52" s="5">
        <f>8.2*$H52</f>
        <v>0</v>
      </c>
      <c r="C52" s="5">
        <f>1.9*$H52</f>
        <v>0</v>
      </c>
      <c r="D52" s="5">
        <f>0*$H52</f>
        <v>0</v>
      </c>
      <c r="E52" s="5">
        <f>0.3*$H52</f>
        <v>0</v>
      </c>
      <c r="F52" s="5">
        <f>0.4*$H52</f>
        <v>0</v>
      </c>
      <c r="G52" s="5">
        <f>0.2*$H52</f>
        <v>0</v>
      </c>
      <c r="I52" s="2"/>
    </row>
    <row r="53" spans="1:9" x14ac:dyDescent="0.3">
      <c r="A53" s="1" t="s">
        <v>24</v>
      </c>
      <c r="B53" s="5">
        <f>2.7*$H53</f>
        <v>2.7</v>
      </c>
      <c r="C53" s="5">
        <f>0.7*$H53</f>
        <v>0.7</v>
      </c>
      <c r="D53" s="5">
        <f>0*$H53</f>
        <v>0</v>
      </c>
      <c r="E53" s="5">
        <f>0.1*$H53</f>
        <v>0.1</v>
      </c>
      <c r="F53" s="5">
        <f>0.4*$H53</f>
        <v>0.4</v>
      </c>
      <c r="G53" s="5">
        <f>0*$H53</f>
        <v>0</v>
      </c>
      <c r="H53" s="2">
        <v>1</v>
      </c>
      <c r="I53" s="2"/>
    </row>
    <row r="54" spans="1:9" x14ac:dyDescent="0.3">
      <c r="A54" s="1" t="s">
        <v>25</v>
      </c>
      <c r="B54" s="5">
        <f>6.5*$H54</f>
        <v>6.5</v>
      </c>
      <c r="C54" s="5">
        <f>1.2*$H54</f>
        <v>1.2</v>
      </c>
      <c r="D54" s="5">
        <f>0.3*$H54</f>
        <v>0.3</v>
      </c>
      <c r="E54" s="5">
        <f>0.3*$H54</f>
        <v>0.3</v>
      </c>
      <c r="F54" s="5">
        <f>0.8*$H54</f>
        <v>0.8</v>
      </c>
      <c r="G54" s="5">
        <f>0.2*$H54</f>
        <v>0.2</v>
      </c>
      <c r="H54" s="2">
        <v>1</v>
      </c>
      <c r="I54" s="2"/>
    </row>
    <row r="55" spans="1:9" x14ac:dyDescent="0.3">
      <c r="A55" s="1" t="s">
        <v>26</v>
      </c>
      <c r="B55" s="5">
        <f>1.5*$H55</f>
        <v>0</v>
      </c>
      <c r="C55" s="5">
        <f>0.3*$H55</f>
        <v>0</v>
      </c>
      <c r="D55" s="5">
        <f>0*$H55</f>
        <v>0</v>
      </c>
      <c r="E55" s="5">
        <f>0.1*$H55</f>
        <v>0</v>
      </c>
      <c r="F55" s="5">
        <f>0.1*$H55</f>
        <v>0</v>
      </c>
      <c r="G55" s="5">
        <f>0*$H55</f>
        <v>0</v>
      </c>
      <c r="I55" s="2"/>
    </row>
    <row r="56" spans="1:9" x14ac:dyDescent="0.3">
      <c r="A56" s="1" t="s">
        <v>27</v>
      </c>
      <c r="B56" s="5">
        <f>5.7*$H56</f>
        <v>5.7</v>
      </c>
      <c r="C56" s="5">
        <f>1*$H56</f>
        <v>1</v>
      </c>
      <c r="D56" s="5">
        <f>0.3*$H56</f>
        <v>0.3</v>
      </c>
      <c r="E56" s="5">
        <f>0.2*$H56</f>
        <v>0.2</v>
      </c>
      <c r="F56" s="5">
        <f>0.5*$H56</f>
        <v>0.5</v>
      </c>
      <c r="G56" s="5">
        <f>0.2*$H56</f>
        <v>0.2</v>
      </c>
      <c r="H56" s="2">
        <v>1</v>
      </c>
      <c r="I56" s="2"/>
    </row>
    <row r="57" spans="1:9" x14ac:dyDescent="0.3">
      <c r="A57" s="1" t="s">
        <v>28</v>
      </c>
      <c r="B57" s="5">
        <f t="shared" ref="B57:G57" si="5">0*$H57</f>
        <v>0</v>
      </c>
      <c r="C57" s="5">
        <f t="shared" si="5"/>
        <v>0</v>
      </c>
      <c r="D57" s="5">
        <f t="shared" si="5"/>
        <v>0</v>
      </c>
      <c r="E57" s="5">
        <f t="shared" si="5"/>
        <v>0</v>
      </c>
      <c r="F57" s="5">
        <f t="shared" si="5"/>
        <v>0</v>
      </c>
      <c r="G57" s="5">
        <f t="shared" si="5"/>
        <v>0</v>
      </c>
      <c r="I57" s="2"/>
    </row>
    <row r="58" spans="1:9" x14ac:dyDescent="0.3">
      <c r="A58" s="1" t="s">
        <v>29</v>
      </c>
      <c r="B58" s="5">
        <f>2.5*$H58</f>
        <v>0</v>
      </c>
      <c r="C58" s="5">
        <f>0.6*$H58</f>
        <v>0</v>
      </c>
      <c r="D58" s="5">
        <f>0.1*$H58</f>
        <v>0</v>
      </c>
      <c r="E58" s="5">
        <f>0.1*$H58</f>
        <v>0</v>
      </c>
      <c r="F58" s="5">
        <f>0.3*$H58</f>
        <v>0</v>
      </c>
      <c r="G58" s="5">
        <f>0*$H58</f>
        <v>0</v>
      </c>
      <c r="I58" s="2"/>
    </row>
    <row r="59" spans="1:9" x14ac:dyDescent="0.3">
      <c r="A59" s="1" t="s">
        <v>31</v>
      </c>
      <c r="B59" s="5">
        <f>0*$H59</f>
        <v>0</v>
      </c>
      <c r="C59" s="5">
        <f>0*$H59</f>
        <v>0</v>
      </c>
      <c r="D59" s="5">
        <f>0*$H59</f>
        <v>0</v>
      </c>
      <c r="E59" s="5">
        <f>0*$H59</f>
        <v>0</v>
      </c>
      <c r="F59" s="5">
        <f>0*$H59</f>
        <v>0</v>
      </c>
      <c r="G59" s="5">
        <f>0*$H59</f>
        <v>0</v>
      </c>
      <c r="I59" s="2"/>
    </row>
    <row r="60" spans="1:9" x14ac:dyDescent="0.3">
      <c r="A60" s="1" t="s">
        <v>33</v>
      </c>
      <c r="B60" s="5">
        <f>7.1*$H60</f>
        <v>0</v>
      </c>
      <c r="C60" s="5">
        <f>1.6*$H60</f>
        <v>0</v>
      </c>
      <c r="D60" s="5">
        <f>0.1*$H60</f>
        <v>0</v>
      </c>
      <c r="E60" s="5">
        <f>0.3*$H60</f>
        <v>0</v>
      </c>
      <c r="F60" s="5">
        <f>0.6*$H60</f>
        <v>0</v>
      </c>
      <c r="G60" s="5">
        <f>0*$H60</f>
        <v>0</v>
      </c>
      <c r="I60" s="2"/>
    </row>
    <row r="61" spans="1:9" x14ac:dyDescent="0.3">
      <c r="A61" s="1" t="s">
        <v>34</v>
      </c>
      <c r="B61" s="5">
        <f>SUBTOTAL(109,Table37[Calories])</f>
        <v>57.400000000000006</v>
      </c>
      <c r="C61" s="5">
        <f>SUBTOTAL(109,Table37[Carbs])</f>
        <v>11.399999999999999</v>
      </c>
      <c r="D61" s="5">
        <f>SUBTOTAL(109,Table37[Fat])</f>
        <v>1.7000000000000002</v>
      </c>
      <c r="E61" s="5">
        <f>SUBTOTAL(109,Table37[Protein])</f>
        <v>2.5</v>
      </c>
      <c r="F61" s="5">
        <f>SUBTOTAL(109,Table37[Fiber])</f>
        <v>4.8</v>
      </c>
      <c r="G61" s="5">
        <f>SUBTOTAL(109,Table37[Sugar])</f>
        <v>1</v>
      </c>
      <c r="H61" s="2">
        <f>SUBTOTAL(109,Table37[Serving by TSP])</f>
        <v>9</v>
      </c>
      <c r="I61" s="2"/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E6E6C-79DE-4F3A-B444-23FD70B813E9}">
  <sheetPr codeName="Sheet8"/>
  <dimension ref="A1:J63"/>
  <sheetViews>
    <sheetView zoomScaleNormal="100" workbookViewId="0"/>
  </sheetViews>
  <sheetFormatPr defaultColWidth="15.7109375" defaultRowHeight="18.75" x14ac:dyDescent="0.3"/>
  <cols>
    <col min="1" max="1" width="34" style="2" customWidth="1"/>
    <col min="2" max="2" width="18.85546875" style="2" customWidth="1"/>
    <col min="3" max="7" width="15.7109375" style="2"/>
    <col min="8" max="9" width="21.140625" style="2" customWidth="1"/>
    <col min="10" max="16384" width="15.7109375" style="2"/>
  </cols>
  <sheetData>
    <row r="1" spans="1:10" ht="20.100000000000001" customHeight="1" x14ac:dyDescent="0.3">
      <c r="A1" s="2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ht="20.100000000000001" customHeight="1" x14ac:dyDescent="0.3">
      <c r="A2" s="15" t="s">
        <v>209</v>
      </c>
      <c r="B2" s="16">
        <f>140*H2</f>
        <v>2016</v>
      </c>
      <c r="C2" s="16">
        <f>0*H2</f>
        <v>0</v>
      </c>
      <c r="D2" s="16">
        <f>7*H2</f>
        <v>100.8</v>
      </c>
      <c r="E2" s="16">
        <f>17.5*H2</f>
        <v>252</v>
      </c>
      <c r="F2" s="16">
        <f>0*H2</f>
        <v>0</v>
      </c>
      <c r="G2" s="16">
        <f>0*H2</f>
        <v>0</v>
      </c>
      <c r="H2" s="16">
        <f>(2.7*16)/3</f>
        <v>14.4</v>
      </c>
      <c r="I2" s="27" t="s">
        <v>210</v>
      </c>
      <c r="J2" s="29" t="b">
        <f>NOT(ISERROR(MATCH(A2,Index[Item],0)))</f>
        <v>1</v>
      </c>
    </row>
    <row r="3" spans="1:10" ht="34.5" customHeight="1" x14ac:dyDescent="0.3">
      <c r="A3" s="15" t="s">
        <v>211</v>
      </c>
      <c r="B3" s="16">
        <f>61.7*H3</f>
        <v>0</v>
      </c>
      <c r="C3" s="16">
        <f>0*H3</f>
        <v>0</v>
      </c>
      <c r="D3" s="16">
        <f>3.3*H3</f>
        <v>0</v>
      </c>
      <c r="E3" s="16">
        <f>7.3*H3</f>
        <v>0</v>
      </c>
      <c r="F3" s="16">
        <f>0*H3</f>
        <v>0</v>
      </c>
      <c r="G3" s="16">
        <f>0*H3</f>
        <v>0</v>
      </c>
      <c r="H3" s="16"/>
      <c r="I3" s="17" t="s">
        <v>212</v>
      </c>
      <c r="J3" s="16" t="b">
        <f>NOT(ISERROR(MATCH(A3,Index[Item],0)))</f>
        <v>1</v>
      </c>
    </row>
    <row r="4" spans="1:10" ht="20.100000000000001" customHeight="1" x14ac:dyDescent="0.3">
      <c r="A4" s="15" t="s">
        <v>543</v>
      </c>
      <c r="B4" s="16">
        <f>28*$H4</f>
        <v>28</v>
      </c>
      <c r="C4" s="16">
        <f>6.7*$H4</f>
        <v>6.7</v>
      </c>
      <c r="D4" s="16">
        <f>0.2*$H4</f>
        <v>0.2</v>
      </c>
      <c r="E4" s="16">
        <f>1.9*$H4</f>
        <v>1.9</v>
      </c>
      <c r="F4" s="16">
        <f>1.2*$H4</f>
        <v>1.2</v>
      </c>
      <c r="G4" s="16">
        <f>3.2*$H4</f>
        <v>3.2</v>
      </c>
      <c r="H4" s="16">
        <v>1</v>
      </c>
      <c r="I4" s="27" t="s">
        <v>96</v>
      </c>
      <c r="J4" s="16" t="b">
        <f>NOT(ISERROR(MATCH(A4,Index[Item],0)))</f>
        <v>1</v>
      </c>
    </row>
    <row r="5" spans="1:10" ht="20.100000000000001" customHeight="1" x14ac:dyDescent="0.3">
      <c r="A5" s="15" t="s">
        <v>27</v>
      </c>
      <c r="B5" s="16">
        <f>28*$H5</f>
        <v>0</v>
      </c>
      <c r="C5" s="16">
        <f>6.7*$H5</f>
        <v>0</v>
      </c>
      <c r="D5" s="16">
        <f>0.2*$H5</f>
        <v>0</v>
      </c>
      <c r="E5" s="16">
        <f>0.9*$H5</f>
        <v>0</v>
      </c>
      <c r="F5" s="16">
        <f>1.2*$H5</f>
        <v>0</v>
      </c>
      <c r="G5" s="16">
        <f>4.4*$H5</f>
        <v>0</v>
      </c>
      <c r="H5" s="16"/>
      <c r="I5" s="27" t="s">
        <v>96</v>
      </c>
      <c r="J5" s="16" t="b">
        <f>NOT(ISERROR(MATCH(A5,Index[Item],0)))</f>
        <v>1</v>
      </c>
    </row>
    <row r="6" spans="1:10" x14ac:dyDescent="0.3">
      <c r="A6" s="15" t="s">
        <v>102</v>
      </c>
      <c r="B6" s="16">
        <f>44*$H6</f>
        <v>44</v>
      </c>
      <c r="C6" s="16">
        <f>10*$H6</f>
        <v>10</v>
      </c>
      <c r="D6" s="16">
        <f>0.2*$H6</f>
        <v>0.2</v>
      </c>
      <c r="E6" s="16">
        <f>1.4*$H6</f>
        <v>1.4</v>
      </c>
      <c r="F6" s="16">
        <f>1.4*$H6</f>
        <v>1.4</v>
      </c>
      <c r="G6" s="16">
        <f>4.7*$H6</f>
        <v>4.7</v>
      </c>
      <c r="H6" s="16">
        <v>1</v>
      </c>
      <c r="I6" s="27" t="s">
        <v>96</v>
      </c>
      <c r="J6" s="16" t="b">
        <f>NOT(ISERROR(MATCH(A6,Index[Item],0)))</f>
        <v>1</v>
      </c>
    </row>
    <row r="7" spans="1:10" x14ac:dyDescent="0.3">
      <c r="A7" s="15" t="s">
        <v>95</v>
      </c>
      <c r="B7" s="16">
        <f>32*$H7</f>
        <v>0</v>
      </c>
      <c r="C7" s="16">
        <f>7.3*$H7</f>
        <v>0</v>
      </c>
      <c r="D7" s="16">
        <f>0.2*$H7</f>
        <v>0</v>
      </c>
      <c r="E7" s="16">
        <f>1.8*$H7</f>
        <v>0</v>
      </c>
      <c r="F7" s="16">
        <f t="shared" ref="F7" si="0">2.7*$H7</f>
        <v>0</v>
      </c>
      <c r="G7" s="16">
        <f>2.3*$H7</f>
        <v>0</v>
      </c>
      <c r="H7" s="16"/>
      <c r="I7" s="27" t="s">
        <v>96</v>
      </c>
      <c r="J7" s="16" t="b">
        <f>NOT(ISERROR(MATCH(A7,Index[Item],0)))</f>
        <v>1</v>
      </c>
    </row>
    <row r="8" spans="1:10" ht="20.100000000000001" customHeight="1" x14ac:dyDescent="0.3">
      <c r="A8" s="15" t="s">
        <v>101</v>
      </c>
      <c r="B8" s="16">
        <f>29*$H8</f>
        <v>29</v>
      </c>
      <c r="C8" s="16">
        <f>6.5*$H8</f>
        <v>6.5</v>
      </c>
      <c r="D8" s="16">
        <f>0.4*$H8</f>
        <v>0.4</v>
      </c>
      <c r="E8" s="16">
        <f>0.9*$H8</f>
        <v>0.9</v>
      </c>
      <c r="F8" s="16">
        <f>2.8*$H8</f>
        <v>2.8</v>
      </c>
      <c r="G8" s="16">
        <f>4.1*$H8</f>
        <v>4.0999999999999996</v>
      </c>
      <c r="H8" s="16">
        <v>1</v>
      </c>
      <c r="I8" s="27" t="s">
        <v>96</v>
      </c>
      <c r="J8" s="16" t="b">
        <f>NOT(ISERROR(MATCH(A8,Index[Item],0)))</f>
        <v>1</v>
      </c>
    </row>
    <row r="9" spans="1:10" ht="20.100000000000001" customHeight="1" x14ac:dyDescent="0.3">
      <c r="A9" s="15" t="s">
        <v>557</v>
      </c>
      <c r="B9" s="16">
        <f>20*$H9</f>
        <v>20</v>
      </c>
      <c r="C9" s="16">
        <f>5*$H9</f>
        <v>5</v>
      </c>
      <c r="D9" s="16">
        <f>0*$H9</f>
        <v>0</v>
      </c>
      <c r="E9" s="16">
        <f>1*$H9</f>
        <v>1</v>
      </c>
      <c r="F9" s="16">
        <f>2*$H9</f>
        <v>2</v>
      </c>
      <c r="G9" s="16">
        <f>2*$H9</f>
        <v>2</v>
      </c>
      <c r="H9" s="16">
        <v>1</v>
      </c>
      <c r="I9" s="27" t="s">
        <v>96</v>
      </c>
      <c r="J9" s="16" t="b">
        <f>NOT(ISERROR(MATCH(A9,Index[Item],0)))</f>
        <v>1</v>
      </c>
    </row>
    <row r="10" spans="1:10" ht="19.5" customHeight="1" x14ac:dyDescent="0.3">
      <c r="A10" s="15" t="s">
        <v>100</v>
      </c>
      <c r="B10" s="16">
        <f>27*$H10</f>
        <v>0</v>
      </c>
      <c r="C10" s="16">
        <f>5.4*$H10</f>
        <v>0</v>
      </c>
      <c r="D10" s="16">
        <f>0.5*$H10</f>
        <v>0</v>
      </c>
      <c r="E10" s="16">
        <f>1.7*$H10</f>
        <v>0</v>
      </c>
      <c r="F10" s="16">
        <f>3.4*$H10</f>
        <v>0</v>
      </c>
      <c r="G10" s="16">
        <f>2*$H10</f>
        <v>0</v>
      </c>
      <c r="H10" s="16"/>
      <c r="I10" s="27" t="s">
        <v>96</v>
      </c>
      <c r="J10" s="16" t="b">
        <f>NOT(ISERROR(MATCH(A10,Index[Item],0)))</f>
        <v>1</v>
      </c>
    </row>
    <row r="11" spans="1:10" ht="19.5" customHeight="1" x14ac:dyDescent="0.3">
      <c r="A11" s="15" t="s">
        <v>59</v>
      </c>
      <c r="B11" s="16">
        <f>266*$H11</f>
        <v>570.25418060200673</v>
      </c>
      <c r="C11" s="16">
        <f>59*$H11</f>
        <v>126.48494983277592</v>
      </c>
      <c r="D11" s="16">
        <f>0.5*$H11</f>
        <v>1.0719063545150502</v>
      </c>
      <c r="E11" s="16">
        <f>6.9*$H11</f>
        <v>14.792307692307695</v>
      </c>
      <c r="F11" s="16">
        <f>5.4*$H11</f>
        <v>11.576588628762543</v>
      </c>
      <c r="G11" s="16">
        <f>4.3*$H11</f>
        <v>9.218394648829431</v>
      </c>
      <c r="H11" s="16">
        <f>641/299</f>
        <v>2.1438127090301005</v>
      </c>
      <c r="I11" s="27" t="s">
        <v>145</v>
      </c>
      <c r="J11" s="16" t="b">
        <f>NOT(ISERROR(MATCH(A11,Index[Item],0)))</f>
        <v>1</v>
      </c>
    </row>
    <row r="12" spans="1:10" ht="19.5" customHeight="1" x14ac:dyDescent="0.3">
      <c r="A12" s="15" t="s">
        <v>146</v>
      </c>
      <c r="B12" s="16">
        <f>119*$H12</f>
        <v>0</v>
      </c>
      <c r="C12" s="16">
        <f>27*$H12</f>
        <v>0</v>
      </c>
      <c r="D12" s="16">
        <f>0.12*$H12</f>
        <v>0</v>
      </c>
      <c r="E12" s="16">
        <f>3.21*$H12</f>
        <v>0</v>
      </c>
      <c r="F12" s="16">
        <f>2*$H12</f>
        <v>0</v>
      </c>
      <c r="G12" s="16">
        <f>1*$H12</f>
        <v>0</v>
      </c>
      <c r="H12" s="16"/>
      <c r="I12" s="27" t="s">
        <v>147</v>
      </c>
      <c r="J12" s="16" t="b">
        <f>NOT(ISERROR(MATCH(A12,Index[Item],0)))</f>
        <v>1</v>
      </c>
    </row>
    <row r="13" spans="1:10" ht="20.100000000000001" customHeight="1" x14ac:dyDescent="0.3">
      <c r="A13" s="15" t="s">
        <v>303</v>
      </c>
      <c r="B13" s="16">
        <f>30*$H13</f>
        <v>0</v>
      </c>
      <c r="C13" s="16">
        <f>0*$H13</f>
        <v>0</v>
      </c>
      <c r="D13" s="16">
        <f t="shared" ref="D13:F13" si="1">0*$H13</f>
        <v>0</v>
      </c>
      <c r="E13" s="16">
        <f t="shared" si="1"/>
        <v>0</v>
      </c>
      <c r="F13" s="16">
        <f t="shared" si="1"/>
        <v>0</v>
      </c>
      <c r="G13" s="16">
        <f>8*$H13</f>
        <v>0</v>
      </c>
      <c r="H13" s="16"/>
      <c r="I13" s="27" t="s">
        <v>304</v>
      </c>
      <c r="J13" s="16" t="b">
        <f>NOT(ISERROR(MATCH(A13,Index[Item],0)))</f>
        <v>1</v>
      </c>
    </row>
    <row r="14" spans="1:10" ht="20.100000000000001" customHeight="1" x14ac:dyDescent="0.3">
      <c r="A14" s="15" t="s">
        <v>306</v>
      </c>
      <c r="B14" s="16">
        <f>60*$H14</f>
        <v>0</v>
      </c>
      <c r="C14" s="16">
        <f>16*$H14</f>
        <v>0</v>
      </c>
      <c r="D14" s="16">
        <f t="shared" ref="D14:E16" si="2">0*$H14</f>
        <v>0</v>
      </c>
      <c r="E14" s="16">
        <f t="shared" si="2"/>
        <v>0</v>
      </c>
      <c r="F14" s="16">
        <f>1*$H14</f>
        <v>0</v>
      </c>
      <c r="G14" s="16">
        <f>15*$H14</f>
        <v>0</v>
      </c>
      <c r="H14" s="16"/>
      <c r="I14" s="27" t="s">
        <v>307</v>
      </c>
      <c r="J14" s="16" t="b">
        <f>NOT(ISERROR(MATCH(A14,Index[Item],0)))</f>
        <v>1</v>
      </c>
    </row>
    <row r="15" spans="1:10" ht="20.100000000000001" customHeight="1" x14ac:dyDescent="0.3">
      <c r="A15" s="15" t="s">
        <v>308</v>
      </c>
      <c r="B15" s="16">
        <f>60*$H15</f>
        <v>0</v>
      </c>
      <c r="C15" s="16">
        <f>17*$H15</f>
        <v>0</v>
      </c>
      <c r="D15" s="16">
        <f t="shared" si="2"/>
        <v>0</v>
      </c>
      <c r="E15" s="16">
        <f t="shared" si="2"/>
        <v>0</v>
      </c>
      <c r="F15" s="16">
        <f>0*$H15</f>
        <v>0</v>
      </c>
      <c r="G15" s="16">
        <f>17*$H15</f>
        <v>0</v>
      </c>
      <c r="H15" s="16"/>
      <c r="I15" s="27" t="s">
        <v>309</v>
      </c>
      <c r="J15" s="16" t="b">
        <f>NOT(ISERROR(MATCH(A15,Index[Item],0)))</f>
        <v>1</v>
      </c>
    </row>
    <row r="16" spans="1:10" ht="20.100000000000001" customHeight="1" x14ac:dyDescent="0.3">
      <c r="A16" s="15" t="s">
        <v>311</v>
      </c>
      <c r="B16" s="16">
        <f>32*$H16</f>
        <v>0</v>
      </c>
      <c r="C16" s="16">
        <f>0*$H16</f>
        <v>0</v>
      </c>
      <c r="D16" s="16">
        <f t="shared" si="2"/>
        <v>0</v>
      </c>
      <c r="E16" s="16">
        <f t="shared" si="2"/>
        <v>0</v>
      </c>
      <c r="F16" s="16">
        <f>0*$H16</f>
        <v>0</v>
      </c>
      <c r="G16" s="16">
        <f>0*$H16</f>
        <v>0</v>
      </c>
      <c r="H16" s="16"/>
      <c r="I16" s="27" t="s">
        <v>312</v>
      </c>
      <c r="J16" s="16" t="b">
        <f>NOT(ISERROR(MATCH(A16,Index[Item],0)))</f>
        <v>1</v>
      </c>
    </row>
    <row r="17" spans="1:10" ht="20.100000000000001" customHeight="1" x14ac:dyDescent="0.3">
      <c r="A17" s="15" t="s">
        <v>317</v>
      </c>
      <c r="B17" s="16">
        <f>120*$H17</f>
        <v>0</v>
      </c>
      <c r="C17" s="16">
        <f>0*$H17</f>
        <v>0</v>
      </c>
      <c r="D17" s="16">
        <f>14*$H17</f>
        <v>0</v>
      </c>
      <c r="E17" s="16">
        <f t="shared" ref="E17:G18" si="3">0*$H17</f>
        <v>0</v>
      </c>
      <c r="F17" s="16">
        <f t="shared" si="3"/>
        <v>0</v>
      </c>
      <c r="G17" s="16">
        <f t="shared" si="3"/>
        <v>0</v>
      </c>
      <c r="H17" s="16"/>
      <c r="I17" s="27" t="s">
        <v>307</v>
      </c>
      <c r="J17" s="16" t="b">
        <f>NOT(ISERROR(MATCH(A17,Index[Item],0)))</f>
        <v>1</v>
      </c>
    </row>
    <row r="18" spans="1:10" ht="20.100000000000001" customHeight="1" x14ac:dyDescent="0.3">
      <c r="A18" s="15" t="s">
        <v>338</v>
      </c>
      <c r="B18" s="16">
        <f>120*$H18</f>
        <v>0</v>
      </c>
      <c r="C18" s="16">
        <f>0*$H18</f>
        <v>0</v>
      </c>
      <c r="D18" s="16">
        <f>14*$H18</f>
        <v>0</v>
      </c>
      <c r="E18" s="16">
        <f>0*$H18</f>
        <v>0</v>
      </c>
      <c r="F18" s="16">
        <f t="shared" si="3"/>
        <v>0</v>
      </c>
      <c r="G18" s="16">
        <f>0*$H18</f>
        <v>0</v>
      </c>
      <c r="H18" s="16"/>
      <c r="I18" s="27" t="s">
        <v>307</v>
      </c>
      <c r="J18" s="16" t="b">
        <f>NOT(ISERROR(MATCH(A18,Index[Item],0)))</f>
        <v>1</v>
      </c>
    </row>
    <row r="19" spans="1:10" ht="20.100000000000001" customHeight="1" x14ac:dyDescent="0.3">
      <c r="A19" s="15" t="s">
        <v>310</v>
      </c>
      <c r="B19" s="16">
        <f>25*$H19</f>
        <v>0</v>
      </c>
      <c r="C19" s="16">
        <f>5*$H19</f>
        <v>0</v>
      </c>
      <c r="D19" s="16">
        <f>0*$H19</f>
        <v>0</v>
      </c>
      <c r="E19" s="16">
        <f>0.5*$H19</f>
        <v>0</v>
      </c>
      <c r="F19" s="16">
        <f>0*$H19</f>
        <v>0</v>
      </c>
      <c r="G19" s="16">
        <f>3*$H19</f>
        <v>0</v>
      </c>
      <c r="H19" s="16"/>
      <c r="I19" s="27" t="s">
        <v>307</v>
      </c>
      <c r="J19" s="16" t="b">
        <f>NOT(ISERROR(MATCH(A19,Index[Item],0)))</f>
        <v>1</v>
      </c>
    </row>
    <row r="20" spans="1:10" ht="20.100000000000001" customHeight="1" x14ac:dyDescent="0.3">
      <c r="A20" s="15" t="s">
        <v>318</v>
      </c>
      <c r="B20" s="16">
        <f>10*$H20</f>
        <v>0</v>
      </c>
      <c r="C20" s="16">
        <f>1*$H20</f>
        <v>0</v>
      </c>
      <c r="D20" s="16">
        <f>0*$H20</f>
        <v>0</v>
      </c>
      <c r="E20" s="16">
        <f>1*$H20</f>
        <v>0</v>
      </c>
      <c r="F20" s="16">
        <f>0*$H20</f>
        <v>0</v>
      </c>
      <c r="G20" s="16">
        <f>0*$H20</f>
        <v>0</v>
      </c>
      <c r="H20" s="16"/>
      <c r="I20" s="27" t="s">
        <v>307</v>
      </c>
      <c r="J20" s="16" t="b">
        <f>NOT(ISERROR(MATCH(A20,Index[Item],0)))</f>
        <v>1</v>
      </c>
    </row>
    <row r="21" spans="1:10" ht="20.100000000000001" customHeight="1" x14ac:dyDescent="0.3">
      <c r="A21" s="15" t="s">
        <v>314</v>
      </c>
      <c r="B21" s="16">
        <f>90*$H21</f>
        <v>0</v>
      </c>
      <c r="C21" s="16">
        <f>20*$H21</f>
        <v>0</v>
      </c>
      <c r="D21" s="16">
        <f>1*$H21</f>
        <v>0</v>
      </c>
      <c r="E21" s="16">
        <f>0*$H21</f>
        <v>0</v>
      </c>
      <c r="F21" s="16">
        <f>0*$H21</f>
        <v>0</v>
      </c>
      <c r="G21" s="16">
        <f>18*$H21</f>
        <v>0</v>
      </c>
      <c r="H21" s="16"/>
      <c r="I21" s="27" t="s">
        <v>315</v>
      </c>
      <c r="J21" s="19" t="b">
        <f>NOT(ISERROR(MATCH(A21,Index[Item],0)))</f>
        <v>1</v>
      </c>
    </row>
    <row r="22" spans="1:10" ht="20.100000000000001" customHeight="1" x14ac:dyDescent="0.3">
      <c r="A22" s="15" t="s">
        <v>111</v>
      </c>
      <c r="B22" s="16">
        <f>4.5*$H22</f>
        <v>75</v>
      </c>
      <c r="C22" s="16">
        <f>1*$H22</f>
        <v>16.666666666666668</v>
      </c>
      <c r="D22" s="16">
        <f>0*$H22</f>
        <v>0</v>
      </c>
      <c r="E22" s="16">
        <f>0.2*$H22</f>
        <v>3.3333333333333339</v>
      </c>
      <c r="F22" s="16">
        <f>0.1*$H22</f>
        <v>1.666666666666667</v>
      </c>
      <c r="G22" s="16">
        <f>0*$H22</f>
        <v>0</v>
      </c>
      <c r="H22" s="16">
        <f>50/3</f>
        <v>16.666666666666668</v>
      </c>
      <c r="I22" s="27" t="s">
        <v>112</v>
      </c>
      <c r="J22" s="16" t="b">
        <f>NOT(ISERROR(MATCH(A22,Index[Item],0)))</f>
        <v>1</v>
      </c>
    </row>
    <row r="23" spans="1:10" ht="20.100000000000001" customHeight="1" x14ac:dyDescent="0.3">
      <c r="A23" s="18" t="s">
        <v>481</v>
      </c>
      <c r="B23" s="19">
        <f>Table28[[#Totals],[Calories]]</f>
        <v>231.19999999999993</v>
      </c>
      <c r="C23" s="19">
        <f>Table28[[#Totals],[Carbs]]</f>
        <v>41.8</v>
      </c>
      <c r="D23" s="19">
        <f>Table28[[#Totals],[Fat]]</f>
        <v>7.6999999999999993</v>
      </c>
      <c r="E23" s="19">
        <f>Table28[[#Totals],[Protein]]</f>
        <v>14.000000000000002</v>
      </c>
      <c r="F23" s="19">
        <f>Table28[[#Totals],[Fiber]]</f>
        <v>14.300000000000004</v>
      </c>
      <c r="G23" s="19">
        <f>Table28[[#Totals],[Sugar]]</f>
        <v>3.9000000000000008</v>
      </c>
      <c r="H23" s="19">
        <f>Table28[[#Totals],[Serving by TSP]]</f>
        <v>35</v>
      </c>
      <c r="I23" s="18"/>
      <c r="J23" s="16" t="b">
        <f>NOT(ISERROR(MATCH(A23,Index[Item],0)))</f>
        <v>1</v>
      </c>
    </row>
    <row r="24" spans="1:10" ht="37.5" customHeight="1" x14ac:dyDescent="0.3">
      <c r="A24" s="20" t="s">
        <v>544</v>
      </c>
      <c r="B24" s="21">
        <f>SUBTOTAL(109,Roast[Calories])/Roast[[#Totals],[Measurement]]</f>
        <v>502.24236343366778</v>
      </c>
      <c r="C24" s="21">
        <f>SUBTOTAL(109,Roast[Carbs])/Roast[[#Totals],[Measurement]]</f>
        <v>35.525269416573764</v>
      </c>
      <c r="D24" s="21">
        <f>SUBTOTAL(109,Roast[[Fat ]])/Roast[[#Totals],[Measurement]]</f>
        <v>18.395317725752509</v>
      </c>
      <c r="E24" s="21">
        <f>SUBTOTAL(109,Roast[Protein])/Roast[[#Totals],[Measurement]]</f>
        <v>48.220940170940167</v>
      </c>
      <c r="F24" s="21">
        <f>SUBTOTAL(109,Roast[Fiber])/Roast[[#Totals],[Measurement]]</f>
        <v>5.8238758825715351</v>
      </c>
      <c r="G24" s="21">
        <f>SUBTOTAL(109,Roast[Sugar])/Roast[[#Totals],[Measurement]]</f>
        <v>4.5197324414715725</v>
      </c>
      <c r="H24" s="21">
        <f>SUBTOTAL(109,Roast[Servings])/Roast[[#Totals],[Measurement]]</f>
        <v>12.03507989594946</v>
      </c>
      <c r="I24" s="22" t="s">
        <v>545</v>
      </c>
      <c r="J24" s="71"/>
    </row>
    <row r="25" spans="1:10" ht="20.100000000000001" customHeight="1" x14ac:dyDescent="0.3"/>
    <row r="26" spans="1:10" ht="20.100000000000001" customHeight="1" x14ac:dyDescent="0.3">
      <c r="A26" s="28" t="s">
        <v>35</v>
      </c>
      <c r="B26" s="29" t="s">
        <v>1</v>
      </c>
      <c r="C26" s="29" t="s">
        <v>2</v>
      </c>
      <c r="D26" s="29" t="s">
        <v>36</v>
      </c>
      <c r="E26" s="29" t="s">
        <v>4</v>
      </c>
      <c r="F26" s="29" t="s">
        <v>5</v>
      </c>
      <c r="G26" s="29" t="s">
        <v>6</v>
      </c>
      <c r="H26" s="29" t="s">
        <v>37</v>
      </c>
      <c r="I26" s="17" t="s">
        <v>38</v>
      </c>
    </row>
    <row r="27" spans="1:10" ht="20.100000000000001" customHeight="1" x14ac:dyDescent="0.3">
      <c r="A27" s="15" t="s">
        <v>59</v>
      </c>
      <c r="B27" s="16">
        <f>266*$H27</f>
        <v>0</v>
      </c>
      <c r="C27" s="16">
        <f>59*$H27</f>
        <v>0</v>
      </c>
      <c r="D27" s="16">
        <f>0.5*$H27</f>
        <v>0</v>
      </c>
      <c r="E27" s="16">
        <f>6.9*$H27</f>
        <v>0</v>
      </c>
      <c r="F27" s="16">
        <f>5.4*$H27</f>
        <v>0</v>
      </c>
      <c r="G27" s="16">
        <f>4.3*$H27</f>
        <v>0</v>
      </c>
      <c r="H27" s="16"/>
      <c r="I27" s="27" t="s">
        <v>145</v>
      </c>
      <c r="J27" s="2" t="b">
        <f>NOT(ISERROR(MATCH(A27,Index[Item],0)))</f>
        <v>1</v>
      </c>
    </row>
    <row r="28" spans="1:10" ht="20.100000000000001" customHeight="1" x14ac:dyDescent="0.3">
      <c r="A28" s="15" t="s">
        <v>543</v>
      </c>
      <c r="B28" s="16">
        <f>28*$H28</f>
        <v>0</v>
      </c>
      <c r="C28" s="16">
        <f>6.7*$H28</f>
        <v>0</v>
      </c>
      <c r="D28" s="16">
        <f>0.2*$H28</f>
        <v>0</v>
      </c>
      <c r="E28" s="16">
        <f>1.9*$H28</f>
        <v>0</v>
      </c>
      <c r="F28" s="16">
        <f>1.2*$H28</f>
        <v>0</v>
      </c>
      <c r="G28" s="16">
        <f>3.2*$H28</f>
        <v>0</v>
      </c>
      <c r="H28" s="16"/>
      <c r="I28" s="27" t="s">
        <v>96</v>
      </c>
      <c r="J28" s="2" t="b">
        <f>NOT(ISERROR(MATCH(A28,Index[Item],0)))</f>
        <v>1</v>
      </c>
    </row>
    <row r="29" spans="1:10" ht="20.100000000000001" customHeight="1" x14ac:dyDescent="0.3">
      <c r="A29" s="15" t="s">
        <v>27</v>
      </c>
      <c r="B29" s="16">
        <f>28*$H29</f>
        <v>0</v>
      </c>
      <c r="C29" s="16">
        <f>6.7*$H29</f>
        <v>0</v>
      </c>
      <c r="D29" s="16">
        <f>0.2*$H29</f>
        <v>0</v>
      </c>
      <c r="E29" s="16">
        <f>0.9*$H29</f>
        <v>0</v>
      </c>
      <c r="F29" s="16">
        <f>1.2*$H29</f>
        <v>0</v>
      </c>
      <c r="G29" s="16">
        <f>4.4*$H29</f>
        <v>0</v>
      </c>
      <c r="H29" s="16"/>
      <c r="I29" s="27" t="s">
        <v>96</v>
      </c>
      <c r="J29" s="2" t="b">
        <f>NOT(ISERROR(MATCH(A29,Index[Item],0)))</f>
        <v>1</v>
      </c>
    </row>
    <row r="30" spans="1:10" ht="20.100000000000001" customHeight="1" x14ac:dyDescent="0.3">
      <c r="A30" s="15" t="s">
        <v>102</v>
      </c>
      <c r="B30" s="16">
        <f>44*$H30</f>
        <v>0</v>
      </c>
      <c r="C30" s="16">
        <f>10*$H30</f>
        <v>0</v>
      </c>
      <c r="D30" s="16">
        <f>0.2*$H30</f>
        <v>0</v>
      </c>
      <c r="E30" s="16">
        <f>1.4*$H30</f>
        <v>0</v>
      </c>
      <c r="F30" s="16">
        <f>1.4*$H30</f>
        <v>0</v>
      </c>
      <c r="G30" s="16">
        <f>4.7*$H30</f>
        <v>0</v>
      </c>
      <c r="H30" s="16"/>
      <c r="I30" s="27" t="s">
        <v>96</v>
      </c>
      <c r="J30" s="2" t="b">
        <f>NOT(ISERROR(MATCH(A30,Index[Item],0)))</f>
        <v>1</v>
      </c>
    </row>
    <row r="31" spans="1:10" ht="20.100000000000001" customHeight="1" x14ac:dyDescent="0.3">
      <c r="A31" s="15" t="s">
        <v>95</v>
      </c>
      <c r="B31" s="16">
        <f>32*$H31</f>
        <v>0</v>
      </c>
      <c r="C31" s="16">
        <f>7.3*$H31</f>
        <v>0</v>
      </c>
      <c r="D31" s="16">
        <f>0.2*$H31</f>
        <v>0</v>
      </c>
      <c r="E31" s="16">
        <f>1.8*$H31</f>
        <v>0</v>
      </c>
      <c r="F31" s="16">
        <f t="shared" ref="F31" si="4">2.7*$H31</f>
        <v>0</v>
      </c>
      <c r="G31" s="16">
        <f>2.3*$H31</f>
        <v>0</v>
      </c>
      <c r="H31" s="16"/>
      <c r="I31" s="27" t="s">
        <v>96</v>
      </c>
      <c r="J31" s="2" t="b">
        <f>NOT(ISERROR(MATCH(A31,Index[Item],0)))</f>
        <v>1</v>
      </c>
    </row>
    <row r="32" spans="1:10" ht="20.100000000000001" customHeight="1" x14ac:dyDescent="0.3">
      <c r="A32" s="15" t="s">
        <v>101</v>
      </c>
      <c r="B32" s="16">
        <f>29*$H32</f>
        <v>0</v>
      </c>
      <c r="C32" s="16">
        <f>6.5*$H32</f>
        <v>0</v>
      </c>
      <c r="D32" s="16">
        <f>0.4*$H32</f>
        <v>0</v>
      </c>
      <c r="E32" s="16">
        <f>0.9*$H32</f>
        <v>0</v>
      </c>
      <c r="F32" s="16">
        <f>2.8*$H32</f>
        <v>0</v>
      </c>
      <c r="G32" s="16">
        <f>4.1*$H32</f>
        <v>0</v>
      </c>
      <c r="H32" s="16"/>
      <c r="I32" s="27" t="s">
        <v>96</v>
      </c>
      <c r="J32" s="2" t="b">
        <f>NOT(ISERROR(MATCH(A32,Index[Item],0)))</f>
        <v>1</v>
      </c>
    </row>
    <row r="33" spans="1:10" ht="20.100000000000001" customHeight="1" x14ac:dyDescent="0.3">
      <c r="A33" s="15" t="s">
        <v>100</v>
      </c>
      <c r="B33" s="16">
        <f>27*$H33</f>
        <v>0</v>
      </c>
      <c r="C33" s="16">
        <f>5.4*$H33</f>
        <v>0</v>
      </c>
      <c r="D33" s="16">
        <f>0.5*$H33</f>
        <v>0</v>
      </c>
      <c r="E33" s="16">
        <f>1.7*$H33</f>
        <v>0</v>
      </c>
      <c r="F33" s="16">
        <f>3.4*$H33</f>
        <v>0</v>
      </c>
      <c r="G33" s="16">
        <f>2*$H33</f>
        <v>0</v>
      </c>
      <c r="H33" s="16"/>
      <c r="I33" s="27" t="s">
        <v>96</v>
      </c>
      <c r="J33" s="2" t="b">
        <f>NOT(ISERROR(MATCH(A33,Index[Item],0)))</f>
        <v>1</v>
      </c>
    </row>
    <row r="34" spans="1:10" ht="20.100000000000001" customHeight="1" x14ac:dyDescent="0.3">
      <c r="A34" s="18" t="s">
        <v>111</v>
      </c>
      <c r="B34" s="19">
        <f>4.5*$H34</f>
        <v>0</v>
      </c>
      <c r="C34" s="19">
        <f>1*$H34</f>
        <v>0</v>
      </c>
      <c r="D34" s="19">
        <f>0*$H34</f>
        <v>0</v>
      </c>
      <c r="E34" s="19">
        <f>0.2*$H34</f>
        <v>0</v>
      </c>
      <c r="F34" s="19">
        <f>0.1*$H34</f>
        <v>0</v>
      </c>
      <c r="G34" s="19">
        <f>0*$H34</f>
        <v>0</v>
      </c>
      <c r="H34" s="19"/>
      <c r="I34" s="33" t="s">
        <v>112</v>
      </c>
      <c r="J34" s="2" t="b">
        <f>NOT(ISERROR(MATCH(A34,Index[Item],0)))</f>
        <v>1</v>
      </c>
    </row>
    <row r="35" spans="1:10" ht="39" customHeight="1" x14ac:dyDescent="0.3">
      <c r="A35" s="30" t="s">
        <v>481</v>
      </c>
      <c r="B35" s="31">
        <f>Table28[[#Totals],[Calories]]</f>
        <v>231.19999999999993</v>
      </c>
      <c r="C35" s="31">
        <f>Table28[[#Totals],[Carbs]]</f>
        <v>41.8</v>
      </c>
      <c r="D35" s="31">
        <f>Table28[[#Totals],[Fat]]</f>
        <v>7.6999999999999993</v>
      </c>
      <c r="E35" s="31">
        <f>Table28[[#Totals],[Protein]]</f>
        <v>14.000000000000002</v>
      </c>
      <c r="F35" s="31">
        <f>Table28[[#Totals],[Fiber]]</f>
        <v>14.300000000000004</v>
      </c>
      <c r="G35" s="31">
        <f>Table28[[#Totals],[Sugar]]</f>
        <v>3.9000000000000008</v>
      </c>
      <c r="H35" s="31">
        <f>Table28[[#Totals],[Serving by TSP]]</f>
        <v>35</v>
      </c>
      <c r="I35" s="30"/>
      <c r="J35" s="2" t="b">
        <f>NOT(ISERROR(MATCH(A35,Index[Item],0)))</f>
        <v>1</v>
      </c>
    </row>
    <row r="36" spans="1:10" ht="20.100000000000001" customHeight="1" x14ac:dyDescent="0.3">
      <c r="A36" s="2" t="s">
        <v>544</v>
      </c>
      <c r="B36" s="5">
        <f>SUBTOTAL(109,Potatoes[Calories])/Potatoes[[#Totals],[Measurement]]</f>
        <v>57.799999999999983</v>
      </c>
      <c r="C36" s="5">
        <f>SUBTOTAL(109,Potatoes[Carbs])/Potatoes[[#Totals],[Measurement]]</f>
        <v>10.45</v>
      </c>
      <c r="D36" s="5">
        <f>SUBTOTAL(109,Potatoes[[Fat ]])/Potatoes[[#Totals],[Measurement]]</f>
        <v>1.9249999999999998</v>
      </c>
      <c r="E36" s="5">
        <f>SUBTOTAL(109,Potatoes[Protein])/Potatoes[[#Totals],[Measurement]]</f>
        <v>3.5000000000000004</v>
      </c>
      <c r="F36" s="5">
        <f>SUBTOTAL(109,Potatoes[Fiber])/Potatoes[[#Totals],[Measurement]]</f>
        <v>3.5750000000000011</v>
      </c>
      <c r="G36" s="5">
        <f>SUBTOTAL(109,Potatoes[Sugar])/Potatoes[[#Totals],[Measurement]]</f>
        <v>0.9750000000000002</v>
      </c>
      <c r="H36" s="5">
        <f>SUBTOTAL(109,Potatoes[Servings])/Potatoes[[#Totals],[Measurement]]</f>
        <v>8.75</v>
      </c>
      <c r="I36" s="2" t="s">
        <v>546</v>
      </c>
    </row>
    <row r="38" spans="1:10" x14ac:dyDescent="0.3">
      <c r="A38" s="10" t="s">
        <v>0</v>
      </c>
      <c r="B38" s="11" t="s">
        <v>1</v>
      </c>
      <c r="C38" s="11" t="s">
        <v>2</v>
      </c>
      <c r="D38" s="11" t="s">
        <v>3</v>
      </c>
      <c r="E38" s="11" t="s">
        <v>4</v>
      </c>
      <c r="F38" s="11" t="s">
        <v>5</v>
      </c>
      <c r="G38" s="11" t="s">
        <v>6</v>
      </c>
      <c r="H38" s="11" t="s">
        <v>7</v>
      </c>
    </row>
    <row r="39" spans="1:10" x14ac:dyDescent="0.3">
      <c r="A39" s="3" t="s">
        <v>8</v>
      </c>
      <c r="B39" s="6">
        <f>1.6*$H39</f>
        <v>0</v>
      </c>
      <c r="C39" s="6">
        <f>0.3*$H39</f>
        <v>0</v>
      </c>
      <c r="D39" s="6">
        <f>0*$H39</f>
        <v>0</v>
      </c>
      <c r="E39" s="6">
        <f>0.2*$H39</f>
        <v>0</v>
      </c>
      <c r="F39" s="6">
        <f>0.3*$H39</f>
        <v>0</v>
      </c>
      <c r="G39" s="6">
        <f>0*$H39</f>
        <v>0</v>
      </c>
      <c r="H39" s="3"/>
      <c r="J39" s="2" t="b">
        <f>NOT(ISERROR(MATCH(A39,Spice[Spice],0)))</f>
        <v>1</v>
      </c>
    </row>
    <row r="40" spans="1:10" x14ac:dyDescent="0.3">
      <c r="A40" s="3" t="s">
        <v>9</v>
      </c>
      <c r="B40" s="6">
        <f>5.8*$H40</f>
        <v>5.8</v>
      </c>
      <c r="C40" s="6">
        <f>1.5*$H40</f>
        <v>1.5</v>
      </c>
      <c r="D40" s="6">
        <f>0.1*$H40</f>
        <v>0.1</v>
      </c>
      <c r="E40" s="6">
        <f>0.2*$H40</f>
        <v>0.2</v>
      </c>
      <c r="F40" s="6">
        <f>0.6*$H40</f>
        <v>0.6</v>
      </c>
      <c r="G40" s="6">
        <f>0*$H40</f>
        <v>0</v>
      </c>
      <c r="H40" s="3">
        <v>1</v>
      </c>
      <c r="I40" s="2" t="s">
        <v>555</v>
      </c>
      <c r="J40" s="2" t="b">
        <f>NOT(ISERROR(MATCH(A40,Spice[Spice],0)))</f>
        <v>1</v>
      </c>
    </row>
    <row r="41" spans="1:10" x14ac:dyDescent="0.3">
      <c r="A41" s="4" t="s">
        <v>10</v>
      </c>
      <c r="B41" s="7">
        <f>7.6*$H41</f>
        <v>45.599999999999994</v>
      </c>
      <c r="C41" s="7">
        <f>1.3*$H41</f>
        <v>7.8000000000000007</v>
      </c>
      <c r="D41" s="7">
        <f>0.4*$H41</f>
        <v>2.4000000000000004</v>
      </c>
      <c r="E41" s="7">
        <f>0.4*$H41</f>
        <v>2.4000000000000004</v>
      </c>
      <c r="F41" s="7">
        <f>0.9*$H41</f>
        <v>5.4</v>
      </c>
      <c r="G41" s="7">
        <f>0.2*$H41</f>
        <v>1.2000000000000002</v>
      </c>
      <c r="H41" s="4">
        <v>6</v>
      </c>
      <c r="J41" s="2" t="b">
        <f>NOT(ISERROR(MATCH(A41,Spice[Spice],0)))</f>
        <v>1</v>
      </c>
    </row>
    <row r="42" spans="1:10" x14ac:dyDescent="0.3">
      <c r="A42" s="3" t="s">
        <v>11</v>
      </c>
      <c r="B42" s="6">
        <f>48*$H42</f>
        <v>0</v>
      </c>
      <c r="C42" s="6">
        <f>8*$H42</f>
        <v>0</v>
      </c>
      <c r="D42" s="6">
        <f>0*$H42</f>
        <v>0</v>
      </c>
      <c r="E42" s="6">
        <f>0*$H42</f>
        <v>0</v>
      </c>
      <c r="F42" s="6">
        <f>0*$H42</f>
        <v>0</v>
      </c>
      <c r="G42" s="6">
        <f>0*$H42</f>
        <v>0</v>
      </c>
      <c r="H42" s="3"/>
      <c r="J42" s="2" t="b">
        <f>NOT(ISERROR(MATCH(A42,Spice[Spice],0)))</f>
        <v>1</v>
      </c>
    </row>
    <row r="43" spans="1:10" x14ac:dyDescent="0.3">
      <c r="A43" s="4" t="s">
        <v>12</v>
      </c>
      <c r="B43" s="7">
        <f>6.4*$H43</f>
        <v>0</v>
      </c>
      <c r="C43" s="7">
        <f>2.1*$H43</f>
        <v>0</v>
      </c>
      <c r="D43" s="7">
        <f>0*$H42</f>
        <v>0</v>
      </c>
      <c r="E43" s="7">
        <f>0.1*$H43</f>
        <v>0</v>
      </c>
      <c r="F43" s="7">
        <f>1.4*$H43</f>
        <v>0</v>
      </c>
      <c r="G43" s="7">
        <f>0.1*$H43</f>
        <v>0</v>
      </c>
      <c r="H43" s="4"/>
      <c r="J43" s="2" t="b">
        <f>NOT(ISERROR(MATCH(A43,Spice[Spice],0)))</f>
        <v>1</v>
      </c>
    </row>
    <row r="44" spans="1:10" x14ac:dyDescent="0.3">
      <c r="A44" s="4" t="s">
        <v>13</v>
      </c>
      <c r="B44" s="7">
        <f>1.7*$H44</f>
        <v>0</v>
      </c>
      <c r="C44" s="7">
        <f>0.3*$H44</f>
        <v>0</v>
      </c>
      <c r="D44" s="7">
        <f>0*$H44</f>
        <v>0</v>
      </c>
      <c r="E44" s="7">
        <f>0.1*$H44</f>
        <v>0</v>
      </c>
      <c r="F44" s="7">
        <f>0.1*$H44</f>
        <v>0</v>
      </c>
      <c r="G44" s="7">
        <f>0*$H44</f>
        <v>0</v>
      </c>
      <c r="H44" s="4"/>
      <c r="J44" s="2" t="b">
        <f>NOT(ISERROR(MATCH(A44,Spice[Spice],0)))</f>
        <v>1</v>
      </c>
    </row>
    <row r="45" spans="1:10" x14ac:dyDescent="0.3">
      <c r="A45" s="3" t="s">
        <v>14</v>
      </c>
      <c r="B45" s="6">
        <f>5.7*$H45</f>
        <v>17.100000000000001</v>
      </c>
      <c r="C45" s="6">
        <f>1*$H45</f>
        <v>3</v>
      </c>
      <c r="D45" s="6">
        <f>0*$H45</f>
        <v>0</v>
      </c>
      <c r="E45" s="6">
        <f>0.2*$H45</f>
        <v>0.60000000000000009</v>
      </c>
      <c r="F45" s="6">
        <f>0.5*$H45</f>
        <v>1.5</v>
      </c>
      <c r="G45" s="6">
        <f>0.2*$H45</f>
        <v>0.60000000000000009</v>
      </c>
      <c r="H45" s="3">
        <v>3</v>
      </c>
      <c r="J45" s="2" t="b">
        <f>NOT(ISERROR(MATCH(A45,Spice[Spice],0)))</f>
        <v>1</v>
      </c>
    </row>
    <row r="46" spans="1:10" x14ac:dyDescent="0.3">
      <c r="A46" s="3" t="s">
        <v>15</v>
      </c>
      <c r="B46" s="6">
        <f>7.6*$H46</f>
        <v>68.399999999999991</v>
      </c>
      <c r="C46" s="6">
        <f>0.9*$H46</f>
        <v>8.1</v>
      </c>
      <c r="D46" s="6">
        <f>0.5*$H46</f>
        <v>4.5</v>
      </c>
      <c r="E46" s="6">
        <f>0.4*$H46</f>
        <v>3.6</v>
      </c>
      <c r="F46" s="6">
        <f>0.2*$H46</f>
        <v>1.8</v>
      </c>
      <c r="G46" s="6">
        <f>0.1*$H46</f>
        <v>0.9</v>
      </c>
      <c r="H46" s="3">
        <v>9</v>
      </c>
      <c r="J46" s="2" t="b">
        <f>NOT(ISERROR(MATCH(A46,Spice[Spice],0)))</f>
        <v>1</v>
      </c>
    </row>
    <row r="47" spans="1:10" x14ac:dyDescent="0.3">
      <c r="A47" s="4" t="s">
        <v>16</v>
      </c>
      <c r="B47" s="7">
        <f>(36/5)*$H47</f>
        <v>0</v>
      </c>
      <c r="C47" s="7">
        <f>(5/5)*$H47</f>
        <v>0</v>
      </c>
      <c r="D47" s="7">
        <f>(1.2/5)*$H47</f>
        <v>0</v>
      </c>
      <c r="E47" s="7">
        <f>(1.3/5)*$H47</f>
        <v>0</v>
      </c>
      <c r="F47" s="7">
        <f>(3/5)*$H47</f>
        <v>0</v>
      </c>
      <c r="G47" s="7">
        <f>(0.2/5)*$H47</f>
        <v>0</v>
      </c>
      <c r="H47" s="4"/>
      <c r="J47" s="2" t="b">
        <f>NOT(ISERROR(MATCH(A47,Spice[Spice],0)))</f>
        <v>1</v>
      </c>
    </row>
    <row r="48" spans="1:10" x14ac:dyDescent="0.3">
      <c r="A48" s="3" t="s">
        <v>17</v>
      </c>
      <c r="B48" s="6">
        <f>5*$H48</f>
        <v>0</v>
      </c>
      <c r="C48" s="6">
        <f>1*$H48</f>
        <v>0</v>
      </c>
      <c r="D48" s="6">
        <f>0*$H48</f>
        <v>0</v>
      </c>
      <c r="E48" s="6">
        <f>0*$H48</f>
        <v>0</v>
      </c>
      <c r="F48" s="6">
        <f>0*$H48</f>
        <v>0</v>
      </c>
      <c r="G48" s="6">
        <f>0*$H48</f>
        <v>0</v>
      </c>
      <c r="H48" s="3"/>
      <c r="J48" s="2" t="b">
        <f>NOT(ISERROR(MATCH(A48,Spice[Spice],0)))</f>
        <v>1</v>
      </c>
    </row>
    <row r="49" spans="1:10" x14ac:dyDescent="0.3">
      <c r="A49" s="3" t="s">
        <v>18</v>
      </c>
      <c r="B49" s="6">
        <f>10*$H49</f>
        <v>60</v>
      </c>
      <c r="C49" s="6">
        <f>2.3*$H49</f>
        <v>13.799999999999999</v>
      </c>
      <c r="D49" s="6">
        <f>0*$H49</f>
        <v>0</v>
      </c>
      <c r="E49" s="6">
        <f>0.5*$H49</f>
        <v>3</v>
      </c>
      <c r="F49" s="6">
        <f>0.3*$H49</f>
        <v>1.7999999999999998</v>
      </c>
      <c r="G49" s="6">
        <f>0.1*$H49</f>
        <v>0.60000000000000009</v>
      </c>
      <c r="H49" s="3">
        <v>6</v>
      </c>
      <c r="J49" s="2" t="b">
        <f>NOT(ISERROR(MATCH(A49,Spice[Spice],0)))</f>
        <v>1</v>
      </c>
    </row>
    <row r="50" spans="1:10" x14ac:dyDescent="0.3">
      <c r="A50" s="4" t="s">
        <v>19</v>
      </c>
      <c r="B50" s="7">
        <f>1.2*$H50</f>
        <v>3.5999999999999996</v>
      </c>
      <c r="C50" s="7">
        <f>0.3*$H50</f>
        <v>0.89999999999999991</v>
      </c>
      <c r="D50" s="7">
        <f>0*$H50</f>
        <v>0</v>
      </c>
      <c r="E50" s="7">
        <f>1*$H50</f>
        <v>3</v>
      </c>
      <c r="F50" s="7">
        <f>0*$H50</f>
        <v>0</v>
      </c>
      <c r="G50" s="7">
        <f>0*$H50</f>
        <v>0</v>
      </c>
      <c r="H50" s="4">
        <v>3</v>
      </c>
      <c r="J50" s="2" t="b">
        <f>NOT(ISERROR(MATCH(A50,Spice[Spice],0)))</f>
        <v>1</v>
      </c>
    </row>
    <row r="51" spans="1:10" x14ac:dyDescent="0.3">
      <c r="A51" s="3" t="s">
        <v>20</v>
      </c>
      <c r="B51" s="6">
        <f>6*$H51</f>
        <v>0</v>
      </c>
      <c r="C51" s="6">
        <f>1.3*$H51</f>
        <v>0</v>
      </c>
      <c r="D51" s="6">
        <f>0.1*$H51</f>
        <v>0</v>
      </c>
      <c r="E51" s="6">
        <f>0.2*$H51</f>
        <v>0</v>
      </c>
      <c r="F51" s="6">
        <f>0.3*$H51</f>
        <v>0</v>
      </c>
      <c r="G51" s="6">
        <f>0.1*$H51</f>
        <v>0</v>
      </c>
      <c r="H51" s="3"/>
      <c r="J51" s="2" t="b">
        <f>NOT(ISERROR(MATCH(A51,Spice[Spice],0)))</f>
        <v>1</v>
      </c>
    </row>
    <row r="52" spans="1:10" x14ac:dyDescent="0.3">
      <c r="A52" s="3" t="s">
        <v>21</v>
      </c>
      <c r="B52" s="6">
        <f>2.2*$H52</f>
        <v>2.2000000000000002</v>
      </c>
      <c r="C52" s="6">
        <f>0.5*$H52</f>
        <v>0.5</v>
      </c>
      <c r="D52" s="6">
        <f>0.1*$H52</f>
        <v>0.1</v>
      </c>
      <c r="E52" s="6">
        <f>0.1*$H52</f>
        <v>0.1</v>
      </c>
      <c r="F52" s="6">
        <f>0.3*$H52</f>
        <v>0.3</v>
      </c>
      <c r="G52" s="6">
        <f>0*$H52</f>
        <v>0</v>
      </c>
      <c r="H52" s="3">
        <v>1</v>
      </c>
      <c r="J52" s="2" t="b">
        <f>NOT(ISERROR(MATCH(A52,Spice[Spice],0)))</f>
        <v>1</v>
      </c>
    </row>
    <row r="53" spans="1:10" x14ac:dyDescent="0.3">
      <c r="A53" s="4" t="s">
        <v>22</v>
      </c>
      <c r="B53" s="7">
        <f>0*$H53</f>
        <v>0</v>
      </c>
      <c r="C53" s="7">
        <f>0*$H53</f>
        <v>0</v>
      </c>
      <c r="D53" s="7">
        <f>0*$H53</f>
        <v>0</v>
      </c>
      <c r="E53" s="7">
        <f>0*$H53</f>
        <v>0</v>
      </c>
      <c r="F53" s="7">
        <f>0*$H53</f>
        <v>0</v>
      </c>
      <c r="G53" s="7">
        <f>0*$H53</f>
        <v>0</v>
      </c>
      <c r="H53" s="4"/>
      <c r="J53" s="2" t="b">
        <f>NOT(ISERROR(MATCH(A53,Spice[Spice],0)))</f>
        <v>1</v>
      </c>
    </row>
    <row r="54" spans="1:10" x14ac:dyDescent="0.3">
      <c r="A54" s="3" t="s">
        <v>23</v>
      </c>
      <c r="B54" s="6">
        <f>8.2*$H54</f>
        <v>8.1999999999999993</v>
      </c>
      <c r="C54" s="6">
        <f>1.9*$H54</f>
        <v>1.9</v>
      </c>
      <c r="D54" s="6">
        <f>0*$H54</f>
        <v>0</v>
      </c>
      <c r="E54" s="6">
        <f>0.3*$H54</f>
        <v>0.3</v>
      </c>
      <c r="F54" s="6">
        <f>0.4*$H54</f>
        <v>0.4</v>
      </c>
      <c r="G54" s="6">
        <f>0.2*$H54</f>
        <v>0.2</v>
      </c>
      <c r="H54" s="3">
        <v>1</v>
      </c>
      <c r="J54" s="2" t="b">
        <f>NOT(ISERROR(MATCH(A54,Spice[Spice],0)))</f>
        <v>1</v>
      </c>
    </row>
    <row r="55" spans="1:10" x14ac:dyDescent="0.3">
      <c r="A55" s="4" t="s">
        <v>24</v>
      </c>
      <c r="B55" s="7">
        <f>2.7*$H55</f>
        <v>8.1000000000000014</v>
      </c>
      <c r="C55" s="7">
        <f>0.7*$H55</f>
        <v>2.0999999999999996</v>
      </c>
      <c r="D55" s="7">
        <f>0*$H55</f>
        <v>0</v>
      </c>
      <c r="E55" s="7">
        <f>0.1*$H55</f>
        <v>0.30000000000000004</v>
      </c>
      <c r="F55" s="7">
        <f>0.4*$H55</f>
        <v>1.2000000000000002</v>
      </c>
      <c r="G55" s="7">
        <f>0*$H55</f>
        <v>0</v>
      </c>
      <c r="H55" s="4">
        <v>3</v>
      </c>
      <c r="J55" s="2" t="b">
        <f>NOT(ISERROR(MATCH(A55,Spice[Spice],0)))</f>
        <v>1</v>
      </c>
    </row>
    <row r="56" spans="1:10" x14ac:dyDescent="0.3">
      <c r="A56" s="4" t="s">
        <v>25</v>
      </c>
      <c r="B56" s="7">
        <f>6.5*$H56</f>
        <v>6.5</v>
      </c>
      <c r="C56" s="7">
        <f>1.2*$H56</f>
        <v>1.2</v>
      </c>
      <c r="D56" s="7">
        <f>0.3*$H56</f>
        <v>0.3</v>
      </c>
      <c r="E56" s="7">
        <f>0.3*$H56</f>
        <v>0.3</v>
      </c>
      <c r="F56" s="7">
        <f>0.8*$H56</f>
        <v>0.8</v>
      </c>
      <c r="G56" s="7">
        <f>0.2*$H56</f>
        <v>0.2</v>
      </c>
      <c r="H56" s="4">
        <v>1</v>
      </c>
      <c r="J56" s="2" t="b">
        <f>NOT(ISERROR(MATCH(A56,Spice[Spice],0)))</f>
        <v>1</v>
      </c>
    </row>
    <row r="57" spans="1:10" x14ac:dyDescent="0.3">
      <c r="A57" s="3" t="s">
        <v>26</v>
      </c>
      <c r="B57" s="6">
        <f>1.5*$H57</f>
        <v>0</v>
      </c>
      <c r="C57" s="6">
        <f>0.3*$H57</f>
        <v>0</v>
      </c>
      <c r="D57" s="6">
        <f>0*$H57</f>
        <v>0</v>
      </c>
      <c r="E57" s="6">
        <f>0.1*$H57</f>
        <v>0</v>
      </c>
      <c r="F57" s="6">
        <f>0.1*$H57</f>
        <v>0</v>
      </c>
      <c r="G57" s="6">
        <f>0*$H57</f>
        <v>0</v>
      </c>
      <c r="H57" s="3"/>
      <c r="J57" s="2" t="b">
        <f>NOT(ISERROR(MATCH(A57,Spice[Spice],0)))</f>
        <v>1</v>
      </c>
    </row>
    <row r="58" spans="1:10" x14ac:dyDescent="0.3">
      <c r="A58" s="3" t="s">
        <v>27</v>
      </c>
      <c r="B58" s="6">
        <f>5.7*$H58</f>
        <v>5.7</v>
      </c>
      <c r="C58" s="6">
        <f>1*$H58</f>
        <v>1</v>
      </c>
      <c r="D58" s="6">
        <f>0.3*$H58</f>
        <v>0.3</v>
      </c>
      <c r="E58" s="6">
        <f>0.2*$H58</f>
        <v>0.2</v>
      </c>
      <c r="F58" s="6">
        <f>0.5*$H58</f>
        <v>0.5</v>
      </c>
      <c r="G58" s="6">
        <f>0.2*$H58</f>
        <v>0.2</v>
      </c>
      <c r="H58" s="3">
        <v>1</v>
      </c>
      <c r="J58" s="2" t="b">
        <f>NOT(ISERROR(MATCH(A58,Spice[Spice],0)))</f>
        <v>1</v>
      </c>
    </row>
    <row r="59" spans="1:10" x14ac:dyDescent="0.3">
      <c r="A59" s="4" t="s">
        <v>28</v>
      </c>
      <c r="B59" s="7">
        <f t="shared" ref="B59:G59" si="5">0*$H59</f>
        <v>0</v>
      </c>
      <c r="C59" s="7">
        <f t="shared" si="5"/>
        <v>0</v>
      </c>
      <c r="D59" s="7">
        <f t="shared" si="5"/>
        <v>0</v>
      </c>
      <c r="E59" s="7">
        <f t="shared" si="5"/>
        <v>0</v>
      </c>
      <c r="F59" s="7">
        <f t="shared" si="5"/>
        <v>0</v>
      </c>
      <c r="G59" s="7">
        <f t="shared" si="5"/>
        <v>0</v>
      </c>
      <c r="H59" s="4"/>
      <c r="J59" s="2" t="b">
        <f>NOT(ISERROR(MATCH(A59,Spice[Spice],0)))</f>
        <v>1</v>
      </c>
    </row>
    <row r="60" spans="1:10" x14ac:dyDescent="0.3">
      <c r="A60" s="3" t="s">
        <v>29</v>
      </c>
      <c r="B60" s="6">
        <f>2.5*$H60</f>
        <v>0</v>
      </c>
      <c r="C60" s="6">
        <f>0.6*$H60</f>
        <v>0</v>
      </c>
      <c r="D60" s="6">
        <f>0.1*$H60</f>
        <v>0</v>
      </c>
      <c r="E60" s="6">
        <f>0.1*$H60</f>
        <v>0</v>
      </c>
      <c r="F60" s="6">
        <f>0.3*$H60</f>
        <v>0</v>
      </c>
      <c r="G60" s="6">
        <f>0*$H60</f>
        <v>0</v>
      </c>
      <c r="H60" s="3"/>
      <c r="J60" s="2" t="b">
        <f>NOT(ISERROR(MATCH(A60,Spice[Spice],0)))</f>
        <v>1</v>
      </c>
    </row>
    <row r="61" spans="1:10" x14ac:dyDescent="0.3">
      <c r="A61" s="3" t="s">
        <v>31</v>
      </c>
      <c r="B61" s="6">
        <f>0*$H61</f>
        <v>0</v>
      </c>
      <c r="C61" s="6">
        <f>0*$H61</f>
        <v>0</v>
      </c>
      <c r="D61" s="6">
        <f>0*$H61</f>
        <v>0</v>
      </c>
      <c r="E61" s="6">
        <f>0*$H61</f>
        <v>0</v>
      </c>
      <c r="F61" s="6">
        <f>0*$H61</f>
        <v>0</v>
      </c>
      <c r="G61" s="6">
        <f>0*$H61</f>
        <v>0</v>
      </c>
      <c r="H61" s="3"/>
      <c r="J61" s="2" t="b">
        <f>NOT(ISERROR(MATCH(A61,Spice[Spice],0)))</f>
        <v>1</v>
      </c>
    </row>
    <row r="62" spans="1:10" x14ac:dyDescent="0.3">
      <c r="A62" s="58" t="s">
        <v>33</v>
      </c>
      <c r="B62" s="59">
        <f>7.1*$H62</f>
        <v>0</v>
      </c>
      <c r="C62" s="59">
        <f>1.6*$H62</f>
        <v>0</v>
      </c>
      <c r="D62" s="59">
        <f>0.1*$H62</f>
        <v>0</v>
      </c>
      <c r="E62" s="59">
        <f>0.3*$H62</f>
        <v>0</v>
      </c>
      <c r="F62" s="59">
        <f>0.6*$H62</f>
        <v>0</v>
      </c>
      <c r="G62" s="59">
        <f>0*$H62</f>
        <v>0</v>
      </c>
      <c r="H62" s="58"/>
      <c r="J62" s="2" t="b">
        <f>NOT(ISERROR(MATCH(A62,Spice[Spice],0)))</f>
        <v>1</v>
      </c>
    </row>
    <row r="63" spans="1:10" x14ac:dyDescent="0.3">
      <c r="A63" s="58" t="s">
        <v>34</v>
      </c>
      <c r="B63" s="59">
        <f>SUBTOTAL(109,Table28[Calories])</f>
        <v>231.19999999999993</v>
      </c>
      <c r="C63" s="59">
        <f>SUBTOTAL(109,Table28[Carbs])</f>
        <v>41.8</v>
      </c>
      <c r="D63" s="59">
        <f>SUBTOTAL(109,Table28[Fat])</f>
        <v>7.6999999999999993</v>
      </c>
      <c r="E63" s="59">
        <f>SUBTOTAL(109,Table28[Protein])</f>
        <v>14.000000000000002</v>
      </c>
      <c r="F63" s="59">
        <f>SUBTOTAL(109,Table28[Fiber])</f>
        <v>14.300000000000004</v>
      </c>
      <c r="G63" s="59">
        <f>SUBTOTAL(109,Table28[Sugar])</f>
        <v>3.9000000000000008</v>
      </c>
      <c r="H63" s="58">
        <f>SUBTOTAL(109,Table28[Serving by TSP])</f>
        <v>35</v>
      </c>
    </row>
  </sheetData>
  <phoneticPr fontId="4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3808-FBCA-4341-B792-AC1172B7AA0D}">
  <sheetPr codeName="Sheet17"/>
  <dimension ref="A1:J67"/>
  <sheetViews>
    <sheetView workbookViewId="0">
      <selection activeCell="H7" sqref="H7"/>
    </sheetView>
  </sheetViews>
  <sheetFormatPr defaultColWidth="9.140625" defaultRowHeight="18.75" x14ac:dyDescent="0.3"/>
  <cols>
    <col min="1" max="1" width="26.42578125" style="1" customWidth="1"/>
    <col min="2" max="6" width="13.85546875" style="2" customWidth="1"/>
    <col min="7" max="7" width="14.7109375" style="2" customWidth="1"/>
    <col min="8" max="8" width="21.140625" style="2" customWidth="1"/>
    <col min="9" max="9" width="39.42578125" style="2" customWidth="1"/>
    <col min="10" max="10" width="10.28515625" style="2" customWidth="1"/>
    <col min="11" max="16384" width="9.140625" style="2"/>
  </cols>
  <sheetData>
    <row r="1" spans="1:10" x14ac:dyDescent="0.3">
      <c r="A1" s="2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x14ac:dyDescent="0.3">
      <c r="A2" s="1" t="s">
        <v>229</v>
      </c>
      <c r="B2" s="5">
        <f>110*$H2</f>
        <v>880</v>
      </c>
      <c r="C2" s="5">
        <f>0*$H2</f>
        <v>0</v>
      </c>
      <c r="D2" s="5">
        <f>3*$H2</f>
        <v>24</v>
      </c>
      <c r="E2" s="5">
        <f>22*$H2</f>
        <v>176</v>
      </c>
      <c r="F2" s="5">
        <f>0*$H2</f>
        <v>0</v>
      </c>
      <c r="G2" s="5">
        <f>0*$H2</f>
        <v>0</v>
      </c>
      <c r="H2" s="5">
        <v>8</v>
      </c>
      <c r="I2" s="2" t="s">
        <v>204</v>
      </c>
      <c r="J2" s="5" t="b">
        <f>NOT(ISERROR(MATCH(A2,Index[Item],0)))</f>
        <v>1</v>
      </c>
    </row>
    <row r="3" spans="1:10" x14ac:dyDescent="0.3">
      <c r="A3" s="1" t="s">
        <v>235</v>
      </c>
      <c r="B3" s="5">
        <f>160*$H3</f>
        <v>0</v>
      </c>
      <c r="C3" s="5">
        <f>36*$H3</f>
        <v>0</v>
      </c>
      <c r="D3" s="5">
        <f>0*$H3</f>
        <v>0</v>
      </c>
      <c r="E3" s="5">
        <f t="shared" ref="E3:E8" si="0">3*$H3</f>
        <v>0</v>
      </c>
      <c r="F3" s="5">
        <f>1*$H3</f>
        <v>0</v>
      </c>
      <c r="G3" s="5">
        <f>1*$H3</f>
        <v>0</v>
      </c>
      <c r="H3" s="5"/>
      <c r="I3" s="2" t="s">
        <v>236</v>
      </c>
      <c r="J3" s="5" t="b">
        <f>NOT(ISERROR(MATCH(A3,Index[Item],0)))</f>
        <v>1</v>
      </c>
    </row>
    <row r="4" spans="1:10" x14ac:dyDescent="0.3">
      <c r="A4" s="1" t="s">
        <v>237</v>
      </c>
      <c r="B4" s="5">
        <f>160*$H4</f>
        <v>160</v>
      </c>
      <c r="C4" s="5">
        <f>35*$H4</f>
        <v>35</v>
      </c>
      <c r="D4" s="5">
        <f>0*$H4</f>
        <v>0</v>
      </c>
      <c r="E4" s="5">
        <f t="shared" si="0"/>
        <v>3</v>
      </c>
      <c r="F4" s="5">
        <f>0*$H4</f>
        <v>0</v>
      </c>
      <c r="G4" s="5">
        <f>0*$H4</f>
        <v>0</v>
      </c>
      <c r="H4" s="5">
        <v>1</v>
      </c>
      <c r="I4" s="2" t="s">
        <v>236</v>
      </c>
      <c r="J4" s="5" t="b">
        <f>NOT(ISERROR(MATCH(A4,Index[Item],0)))</f>
        <v>1</v>
      </c>
    </row>
    <row r="5" spans="1:10" ht="37.5" x14ac:dyDescent="0.3">
      <c r="A5" s="1" t="s">
        <v>238</v>
      </c>
      <c r="B5" s="5">
        <f>160*$H5</f>
        <v>0</v>
      </c>
      <c r="C5" s="5">
        <f>36*$H5</f>
        <v>0</v>
      </c>
      <c r="D5" s="5">
        <f>0*$H5</f>
        <v>0</v>
      </c>
      <c r="E5" s="5">
        <f t="shared" si="0"/>
        <v>0</v>
      </c>
      <c r="F5" s="5">
        <f>0*$H5</f>
        <v>0</v>
      </c>
      <c r="G5" s="5">
        <f>0*$H5</f>
        <v>0</v>
      </c>
      <c r="H5" s="5"/>
      <c r="I5" s="2" t="s">
        <v>236</v>
      </c>
      <c r="J5" s="5" t="b">
        <f>NOT(ISERROR(MATCH(A5,Index[Item],0)))</f>
        <v>1</v>
      </c>
    </row>
    <row r="6" spans="1:10" ht="37.5" x14ac:dyDescent="0.3">
      <c r="A6" s="1" t="s">
        <v>239</v>
      </c>
      <c r="B6" s="5">
        <f>160*$H6</f>
        <v>0</v>
      </c>
      <c r="C6" s="5">
        <f>34*$H6</f>
        <v>0</v>
      </c>
      <c r="D6" s="5">
        <f>1*$H6</f>
        <v>0</v>
      </c>
      <c r="E6" s="5">
        <f t="shared" si="0"/>
        <v>0</v>
      </c>
      <c r="F6" s="5">
        <f>1*$H6</f>
        <v>0</v>
      </c>
      <c r="G6" s="5">
        <f>0*$H6</f>
        <v>0</v>
      </c>
      <c r="H6" s="5"/>
      <c r="I6" s="2" t="s">
        <v>236</v>
      </c>
      <c r="J6" s="5" t="b">
        <f>NOT(ISERROR(MATCH(A6,Index[Item],0)))</f>
        <v>1</v>
      </c>
    </row>
    <row r="7" spans="1:10" ht="37.5" x14ac:dyDescent="0.3">
      <c r="A7" s="1" t="s">
        <v>240</v>
      </c>
      <c r="B7" s="5">
        <f>160*$H7</f>
        <v>0</v>
      </c>
      <c r="C7" s="5">
        <f>36*$H7</f>
        <v>0</v>
      </c>
      <c r="D7" s="5">
        <f>0*$H7</f>
        <v>0</v>
      </c>
      <c r="E7" s="5">
        <f t="shared" si="0"/>
        <v>0</v>
      </c>
      <c r="F7" s="5">
        <f>1*$H7</f>
        <v>0</v>
      </c>
      <c r="G7" s="5">
        <f>0*$H7</f>
        <v>0</v>
      </c>
      <c r="H7" s="5"/>
      <c r="I7" s="2" t="s">
        <v>236</v>
      </c>
      <c r="J7" s="5" t="b">
        <f>NOT(ISERROR(MATCH(A7,Index[Item],0)))</f>
        <v>1</v>
      </c>
    </row>
    <row r="8" spans="1:10" x14ac:dyDescent="0.3">
      <c r="A8" s="1" t="s">
        <v>195</v>
      </c>
      <c r="B8" s="5">
        <f>25*$H8</f>
        <v>150</v>
      </c>
      <c r="C8" s="5">
        <f>0*$H8</f>
        <v>0</v>
      </c>
      <c r="D8" s="5">
        <f>1.5*$H8</f>
        <v>9</v>
      </c>
      <c r="E8" s="5">
        <f t="shared" si="0"/>
        <v>18</v>
      </c>
      <c r="F8" s="5">
        <f t="shared" ref="F8" si="1">0*$H8</f>
        <v>0</v>
      </c>
      <c r="G8" s="5">
        <f>0*$H8</f>
        <v>0</v>
      </c>
      <c r="H8" s="5">
        <f>42/7</f>
        <v>6</v>
      </c>
      <c r="J8" s="5" t="b">
        <f>NOT(ISERROR(MATCH(A8,Index[Item],0)))</f>
        <v>1</v>
      </c>
    </row>
    <row r="9" spans="1:10" x14ac:dyDescent="0.3">
      <c r="A9" s="1" t="s">
        <v>573</v>
      </c>
      <c r="B9" s="5">
        <f>50*$H9</f>
        <v>0</v>
      </c>
      <c r="C9" s="5">
        <f>0.5*$H9</f>
        <v>0</v>
      </c>
      <c r="D9" s="5">
        <f>5*$H9</f>
        <v>0</v>
      </c>
      <c r="E9" s="5">
        <f>0*$H9</f>
        <v>0</v>
      </c>
      <c r="F9" s="5">
        <f>0*$H9</f>
        <v>0</v>
      </c>
      <c r="G9" s="5">
        <f>0.5*$H9</f>
        <v>0</v>
      </c>
      <c r="H9" s="5"/>
      <c r="I9" s="2" t="s">
        <v>574</v>
      </c>
      <c r="J9" s="5" t="b">
        <f>NOT(ISERROR(MATCH(A9,Index[Item],0)))</f>
        <v>1</v>
      </c>
    </row>
    <row r="10" spans="1:10" ht="37.5" x14ac:dyDescent="0.3">
      <c r="A10" s="1" t="s">
        <v>645</v>
      </c>
      <c r="B10" s="5">
        <f>100*$H10</f>
        <v>1200</v>
      </c>
      <c r="C10" s="5">
        <f>0.5*$H10</f>
        <v>6</v>
      </c>
      <c r="D10" s="5">
        <f>10*$H10</f>
        <v>120</v>
      </c>
      <c r="E10" s="5">
        <f>2*$H10</f>
        <v>24</v>
      </c>
      <c r="F10" s="5">
        <f>0*$H10</f>
        <v>0</v>
      </c>
      <c r="G10" s="5">
        <f>0.5*$H10</f>
        <v>6</v>
      </c>
      <c r="H10" s="5">
        <v>12</v>
      </c>
      <c r="I10" s="2" t="s">
        <v>556</v>
      </c>
      <c r="J10" s="5" t="b">
        <f>NOT(ISERROR(MATCH(A10,Index[Item],0)))</f>
        <v>1</v>
      </c>
    </row>
    <row r="11" spans="1:10" x14ac:dyDescent="0.3">
      <c r="A11" s="1" t="s">
        <v>543</v>
      </c>
      <c r="B11" s="5">
        <f>28*$H11</f>
        <v>56</v>
      </c>
      <c r="C11" s="5">
        <f>6.7*$H11</f>
        <v>13.4</v>
      </c>
      <c r="D11" s="5">
        <f t="shared" ref="D11:D16" si="2">0.2*$H11</f>
        <v>0.4</v>
      </c>
      <c r="E11" s="5">
        <f>1.9*$H11</f>
        <v>3.8</v>
      </c>
      <c r="F11" s="5">
        <f>1.2*$H11</f>
        <v>2.4</v>
      </c>
      <c r="G11" s="5">
        <f>3.2*$H11</f>
        <v>6.4</v>
      </c>
      <c r="H11" s="5">
        <v>2</v>
      </c>
      <c r="I11" s="2" t="s">
        <v>96</v>
      </c>
      <c r="J11" s="5" t="b">
        <f>NOT(ISERROR(MATCH(A11,Index[Item],0)))</f>
        <v>1</v>
      </c>
    </row>
    <row r="12" spans="1:10" x14ac:dyDescent="0.3">
      <c r="A12" s="1" t="s">
        <v>27</v>
      </c>
      <c r="B12" s="5">
        <f>28*$H12</f>
        <v>0</v>
      </c>
      <c r="C12" s="5">
        <f>6.7*$H12</f>
        <v>0</v>
      </c>
      <c r="D12" s="5">
        <f t="shared" si="2"/>
        <v>0</v>
      </c>
      <c r="E12" s="5">
        <f>0.9*$H12</f>
        <v>0</v>
      </c>
      <c r="F12" s="5">
        <f>1.2*$H12</f>
        <v>0</v>
      </c>
      <c r="G12" s="5">
        <f>4.4*$H12</f>
        <v>0</v>
      </c>
      <c r="H12" s="5"/>
      <c r="I12" s="2" t="s">
        <v>96</v>
      </c>
      <c r="J12" s="5" t="b">
        <f>NOT(ISERROR(MATCH(A12,Index[Item],0)))</f>
        <v>1</v>
      </c>
    </row>
    <row r="13" spans="1:10" x14ac:dyDescent="0.3">
      <c r="A13" s="1" t="s">
        <v>102</v>
      </c>
      <c r="B13" s="5">
        <f>44*$H13</f>
        <v>88</v>
      </c>
      <c r="C13" s="5">
        <f>10*$H13</f>
        <v>20</v>
      </c>
      <c r="D13" s="5">
        <f t="shared" si="2"/>
        <v>0.4</v>
      </c>
      <c r="E13" s="5">
        <f>1.4*$H13</f>
        <v>2.8</v>
      </c>
      <c r="F13" s="5">
        <f>1.4*$H13</f>
        <v>2.8</v>
      </c>
      <c r="G13" s="5">
        <f>4.7*$H13</f>
        <v>9.4</v>
      </c>
      <c r="H13" s="5">
        <v>2</v>
      </c>
      <c r="I13" s="2" t="s">
        <v>96</v>
      </c>
      <c r="J13" s="5" t="b">
        <f>NOT(ISERROR(MATCH(A13,Index[Item],0)))</f>
        <v>1</v>
      </c>
    </row>
    <row r="14" spans="1:10" x14ac:dyDescent="0.3">
      <c r="A14" s="1" t="s">
        <v>98</v>
      </c>
      <c r="B14" s="5">
        <f>28*$H14</f>
        <v>0</v>
      </c>
      <c r="C14" s="5">
        <f>6.7*$H14</f>
        <v>0</v>
      </c>
      <c r="D14" s="5">
        <f t="shared" si="2"/>
        <v>0</v>
      </c>
      <c r="E14" s="5">
        <f>0.9*$H14</f>
        <v>0</v>
      </c>
      <c r="F14" s="5">
        <f>1.2*$H14</f>
        <v>0</v>
      </c>
      <c r="G14" s="5">
        <f>4.4*$H14</f>
        <v>0</v>
      </c>
      <c r="H14" s="5"/>
      <c r="I14" s="2" t="s">
        <v>96</v>
      </c>
      <c r="J14" s="5" t="b">
        <f>NOT(ISERROR(MATCH(A14,Index[Item],0)))</f>
        <v>1</v>
      </c>
    </row>
    <row r="15" spans="1:10" x14ac:dyDescent="0.3">
      <c r="A15" s="1" t="s">
        <v>99</v>
      </c>
      <c r="B15" s="5">
        <f>27*$H15</f>
        <v>0</v>
      </c>
      <c r="C15" s="5">
        <f>6.3*$H15</f>
        <v>0</v>
      </c>
      <c r="D15" s="5">
        <f t="shared" si="2"/>
        <v>0</v>
      </c>
      <c r="E15" s="5">
        <f>1*$H15</f>
        <v>0</v>
      </c>
      <c r="F15" s="5">
        <f>0.9*$H15</f>
        <v>0</v>
      </c>
      <c r="G15" s="5">
        <f>0*$H15</f>
        <v>0</v>
      </c>
      <c r="H15" s="5"/>
      <c r="I15" s="2" t="s">
        <v>96</v>
      </c>
      <c r="J15" s="5" t="b">
        <f>NOT(ISERROR(MATCH(A15,Index[Item],0)))</f>
        <v>1</v>
      </c>
    </row>
    <row r="16" spans="1:10" x14ac:dyDescent="0.3">
      <c r="A16" s="1" t="s">
        <v>95</v>
      </c>
      <c r="B16" s="5">
        <f>32*$H16</f>
        <v>0</v>
      </c>
      <c r="C16" s="5">
        <f>7.3*$H16</f>
        <v>0</v>
      </c>
      <c r="D16" s="5">
        <f t="shared" si="2"/>
        <v>0</v>
      </c>
      <c r="E16" s="5">
        <f>1.8*$H16</f>
        <v>0</v>
      </c>
      <c r="F16" s="5">
        <f>2.7*$H16</f>
        <v>0</v>
      </c>
      <c r="G16" s="5">
        <f>2.3*$H16</f>
        <v>0</v>
      </c>
      <c r="H16" s="5"/>
      <c r="I16" s="2" t="s">
        <v>96</v>
      </c>
      <c r="J16" s="5" t="b">
        <f>NOT(ISERROR(MATCH(A16,Index[Item],0)))</f>
        <v>1</v>
      </c>
    </row>
    <row r="17" spans="1:10" x14ac:dyDescent="0.3">
      <c r="A17" s="1" t="s">
        <v>101</v>
      </c>
      <c r="B17" s="5">
        <f>29*$H17</f>
        <v>63.800000000000004</v>
      </c>
      <c r="C17" s="5">
        <f>6.5*$H17</f>
        <v>14.3</v>
      </c>
      <c r="D17" s="5">
        <f>0.4*$H17</f>
        <v>0.88000000000000012</v>
      </c>
      <c r="E17" s="5">
        <f>0.9*$H17</f>
        <v>1.9800000000000002</v>
      </c>
      <c r="F17" s="5">
        <f>2.8*$H17</f>
        <v>6.16</v>
      </c>
      <c r="G17" s="5">
        <f>4.1*$H17</f>
        <v>9.02</v>
      </c>
      <c r="H17" s="5">
        <v>2.2000000000000002</v>
      </c>
      <c r="I17" s="2" t="s">
        <v>96</v>
      </c>
      <c r="J17" s="5" t="b">
        <f>NOT(ISERROR(MATCH(A17,Index[Item],0)))</f>
        <v>1</v>
      </c>
    </row>
    <row r="18" spans="1:10" x14ac:dyDescent="0.3">
      <c r="A18" s="1" t="s">
        <v>100</v>
      </c>
      <c r="B18" s="5">
        <f>27*$H18</f>
        <v>0</v>
      </c>
      <c r="C18" s="5">
        <f>5.4*$H18</f>
        <v>0</v>
      </c>
      <c r="D18" s="5">
        <f>0.5*$H18</f>
        <v>0</v>
      </c>
      <c r="E18" s="5">
        <f>1.7*$H18</f>
        <v>0</v>
      </c>
      <c r="F18" s="5">
        <f>3.4*$H18</f>
        <v>0</v>
      </c>
      <c r="G18" s="5">
        <f>2*$H18</f>
        <v>0</v>
      </c>
      <c r="H18" s="5"/>
      <c r="I18" s="2" t="s">
        <v>96</v>
      </c>
      <c r="J18" s="5" t="b">
        <f>NOT(ISERROR(MATCH(A18,Index[Item],0)))</f>
        <v>1</v>
      </c>
    </row>
    <row r="19" spans="1:10" x14ac:dyDescent="0.3">
      <c r="A19" s="1" t="s">
        <v>557</v>
      </c>
      <c r="B19" s="5">
        <f>20*$H19</f>
        <v>40</v>
      </c>
      <c r="C19" s="5">
        <f>5*$H19</f>
        <v>10</v>
      </c>
      <c r="D19" s="5">
        <f>0*$H19</f>
        <v>0</v>
      </c>
      <c r="E19" s="5">
        <f>1*$H19</f>
        <v>2</v>
      </c>
      <c r="F19" s="5">
        <f>2*$H19</f>
        <v>4</v>
      </c>
      <c r="G19" s="5">
        <f>2*$H19</f>
        <v>4</v>
      </c>
      <c r="H19" s="5">
        <v>2</v>
      </c>
      <c r="I19" s="2" t="s">
        <v>96</v>
      </c>
      <c r="J19" s="5" t="b">
        <f>NOT(ISERROR(MATCH(A19,Index[Item],0)))</f>
        <v>1</v>
      </c>
    </row>
    <row r="20" spans="1:10" x14ac:dyDescent="0.3">
      <c r="A20" s="1" t="s">
        <v>111</v>
      </c>
      <c r="B20" s="5">
        <f>4.5*$H20</f>
        <v>0</v>
      </c>
      <c r="C20" s="5">
        <f>1*$H20</f>
        <v>0</v>
      </c>
      <c r="D20" s="5">
        <f>0*$H20</f>
        <v>0</v>
      </c>
      <c r="E20" s="5">
        <f>0.2*$H20</f>
        <v>0</v>
      </c>
      <c r="F20" s="5">
        <f>0.1*$H20</f>
        <v>0</v>
      </c>
      <c r="G20" s="5">
        <f>0*$H20</f>
        <v>0</v>
      </c>
      <c r="H20" s="5"/>
      <c r="I20" s="2" t="s">
        <v>112</v>
      </c>
      <c r="J20" s="5" t="b">
        <f>NOT(ISERROR(MATCH(A20,Index[Item],0)))</f>
        <v>1</v>
      </c>
    </row>
    <row r="21" spans="1:10" x14ac:dyDescent="0.3">
      <c r="A21" s="1" t="s">
        <v>137</v>
      </c>
      <c r="B21" s="5">
        <f>5*$H21</f>
        <v>0</v>
      </c>
      <c r="C21" s="5">
        <f>0.5*$H21</f>
        <v>0</v>
      </c>
      <c r="D21" s="5">
        <f t="shared" ref="D21:G21" si="3">0*$H21</f>
        <v>0</v>
      </c>
      <c r="E21" s="5">
        <f t="shared" si="3"/>
        <v>0</v>
      </c>
      <c r="F21" s="5">
        <f t="shared" si="3"/>
        <v>0</v>
      </c>
      <c r="G21" s="5">
        <f t="shared" si="3"/>
        <v>0</v>
      </c>
      <c r="H21" s="5"/>
      <c r="I21" s="2" t="s">
        <v>138</v>
      </c>
      <c r="J21" s="5" t="b">
        <f>NOT(ISERROR(MATCH(A21,Index[Item],0)))</f>
        <v>1</v>
      </c>
    </row>
    <row r="22" spans="1:10" x14ac:dyDescent="0.3">
      <c r="A22" s="1" t="s">
        <v>282</v>
      </c>
      <c r="B22" s="5">
        <f>15*$H22</f>
        <v>0</v>
      </c>
      <c r="C22" s="5">
        <f>2*$H22</f>
        <v>0</v>
      </c>
      <c r="D22" s="5">
        <f t="shared" ref="D22:G26" si="4">0*$H22</f>
        <v>0</v>
      </c>
      <c r="E22" s="5">
        <f t="shared" si="4"/>
        <v>0</v>
      </c>
      <c r="F22" s="5">
        <f t="shared" si="4"/>
        <v>0</v>
      </c>
      <c r="G22" s="5">
        <f t="shared" si="4"/>
        <v>0</v>
      </c>
      <c r="H22" s="5"/>
      <c r="I22" s="2" t="s">
        <v>281</v>
      </c>
      <c r="J22" s="5" t="b">
        <f>NOT(ISERROR(MATCH(A22,Index[Item],0)))</f>
        <v>1</v>
      </c>
    </row>
    <row r="23" spans="1:10" x14ac:dyDescent="0.3">
      <c r="A23" s="1" t="s">
        <v>283</v>
      </c>
      <c r="B23" s="5">
        <f>10*$H23</f>
        <v>0</v>
      </c>
      <c r="C23" s="5">
        <f>2*$H23</f>
        <v>0</v>
      </c>
      <c r="D23" s="5">
        <f t="shared" si="4"/>
        <v>0</v>
      </c>
      <c r="E23" s="5">
        <f t="shared" si="4"/>
        <v>0</v>
      </c>
      <c r="F23" s="5">
        <f t="shared" si="4"/>
        <v>0</v>
      </c>
      <c r="G23" s="5">
        <f t="shared" si="4"/>
        <v>0</v>
      </c>
      <c r="H23" s="5"/>
      <c r="I23" s="2" t="s">
        <v>281</v>
      </c>
      <c r="J23" s="5" t="b">
        <f>NOT(ISERROR(MATCH(A23,Index[Item],0)))</f>
        <v>1</v>
      </c>
    </row>
    <row r="24" spans="1:10" ht="37.5" x14ac:dyDescent="0.3">
      <c r="A24" s="1" t="s">
        <v>284</v>
      </c>
      <c r="B24" s="5">
        <f>15*$H24</f>
        <v>0</v>
      </c>
      <c r="C24" s="5">
        <f>3*$H24</f>
        <v>0</v>
      </c>
      <c r="D24" s="5">
        <f t="shared" si="4"/>
        <v>0</v>
      </c>
      <c r="E24" s="5">
        <f t="shared" si="4"/>
        <v>0</v>
      </c>
      <c r="F24" s="5">
        <f t="shared" si="4"/>
        <v>0</v>
      </c>
      <c r="G24" s="5">
        <f t="shared" si="4"/>
        <v>0</v>
      </c>
      <c r="H24" s="5"/>
      <c r="I24" s="2" t="s">
        <v>281</v>
      </c>
      <c r="J24" s="5" t="b">
        <f>NOT(ISERROR(MATCH(A24,Index[Item],0)))</f>
        <v>1</v>
      </c>
    </row>
    <row r="25" spans="1:10" ht="37.5" x14ac:dyDescent="0.3">
      <c r="A25" s="1" t="s">
        <v>280</v>
      </c>
      <c r="B25" s="5">
        <f>15*$H25</f>
        <v>0</v>
      </c>
      <c r="C25" s="5">
        <f>3*$H25</f>
        <v>0</v>
      </c>
      <c r="D25" s="5">
        <f t="shared" si="4"/>
        <v>0</v>
      </c>
      <c r="E25" s="5">
        <f t="shared" si="4"/>
        <v>0</v>
      </c>
      <c r="F25" s="5">
        <f t="shared" si="4"/>
        <v>0</v>
      </c>
      <c r="G25" s="5">
        <f>0.5*$H25</f>
        <v>0</v>
      </c>
      <c r="H25" s="5"/>
      <c r="I25" s="2" t="s">
        <v>281</v>
      </c>
      <c r="J25" s="5" t="b">
        <f>NOT(ISERROR(MATCH(A25,Index[Item],0)))</f>
        <v>1</v>
      </c>
    </row>
    <row r="26" spans="1:10" x14ac:dyDescent="0.3">
      <c r="A26" s="1" t="s">
        <v>285</v>
      </c>
      <c r="B26" s="5">
        <f>15*$H26</f>
        <v>0</v>
      </c>
      <c r="C26" s="5">
        <f>3*$H26</f>
        <v>0</v>
      </c>
      <c r="D26" s="5">
        <f t="shared" si="4"/>
        <v>0</v>
      </c>
      <c r="E26" s="5">
        <f t="shared" si="4"/>
        <v>0</v>
      </c>
      <c r="F26" s="5">
        <f t="shared" si="4"/>
        <v>0</v>
      </c>
      <c r="G26" s="5">
        <f>0*$H26</f>
        <v>0</v>
      </c>
      <c r="H26" s="5"/>
      <c r="I26" s="2" t="s">
        <v>286</v>
      </c>
      <c r="J26" s="5" t="b">
        <f>NOT(ISERROR(MATCH(A26,Index[Item],0)))</f>
        <v>1</v>
      </c>
    </row>
    <row r="27" spans="1:10" ht="37.5" x14ac:dyDescent="0.3">
      <c r="A27" s="1" t="s">
        <v>287</v>
      </c>
      <c r="B27" s="5">
        <f>15*$H27</f>
        <v>0</v>
      </c>
      <c r="C27" s="5">
        <f>3*$H27</f>
        <v>0</v>
      </c>
      <c r="D27" s="5">
        <f>0*$H27</f>
        <v>0</v>
      </c>
      <c r="E27" s="5">
        <f>0*$H27</f>
        <v>0</v>
      </c>
      <c r="F27" s="5">
        <f>0*$H27</f>
        <v>0</v>
      </c>
      <c r="G27" s="5">
        <f>0*$H27</f>
        <v>0</v>
      </c>
      <c r="H27" s="5"/>
      <c r="I27" s="2" t="s">
        <v>288</v>
      </c>
      <c r="J27" s="5" t="b">
        <f>NOT(ISERROR(MATCH(A27,Index[Item],0)))</f>
        <v>1</v>
      </c>
    </row>
    <row r="28" spans="1:10" x14ac:dyDescent="0.3">
      <c r="A28" s="1" t="s">
        <v>79</v>
      </c>
      <c r="B28" s="5">
        <f>110*$H28</f>
        <v>0</v>
      </c>
      <c r="C28" s="5">
        <f>0.5*$H28</f>
        <v>0</v>
      </c>
      <c r="D28" s="5">
        <f>9*$H28</f>
        <v>0</v>
      </c>
      <c r="E28" s="5">
        <f>7*$H28</f>
        <v>0</v>
      </c>
      <c r="F28" s="5">
        <f>0*$H28</f>
        <v>0</v>
      </c>
      <c r="G28" s="5">
        <f>0*$H28</f>
        <v>0</v>
      </c>
      <c r="H28" s="5"/>
      <c r="I28" s="2" t="s">
        <v>80</v>
      </c>
      <c r="J28" s="5" t="b">
        <f>NOT(ISERROR(MATCH(A28,Index[Item],0)))</f>
        <v>1</v>
      </c>
    </row>
    <row r="29" spans="1:10" x14ac:dyDescent="0.3">
      <c r="A29" s="1" t="s">
        <v>81</v>
      </c>
      <c r="B29" s="5">
        <f>120*$H29</f>
        <v>0</v>
      </c>
      <c r="C29" s="5">
        <f>2*$H29</f>
        <v>0</v>
      </c>
      <c r="D29" s="5">
        <f>9*$H29</f>
        <v>0</v>
      </c>
      <c r="E29" s="5">
        <f>6*$H29</f>
        <v>0</v>
      </c>
      <c r="F29" s="5">
        <f>0*$H29</f>
        <v>0</v>
      </c>
      <c r="G29" s="5">
        <f>0*$H29</f>
        <v>0</v>
      </c>
      <c r="H29" s="5"/>
      <c r="I29" s="2" t="s">
        <v>80</v>
      </c>
      <c r="J29" s="5" t="b">
        <f>NOT(ISERROR(MATCH(A29,Index[Item],0)))</f>
        <v>1</v>
      </c>
    </row>
    <row r="30" spans="1:10" x14ac:dyDescent="0.3">
      <c r="A30" s="1" t="s">
        <v>84</v>
      </c>
      <c r="B30" s="5">
        <f>110*$H30</f>
        <v>0</v>
      </c>
      <c r="C30" s="5">
        <f>0.5*$H30</f>
        <v>0</v>
      </c>
      <c r="D30" s="5">
        <f>9*$H30</f>
        <v>0</v>
      </c>
      <c r="E30" s="5">
        <f>6*$H30</f>
        <v>0</v>
      </c>
      <c r="F30" s="5">
        <f t="shared" ref="F30:F37" si="5">0*$H30</f>
        <v>0</v>
      </c>
      <c r="G30" s="5">
        <f>0.5*$H30</f>
        <v>0</v>
      </c>
      <c r="H30" s="5"/>
      <c r="I30" s="2" t="s">
        <v>80</v>
      </c>
      <c r="J30" s="5" t="b">
        <f>NOT(ISERROR(MATCH(A30,Index[Item],0)))</f>
        <v>1</v>
      </c>
    </row>
    <row r="31" spans="1:10" ht="37.5" x14ac:dyDescent="0.3">
      <c r="A31" s="1" t="s">
        <v>86</v>
      </c>
      <c r="B31" s="5">
        <f>90*$H31</f>
        <v>0</v>
      </c>
      <c r="C31" s="5">
        <f>1*$H31</f>
        <v>0</v>
      </c>
      <c r="D31" s="5">
        <f>7*$H31</f>
        <v>0</v>
      </c>
      <c r="E31" s="5">
        <f>6*$H31</f>
        <v>0</v>
      </c>
      <c r="F31" s="5">
        <f t="shared" si="5"/>
        <v>0</v>
      </c>
      <c r="G31" s="5">
        <f>0*$H31</f>
        <v>0</v>
      </c>
      <c r="H31" s="5"/>
      <c r="I31" s="2" t="s">
        <v>80</v>
      </c>
      <c r="J31" s="5" t="b">
        <f>NOT(ISERROR(MATCH(A31,Index[Item],0)))</f>
        <v>1</v>
      </c>
    </row>
    <row r="32" spans="1:10" ht="37.5" x14ac:dyDescent="0.3">
      <c r="A32" s="1" t="s">
        <v>87</v>
      </c>
      <c r="B32" s="5">
        <f>80*$H32</f>
        <v>0</v>
      </c>
      <c r="C32" s="5">
        <f>2*$H32</f>
        <v>0</v>
      </c>
      <c r="D32" s="5">
        <f>6*$H32</f>
        <v>0</v>
      </c>
      <c r="E32" s="5">
        <f>7*$H32</f>
        <v>0</v>
      </c>
      <c r="F32" s="5">
        <f t="shared" si="5"/>
        <v>0</v>
      </c>
      <c r="G32" s="5">
        <f>0.5*$H32</f>
        <v>0</v>
      </c>
      <c r="H32" s="5"/>
      <c r="I32" s="2" t="s">
        <v>80</v>
      </c>
      <c r="J32" s="5" t="b">
        <f>NOT(ISERROR(MATCH(A32,Index[Item],0)))</f>
        <v>1</v>
      </c>
    </row>
    <row r="33" spans="1:10" ht="37.5" x14ac:dyDescent="0.3">
      <c r="A33" s="1" t="s">
        <v>577</v>
      </c>
      <c r="B33" s="5">
        <f>60*$H33</f>
        <v>0</v>
      </c>
      <c r="C33" s="5">
        <f>1*$H33</f>
        <v>0</v>
      </c>
      <c r="D33" s="5">
        <f>4*$H33</f>
        <v>0</v>
      </c>
      <c r="E33" s="5">
        <f>5*$H33</f>
        <v>0</v>
      </c>
      <c r="F33" s="5">
        <f t="shared" si="5"/>
        <v>0</v>
      </c>
      <c r="G33" s="5">
        <f>0*$H33</f>
        <v>0</v>
      </c>
      <c r="H33" s="5"/>
      <c r="I33" s="2" t="s">
        <v>579</v>
      </c>
      <c r="J33" s="5" t="b">
        <f>NOT(ISERROR(MATCH(A33,Index[Item],0)))</f>
        <v>1</v>
      </c>
    </row>
    <row r="34" spans="1:10" ht="37.5" x14ac:dyDescent="0.3">
      <c r="A34" s="1" t="s">
        <v>578</v>
      </c>
      <c r="B34" s="5">
        <f>70*$H34</f>
        <v>0</v>
      </c>
      <c r="C34" s="5">
        <f>0*$H34</f>
        <v>0</v>
      </c>
      <c r="D34" s="5">
        <f>6*$H34</f>
        <v>0</v>
      </c>
      <c r="E34" s="5">
        <f>5*$H34</f>
        <v>0</v>
      </c>
      <c r="F34" s="5">
        <f t="shared" si="5"/>
        <v>0</v>
      </c>
      <c r="G34" s="5">
        <f>0*$H34</f>
        <v>0</v>
      </c>
      <c r="H34" s="5"/>
      <c r="I34" s="2" t="s">
        <v>579</v>
      </c>
      <c r="J34" s="5" t="b">
        <f>NOT(ISERROR(MATCH(A34,Index[Item],0)))</f>
        <v>1</v>
      </c>
    </row>
    <row r="35" spans="1:10" ht="37.5" x14ac:dyDescent="0.3">
      <c r="A35" s="1" t="s">
        <v>594</v>
      </c>
      <c r="B35" s="5">
        <f>80*$H35</f>
        <v>0</v>
      </c>
      <c r="C35" s="5">
        <f>0.5*$H35</f>
        <v>0</v>
      </c>
      <c r="D35" s="5">
        <f>7*$H35</f>
        <v>0</v>
      </c>
      <c r="E35" s="5">
        <f>5*$H35</f>
        <v>0</v>
      </c>
      <c r="F35" s="5">
        <f t="shared" si="5"/>
        <v>0</v>
      </c>
      <c r="G35" s="5">
        <f>0*$H35</f>
        <v>0</v>
      </c>
      <c r="H35" s="5"/>
      <c r="I35" s="2" t="s">
        <v>579</v>
      </c>
      <c r="J35" s="5" t="b">
        <f>NOT(ISERROR(MATCH(A35,Index[Item],0)))</f>
        <v>1</v>
      </c>
    </row>
    <row r="36" spans="1:10" ht="37.5" x14ac:dyDescent="0.3">
      <c r="A36" s="1" t="s">
        <v>595</v>
      </c>
      <c r="B36" s="5">
        <f>80*$H36</f>
        <v>0</v>
      </c>
      <c r="C36" s="5">
        <f>0.5*$H36</f>
        <v>0</v>
      </c>
      <c r="D36" s="5">
        <f>7*$H36</f>
        <v>0</v>
      </c>
      <c r="E36" s="5">
        <f>5*$H36</f>
        <v>0</v>
      </c>
      <c r="F36" s="5">
        <f t="shared" si="5"/>
        <v>0</v>
      </c>
      <c r="G36" s="5">
        <f>0*$H36</f>
        <v>0</v>
      </c>
      <c r="H36" s="5"/>
      <c r="I36" s="2" t="s">
        <v>579</v>
      </c>
      <c r="J36" s="5" t="b">
        <f>NOT(ISERROR(MATCH(A36,Index[Item],0)))</f>
        <v>1</v>
      </c>
    </row>
    <row r="37" spans="1:10" ht="37.5" x14ac:dyDescent="0.3">
      <c r="A37" s="1" t="s">
        <v>596</v>
      </c>
      <c r="B37" s="5">
        <f>80*$H37</f>
        <v>0</v>
      </c>
      <c r="C37" s="5">
        <f>0.5*$H37</f>
        <v>0</v>
      </c>
      <c r="D37" s="5">
        <f>7*$H37</f>
        <v>0</v>
      </c>
      <c r="E37" s="5">
        <f>5*$H37</f>
        <v>0</v>
      </c>
      <c r="F37" s="5">
        <f t="shared" si="5"/>
        <v>0</v>
      </c>
      <c r="G37" s="5">
        <f>0*$H37</f>
        <v>0</v>
      </c>
      <c r="H37" s="5"/>
      <c r="I37" s="2" t="s">
        <v>579</v>
      </c>
      <c r="J37" s="5" t="b">
        <f>NOT(ISERROR(MATCH(A37,Index[Item],0)))</f>
        <v>1</v>
      </c>
    </row>
    <row r="38" spans="1:10" x14ac:dyDescent="0.3">
      <c r="A38" s="1" t="s">
        <v>481</v>
      </c>
      <c r="B38" s="5">
        <f>MexicanSpice49[[#Totals],[Calories]]</f>
        <v>93.000000000000014</v>
      </c>
      <c r="C38" s="5">
        <f>MexicanSpice49[[#Totals],[Carbs]]</f>
        <v>17.7</v>
      </c>
      <c r="D38" s="5">
        <f>MexicanSpice49[[#Totals],[Fat]]</f>
        <v>3.5000000000000004</v>
      </c>
      <c r="E38" s="5">
        <f>MexicanSpice49[[#Totals],[Protein]]</f>
        <v>4.3</v>
      </c>
      <c r="F38" s="5">
        <f>MexicanSpice49[[#Totals],[Fiber]]</f>
        <v>8.5</v>
      </c>
      <c r="G38" s="5">
        <f>MexicanSpice49[[#Totals],[Sugar]]</f>
        <v>1.8000000000000003</v>
      </c>
      <c r="H38" s="5">
        <f>MexicanSpice49[[#Totals],[Serving by TSP]]</f>
        <v>14</v>
      </c>
      <c r="J38" s="5" t="b">
        <f>NOT(ISERROR(MATCH(A38,Index[Item],0)))</f>
        <v>1</v>
      </c>
    </row>
    <row r="39" spans="1:10" x14ac:dyDescent="0.3">
      <c r="A39" s="2" t="s">
        <v>34</v>
      </c>
      <c r="B39" s="5">
        <f>SUBTOTAL(109,ChickenCasserole[Calories])/ChickenCasserole[[#Totals],[Measurement]]</f>
        <v>455.13333333333338</v>
      </c>
      <c r="C39" s="5">
        <f>SUBTOTAL(109,ChickenCasserole[Carbs])/ChickenCasserole[[#Totals],[Measurement]]</f>
        <v>19.400000000000002</v>
      </c>
      <c r="D39" s="5">
        <f>SUBTOTAL(109,ChickenCasserole[[Fat ]])/ChickenCasserole[[#Totals],[Measurement]]</f>
        <v>26.363333333333333</v>
      </c>
      <c r="E39" s="5">
        <f>SUBTOTAL(109,ChickenCasserole[Protein])/ChickenCasserole[[#Totals],[Measurement]]</f>
        <v>39.31333333333334</v>
      </c>
      <c r="F39" s="5">
        <f>SUBTOTAL(109,ChickenCasserole[Fiber])/ChickenCasserole[[#Totals],[Measurement]]</f>
        <v>3.9766666666666666</v>
      </c>
      <c r="G39" s="5">
        <f>SUBTOTAL(109,ChickenCasserole[Sugar])/ChickenCasserole[[#Totals],[Measurement]]</f>
        <v>6.1033333333333326</v>
      </c>
      <c r="H39" s="5">
        <f>SUBTOTAL(109,ChickenCasserole[Servings])/ChickenCasserole[[#Totals],[Measurement]]</f>
        <v>8.2000000000000011</v>
      </c>
      <c r="I39" s="2" t="s">
        <v>545</v>
      </c>
    </row>
    <row r="40" spans="1:10" x14ac:dyDescent="0.3">
      <c r="A40"/>
      <c r="B40"/>
      <c r="C40"/>
      <c r="D40"/>
      <c r="E40"/>
      <c r="F40"/>
      <c r="G40"/>
      <c r="H40"/>
      <c r="I40"/>
    </row>
    <row r="41" spans="1:10" x14ac:dyDescent="0.3">
      <c r="B41" s="5"/>
      <c r="C41" s="5"/>
      <c r="D41" s="5"/>
      <c r="E41" s="5"/>
      <c r="F41" s="5"/>
      <c r="G41" s="5"/>
      <c r="H41" s="5"/>
    </row>
    <row r="42" spans="1:10" x14ac:dyDescent="0.3">
      <c r="A42" s="10" t="s">
        <v>0</v>
      </c>
      <c r="B42" s="11" t="s">
        <v>1</v>
      </c>
      <c r="C42" s="11" t="s">
        <v>2</v>
      </c>
      <c r="D42" s="11" t="s">
        <v>3</v>
      </c>
      <c r="E42" s="11" t="s">
        <v>4</v>
      </c>
      <c r="F42" s="11" t="s">
        <v>5</v>
      </c>
      <c r="G42" s="11" t="s">
        <v>6</v>
      </c>
      <c r="H42" s="11" t="s">
        <v>7</v>
      </c>
    </row>
    <row r="43" spans="1:10" x14ac:dyDescent="0.3">
      <c r="A43" s="8" t="s">
        <v>8</v>
      </c>
      <c r="B43" s="6">
        <f>1.6*$H43</f>
        <v>0</v>
      </c>
      <c r="C43" s="6">
        <f>0.3*$H43</f>
        <v>0</v>
      </c>
      <c r="D43" s="6">
        <f>0*$H43</f>
        <v>0</v>
      </c>
      <c r="E43" s="6">
        <f>0.2*$H43</f>
        <v>0</v>
      </c>
      <c r="F43" s="6">
        <f>0.3*$H43</f>
        <v>0</v>
      </c>
      <c r="G43" s="6">
        <f>0*$H43</f>
        <v>0</v>
      </c>
      <c r="H43" s="3"/>
      <c r="J43" s="2" t="b">
        <f>NOT(ISERROR(MATCH(A43,Spice[Spice],0)))</f>
        <v>1</v>
      </c>
    </row>
    <row r="44" spans="1:10" x14ac:dyDescent="0.3">
      <c r="A44" s="9" t="s">
        <v>9</v>
      </c>
      <c r="B44" s="7">
        <f>5.8*$H44</f>
        <v>5.8</v>
      </c>
      <c r="C44" s="7">
        <f>1.5*$H44</f>
        <v>1.5</v>
      </c>
      <c r="D44" s="7">
        <f>0.1*$H44</f>
        <v>0.1</v>
      </c>
      <c r="E44" s="7">
        <f>0.2*$H44</f>
        <v>0.2</v>
      </c>
      <c r="F44" s="7">
        <f>0.6*$H44</f>
        <v>0.6</v>
      </c>
      <c r="G44" s="7">
        <f>0*$H44</f>
        <v>0</v>
      </c>
      <c r="H44" s="4">
        <v>1</v>
      </c>
      <c r="J44" s="2" t="b">
        <f>NOT(ISERROR(MATCH(A44,Spice[Spice],0)))</f>
        <v>1</v>
      </c>
    </row>
    <row r="45" spans="1:10" x14ac:dyDescent="0.3">
      <c r="A45" s="8" t="s">
        <v>10</v>
      </c>
      <c r="B45" s="6">
        <f>7.6*$H45</f>
        <v>22.799999999999997</v>
      </c>
      <c r="C45" s="6">
        <f>1.3*$H45</f>
        <v>3.9000000000000004</v>
      </c>
      <c r="D45" s="6">
        <f>0.4*$H45</f>
        <v>1.2000000000000002</v>
      </c>
      <c r="E45" s="6">
        <f>0.4*$H45</f>
        <v>1.2000000000000002</v>
      </c>
      <c r="F45" s="6">
        <f>0.9*$H45</f>
        <v>2.7</v>
      </c>
      <c r="G45" s="6">
        <f>0.2*$H45</f>
        <v>0.60000000000000009</v>
      </c>
      <c r="H45" s="3">
        <v>3</v>
      </c>
      <c r="J45" s="2" t="b">
        <f>NOT(ISERROR(MATCH(A45,Spice[Spice],0)))</f>
        <v>1</v>
      </c>
    </row>
    <row r="46" spans="1:10" x14ac:dyDescent="0.3">
      <c r="A46" s="9" t="s">
        <v>11</v>
      </c>
      <c r="B46" s="7">
        <f>48*$H46</f>
        <v>0</v>
      </c>
      <c r="C46" s="7">
        <f>8*$H46</f>
        <v>0</v>
      </c>
      <c r="D46" s="7">
        <f>0*$H46</f>
        <v>0</v>
      </c>
      <c r="E46" s="7">
        <f>0*$H46</f>
        <v>0</v>
      </c>
      <c r="F46" s="7">
        <f>0*$H46</f>
        <v>0</v>
      </c>
      <c r="G46" s="7">
        <f>0*$H46</f>
        <v>0</v>
      </c>
      <c r="H46" s="4"/>
      <c r="J46" s="2" t="b">
        <f>NOT(ISERROR(MATCH(A46,Spice[Spice],0)))</f>
        <v>1</v>
      </c>
    </row>
    <row r="47" spans="1:10" ht="18" customHeight="1" x14ac:dyDescent="0.3">
      <c r="A47" s="8" t="s">
        <v>12</v>
      </c>
      <c r="B47" s="6">
        <f>6.4*$H47</f>
        <v>0</v>
      </c>
      <c r="C47" s="6">
        <f>2.1*$H47</f>
        <v>0</v>
      </c>
      <c r="D47" s="6">
        <f>0*$H46</f>
        <v>0</v>
      </c>
      <c r="E47" s="6">
        <f>0.1*$H47</f>
        <v>0</v>
      </c>
      <c r="F47" s="6">
        <f>1.4*$H47</f>
        <v>0</v>
      </c>
      <c r="G47" s="6">
        <f>0.1*$H47</f>
        <v>0</v>
      </c>
      <c r="H47" s="3"/>
      <c r="J47" s="2" t="b">
        <f>NOT(ISERROR(MATCH(A47,Spice[Spice],0)))</f>
        <v>1</v>
      </c>
    </row>
    <row r="48" spans="1:10" x14ac:dyDescent="0.3">
      <c r="A48" s="9" t="s">
        <v>13</v>
      </c>
      <c r="B48" s="7">
        <f>1.7*$H48</f>
        <v>1.7</v>
      </c>
      <c r="C48" s="7">
        <f>0.3*$H48</f>
        <v>0.3</v>
      </c>
      <c r="D48" s="7">
        <f>0*$H48</f>
        <v>0</v>
      </c>
      <c r="E48" s="7">
        <f>0.1*$H48</f>
        <v>0.1</v>
      </c>
      <c r="F48" s="7">
        <f>0.1*$H48</f>
        <v>0.1</v>
      </c>
      <c r="G48" s="7">
        <f>0*$H48</f>
        <v>0</v>
      </c>
      <c r="H48" s="4">
        <v>1</v>
      </c>
      <c r="J48" s="2" t="b">
        <f>NOT(ISERROR(MATCH(A48,Spice[Spice],0)))</f>
        <v>1</v>
      </c>
    </row>
    <row r="49" spans="1:10" ht="37.5" x14ac:dyDescent="0.3">
      <c r="A49" s="8" t="s">
        <v>14</v>
      </c>
      <c r="B49" s="6">
        <f>5.7*$H49</f>
        <v>0</v>
      </c>
      <c r="C49" s="6">
        <f>1*$H49</f>
        <v>0</v>
      </c>
      <c r="D49" s="6">
        <f>0*$H49</f>
        <v>0</v>
      </c>
      <c r="E49" s="6">
        <f>0.2*$H49</f>
        <v>0</v>
      </c>
      <c r="F49" s="6">
        <f>0.5*$H49</f>
        <v>0</v>
      </c>
      <c r="G49" s="6">
        <f>0.2*$H49</f>
        <v>0</v>
      </c>
      <c r="H49" s="3"/>
      <c r="J49" s="2" t="b">
        <f>NOT(ISERROR(MATCH(A49,Spice[Spice],0)))</f>
        <v>1</v>
      </c>
    </row>
    <row r="50" spans="1:10" x14ac:dyDescent="0.3">
      <c r="A50" s="9" t="s">
        <v>15</v>
      </c>
      <c r="B50" s="7">
        <f>7.6*$H50</f>
        <v>7.6</v>
      </c>
      <c r="C50" s="7">
        <f>0.9*$H50</f>
        <v>0.9</v>
      </c>
      <c r="D50" s="7">
        <f>0.5*$H50</f>
        <v>0.5</v>
      </c>
      <c r="E50" s="7">
        <f>0.4*$H50</f>
        <v>0.4</v>
      </c>
      <c r="F50" s="7">
        <f>0.2*$H50</f>
        <v>0.2</v>
      </c>
      <c r="G50" s="7">
        <f>0.1*$H50</f>
        <v>0.1</v>
      </c>
      <c r="H50" s="4">
        <v>1</v>
      </c>
      <c r="J50" s="2" t="b">
        <f>NOT(ISERROR(MATCH(A50,Spice[Spice],0)))</f>
        <v>1</v>
      </c>
    </row>
    <row r="51" spans="1:10" x14ac:dyDescent="0.3">
      <c r="A51" s="8" t="s">
        <v>16</v>
      </c>
      <c r="B51" s="6">
        <f>(36/5)*$H51</f>
        <v>0</v>
      </c>
      <c r="C51" s="6">
        <f>(5/5)*$H51</f>
        <v>0</v>
      </c>
      <c r="D51" s="6">
        <f>(1.2/5)*$H51</f>
        <v>0</v>
      </c>
      <c r="E51" s="6">
        <f>(1.3/5)*$H51</f>
        <v>0</v>
      </c>
      <c r="F51" s="6">
        <f>(3/5)*$H51</f>
        <v>0</v>
      </c>
      <c r="G51" s="6">
        <f>(0.2/5)*$H51</f>
        <v>0</v>
      </c>
      <c r="H51" s="3"/>
      <c r="J51" s="2" t="b">
        <f>NOT(ISERROR(MATCH(A51,Spice[Spice],0)))</f>
        <v>1</v>
      </c>
    </row>
    <row r="52" spans="1:10" x14ac:dyDescent="0.3">
      <c r="A52" s="9" t="s">
        <v>17</v>
      </c>
      <c r="B52" s="7">
        <f>5*$H52</f>
        <v>0</v>
      </c>
      <c r="C52" s="7">
        <f>1*$H52</f>
        <v>0</v>
      </c>
      <c r="D52" s="7">
        <f>0*$H52</f>
        <v>0</v>
      </c>
      <c r="E52" s="7">
        <f>0*$H52</f>
        <v>0</v>
      </c>
      <c r="F52" s="7">
        <f>0*$H52</f>
        <v>0</v>
      </c>
      <c r="G52" s="7">
        <f>0*$H52</f>
        <v>0</v>
      </c>
      <c r="H52" s="4"/>
      <c r="J52" s="2" t="b">
        <f>NOT(ISERROR(MATCH(A52,Spice[Spice],0)))</f>
        <v>1</v>
      </c>
    </row>
    <row r="53" spans="1:10" x14ac:dyDescent="0.3">
      <c r="A53" s="8" t="s">
        <v>18</v>
      </c>
      <c r="B53" s="6">
        <f>10*$H53</f>
        <v>10</v>
      </c>
      <c r="C53" s="6">
        <f>2.3*$H53</f>
        <v>2.2999999999999998</v>
      </c>
      <c r="D53" s="6">
        <f>0*$H53</f>
        <v>0</v>
      </c>
      <c r="E53" s="6">
        <f>0.5*$H53</f>
        <v>0.5</v>
      </c>
      <c r="F53" s="6">
        <f>0.3*$H53</f>
        <v>0.3</v>
      </c>
      <c r="G53" s="6">
        <f>0.1*$H53</f>
        <v>0.1</v>
      </c>
      <c r="H53" s="3">
        <v>1</v>
      </c>
      <c r="J53" s="2" t="b">
        <f>NOT(ISERROR(MATCH(A53,Spice[Spice],0)))</f>
        <v>1</v>
      </c>
    </row>
    <row r="54" spans="1:10" x14ac:dyDescent="0.3">
      <c r="A54" s="9" t="s">
        <v>19</v>
      </c>
      <c r="B54" s="7">
        <f>1.2*$H54</f>
        <v>0</v>
      </c>
      <c r="C54" s="7">
        <f>0.3*$H54</f>
        <v>0</v>
      </c>
      <c r="D54" s="7">
        <f>0*$H54</f>
        <v>0</v>
      </c>
      <c r="E54" s="7">
        <f>1*$H54</f>
        <v>0</v>
      </c>
      <c r="F54" s="7">
        <f>0*$H54</f>
        <v>0</v>
      </c>
      <c r="G54" s="7">
        <f>0*$H54</f>
        <v>0</v>
      </c>
      <c r="H54" s="4"/>
      <c r="J54" s="2" t="b">
        <f>NOT(ISERROR(MATCH(A54,Spice[Spice],0)))</f>
        <v>1</v>
      </c>
    </row>
    <row r="55" spans="1:10" x14ac:dyDescent="0.3">
      <c r="A55" s="9" t="s">
        <v>20</v>
      </c>
      <c r="B55" s="7">
        <f>6*$H55</f>
        <v>0</v>
      </c>
      <c r="C55" s="7">
        <f>1.3*$H55</f>
        <v>0</v>
      </c>
      <c r="D55" s="7">
        <f>0.1*$H55</f>
        <v>0</v>
      </c>
      <c r="E55" s="7">
        <f>0.2*$H55</f>
        <v>0</v>
      </c>
      <c r="F55" s="7">
        <f>0.3*$H55</f>
        <v>0</v>
      </c>
      <c r="G55" s="7">
        <f>0.1*$H55</f>
        <v>0</v>
      </c>
      <c r="H55" s="4"/>
      <c r="J55" s="2" t="b">
        <f>NOT(ISERROR(MATCH(A55,Spice[Spice],0)))</f>
        <v>1</v>
      </c>
    </row>
    <row r="56" spans="1:10" x14ac:dyDescent="0.3">
      <c r="A56" s="8" t="s">
        <v>21</v>
      </c>
      <c r="B56" s="6">
        <f>2.2*$H56</f>
        <v>0</v>
      </c>
      <c r="C56" s="6">
        <f>0.5*$H56</f>
        <v>0</v>
      </c>
      <c r="D56" s="6">
        <f>0.1*$H56</f>
        <v>0</v>
      </c>
      <c r="E56" s="6">
        <f>0.1*$H56</f>
        <v>0</v>
      </c>
      <c r="F56" s="6">
        <f>0.3*$H56</f>
        <v>0</v>
      </c>
      <c r="G56" s="6">
        <f>0*$H56</f>
        <v>0</v>
      </c>
      <c r="H56" s="3"/>
      <c r="J56" s="2" t="b">
        <f>NOT(ISERROR(MATCH(A56,Spice[Spice],0)))</f>
        <v>1</v>
      </c>
    </row>
    <row r="57" spans="1:10" x14ac:dyDescent="0.3">
      <c r="A57" s="9" t="s">
        <v>22</v>
      </c>
      <c r="B57" s="7">
        <f>0*$H57</f>
        <v>0</v>
      </c>
      <c r="C57" s="7">
        <f>0*$H57</f>
        <v>0</v>
      </c>
      <c r="D57" s="7">
        <f>0*$H57</f>
        <v>0</v>
      </c>
      <c r="E57" s="7">
        <f>0*$H57</f>
        <v>0</v>
      </c>
      <c r="F57" s="7">
        <f>0*$H57</f>
        <v>0</v>
      </c>
      <c r="G57" s="7">
        <f>0*$H57</f>
        <v>0</v>
      </c>
      <c r="H57" s="4"/>
      <c r="J57" s="2" t="b">
        <f>NOT(ISERROR(MATCH(A57,Spice[Spice],0)))</f>
        <v>1</v>
      </c>
    </row>
    <row r="58" spans="1:10" x14ac:dyDescent="0.3">
      <c r="A58" s="8" t="s">
        <v>23</v>
      </c>
      <c r="B58" s="6">
        <f>8.2*$H58</f>
        <v>0</v>
      </c>
      <c r="C58" s="6">
        <f>1.9*$H58</f>
        <v>0</v>
      </c>
      <c r="D58" s="6">
        <f>0*$H58</f>
        <v>0</v>
      </c>
      <c r="E58" s="6">
        <f>0.3*$H58</f>
        <v>0</v>
      </c>
      <c r="F58" s="6">
        <f>0.4*$H58</f>
        <v>0</v>
      </c>
      <c r="G58" s="6">
        <f>0.2*$H58</f>
        <v>0</v>
      </c>
      <c r="H58" s="3"/>
      <c r="J58" s="2" t="b">
        <f>NOT(ISERROR(MATCH(A58,Spice[Spice],0)))</f>
        <v>1</v>
      </c>
    </row>
    <row r="59" spans="1:10" x14ac:dyDescent="0.3">
      <c r="A59" s="9" t="s">
        <v>24</v>
      </c>
      <c r="B59" s="7">
        <f>2.7*$H59</f>
        <v>0</v>
      </c>
      <c r="C59" s="7">
        <f>0.7*$H59</f>
        <v>0</v>
      </c>
      <c r="D59" s="7">
        <f>0*$H59</f>
        <v>0</v>
      </c>
      <c r="E59" s="7">
        <f>0.1*$H59</f>
        <v>0</v>
      </c>
      <c r="F59" s="7">
        <f>0.4*$H59</f>
        <v>0</v>
      </c>
      <c r="G59" s="7">
        <f>0*$H59</f>
        <v>0</v>
      </c>
      <c r="H59" s="4"/>
      <c r="J59" s="2" t="b">
        <f>NOT(ISERROR(MATCH(A59,Spice[Spice],0)))</f>
        <v>1</v>
      </c>
    </row>
    <row r="60" spans="1:10" x14ac:dyDescent="0.3">
      <c r="A60" s="8" t="s">
        <v>25</v>
      </c>
      <c r="B60" s="6">
        <f>6.5*$H60</f>
        <v>19.5</v>
      </c>
      <c r="C60" s="6">
        <f>1.2*$H60</f>
        <v>3.5999999999999996</v>
      </c>
      <c r="D60" s="6">
        <f>0.3*$H60</f>
        <v>0.89999999999999991</v>
      </c>
      <c r="E60" s="6">
        <f>0.3*$H60</f>
        <v>0.89999999999999991</v>
      </c>
      <c r="F60" s="6">
        <f>0.8*$H60</f>
        <v>2.4000000000000004</v>
      </c>
      <c r="G60" s="6">
        <f>0.2*$H60</f>
        <v>0.60000000000000009</v>
      </c>
      <c r="H60" s="3">
        <v>3</v>
      </c>
      <c r="J60" s="2" t="b">
        <f>NOT(ISERROR(MATCH(A60,Spice[Spice],0)))</f>
        <v>1</v>
      </c>
    </row>
    <row r="61" spans="1:10" x14ac:dyDescent="0.3">
      <c r="A61" s="9" t="s">
        <v>26</v>
      </c>
      <c r="B61" s="7">
        <f>1.5*$H61</f>
        <v>0</v>
      </c>
      <c r="C61" s="7">
        <f>0.3*$H61</f>
        <v>0</v>
      </c>
      <c r="D61" s="7">
        <f>0*$H61</f>
        <v>0</v>
      </c>
      <c r="E61" s="7">
        <f>0.1*$H61</f>
        <v>0</v>
      </c>
      <c r="F61" s="7">
        <f>0.1*$H61</f>
        <v>0</v>
      </c>
      <c r="G61" s="7">
        <f>0*$H61</f>
        <v>0</v>
      </c>
      <c r="H61" s="4"/>
      <c r="J61" s="2" t="b">
        <f>NOT(ISERROR(MATCH(A61,Spice[Spice],0)))</f>
        <v>1</v>
      </c>
    </row>
    <row r="62" spans="1:10" x14ac:dyDescent="0.3">
      <c r="A62" s="8" t="s">
        <v>27</v>
      </c>
      <c r="B62" s="6">
        <f>5.7*$H62</f>
        <v>11.4</v>
      </c>
      <c r="C62" s="6">
        <f>1*$H62</f>
        <v>2</v>
      </c>
      <c r="D62" s="6">
        <f>0.3*$H62</f>
        <v>0.6</v>
      </c>
      <c r="E62" s="6">
        <f>0.2*$H62</f>
        <v>0.4</v>
      </c>
      <c r="F62" s="6">
        <f>0.5*$H62</f>
        <v>1</v>
      </c>
      <c r="G62" s="6">
        <f>0.2*$H62</f>
        <v>0.4</v>
      </c>
      <c r="H62" s="3">
        <v>2</v>
      </c>
      <c r="J62" s="2" t="b">
        <f>NOT(ISERROR(MATCH(A62,Spice[Spice],0)))</f>
        <v>1</v>
      </c>
    </row>
    <row r="63" spans="1:10" x14ac:dyDescent="0.3">
      <c r="A63" s="12" t="s">
        <v>28</v>
      </c>
      <c r="B63" s="13">
        <f t="shared" ref="B63:G63" si="6">0*$H63</f>
        <v>0</v>
      </c>
      <c r="C63" s="13">
        <f t="shared" si="6"/>
        <v>0</v>
      </c>
      <c r="D63" s="13">
        <f t="shared" si="6"/>
        <v>0</v>
      </c>
      <c r="E63" s="13">
        <f t="shared" si="6"/>
        <v>0</v>
      </c>
      <c r="F63" s="13">
        <f t="shared" si="6"/>
        <v>0</v>
      </c>
      <c r="G63" s="13">
        <f t="shared" si="6"/>
        <v>0</v>
      </c>
      <c r="H63" s="14"/>
      <c r="J63" s="2" t="b">
        <f>NOT(ISERROR(MATCH(A63,Spice[Spice],0)))</f>
        <v>1</v>
      </c>
    </row>
    <row r="64" spans="1:10" x14ac:dyDescent="0.3">
      <c r="A64" s="8" t="s">
        <v>29</v>
      </c>
      <c r="B64" s="6">
        <f>2.5*$H64</f>
        <v>0</v>
      </c>
      <c r="C64" s="6">
        <f>0.6*$H64</f>
        <v>0</v>
      </c>
      <c r="D64" s="6">
        <f>0.1*$H64</f>
        <v>0</v>
      </c>
      <c r="E64" s="6">
        <f>0.1*$H64</f>
        <v>0</v>
      </c>
      <c r="F64" s="6">
        <f>0.3*$H64</f>
        <v>0</v>
      </c>
      <c r="G64" s="6">
        <f>0*$H64</f>
        <v>0</v>
      </c>
      <c r="H64" s="3"/>
      <c r="J64" s="2" t="b">
        <f>NOT(ISERROR(MATCH(A64,Spice[Spice],0)))</f>
        <v>1</v>
      </c>
    </row>
    <row r="65" spans="1:10" x14ac:dyDescent="0.3">
      <c r="A65" s="8" t="s">
        <v>31</v>
      </c>
      <c r="B65" s="6">
        <f>0*$H65</f>
        <v>0</v>
      </c>
      <c r="C65" s="6">
        <f>0*$H65</f>
        <v>0</v>
      </c>
      <c r="D65" s="6">
        <f>0*$H65</f>
        <v>0</v>
      </c>
      <c r="E65" s="6">
        <f>0*$H65</f>
        <v>0</v>
      </c>
      <c r="F65" s="6">
        <f>0*$H65</f>
        <v>0</v>
      </c>
      <c r="G65" s="6">
        <f>0*$H65</f>
        <v>0</v>
      </c>
      <c r="H65" s="3"/>
      <c r="J65" s="2" t="b">
        <f>NOT(ISERROR(MATCH(A65,Spice[Spice],0)))</f>
        <v>1</v>
      </c>
    </row>
    <row r="66" spans="1:10" x14ac:dyDescent="0.3">
      <c r="A66" s="8" t="s">
        <v>33</v>
      </c>
      <c r="B66" s="6">
        <f>7.1*$H66</f>
        <v>14.2</v>
      </c>
      <c r="C66" s="6">
        <f>1.6*$H66</f>
        <v>3.2</v>
      </c>
      <c r="D66" s="6">
        <f>0.1*$H66</f>
        <v>0.2</v>
      </c>
      <c r="E66" s="6">
        <f>0.3*$H66</f>
        <v>0.6</v>
      </c>
      <c r="F66" s="6">
        <f>0.6*$H66</f>
        <v>1.2</v>
      </c>
      <c r="G66" s="6">
        <f>0*$H66</f>
        <v>0</v>
      </c>
      <c r="H66" s="3">
        <v>2</v>
      </c>
      <c r="J66" s="2" t="b">
        <f>NOT(ISERROR(MATCH(A66,Spice[Spice],0)))</f>
        <v>1</v>
      </c>
    </row>
    <row r="67" spans="1:10" x14ac:dyDescent="0.3">
      <c r="A67" s="8" t="s">
        <v>34</v>
      </c>
      <c r="B67" s="6">
        <f>SUBTOTAL(109,MexicanSpice49[Calories])</f>
        <v>93.000000000000014</v>
      </c>
      <c r="C67" s="6">
        <f>SUBTOTAL(109,MexicanSpice49[Carbs])</f>
        <v>17.7</v>
      </c>
      <c r="D67" s="6">
        <f>SUBTOTAL(109,MexicanSpice49[Fat])</f>
        <v>3.5000000000000004</v>
      </c>
      <c r="E67" s="6">
        <f>SUBTOTAL(109,MexicanSpice49[Protein])</f>
        <v>4.3</v>
      </c>
      <c r="F67" s="6">
        <f>SUBTOTAL(109,MexicanSpice49[Fiber])</f>
        <v>8.5</v>
      </c>
      <c r="G67" s="6">
        <f>SUBTOTAL(109,MexicanSpice49[Sugar])</f>
        <v>1.8000000000000003</v>
      </c>
      <c r="H67" s="3">
        <f>SUBTOTAL(109,MexicanSpice49[Serving by TSP])</f>
        <v>14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01D8-B86B-468F-A328-D6BDAA8C27F5}">
  <sheetPr codeName="Sheet16"/>
  <dimension ref="A1:J85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35.425781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x14ac:dyDescent="0.3">
      <c r="A2" s="1" t="s">
        <v>164</v>
      </c>
      <c r="B2" s="5">
        <f>100*$H2</f>
        <v>100</v>
      </c>
      <c r="C2" s="5">
        <f>22*$H2</f>
        <v>22</v>
      </c>
      <c r="D2" s="5">
        <f>0*$H2</f>
        <v>0</v>
      </c>
      <c r="E2" s="5">
        <f>4*$H2</f>
        <v>4</v>
      </c>
      <c r="F2" s="5">
        <f>0*$H2</f>
        <v>0</v>
      </c>
      <c r="G2" s="5">
        <f>0*$H2</f>
        <v>0</v>
      </c>
      <c r="H2" s="5">
        <v>1</v>
      </c>
      <c r="I2" s="22" t="s">
        <v>163</v>
      </c>
      <c r="J2" s="68" t="b">
        <f>NOT(ISERROR(MATCH(A2,Index[Item],0)))</f>
        <v>1</v>
      </c>
    </row>
    <row r="3" spans="1:10" x14ac:dyDescent="0.3">
      <c r="A3" s="1" t="s">
        <v>165</v>
      </c>
      <c r="B3" s="5">
        <f>110*$H3</f>
        <v>467.5</v>
      </c>
      <c r="C3" s="5">
        <f>23*$H3</f>
        <v>97.75</v>
      </c>
      <c r="D3" s="5">
        <f>0*$H3</f>
        <v>0</v>
      </c>
      <c r="E3" s="5">
        <f>3*$H3</f>
        <v>12.75</v>
      </c>
      <c r="F3" s="5">
        <f>0.5*$H3</f>
        <v>2.125</v>
      </c>
      <c r="G3" s="5">
        <f>0*$H3</f>
        <v>0</v>
      </c>
      <c r="H3" s="5">
        <v>4.25</v>
      </c>
      <c r="I3" s="22" t="s">
        <v>163</v>
      </c>
      <c r="J3" s="68" t="b">
        <f>NOT(ISERROR(MATCH(A3,Index[Item],0)))</f>
        <v>1</v>
      </c>
    </row>
    <row r="4" spans="1:10" ht="37.5" x14ac:dyDescent="0.3">
      <c r="A4" s="1" t="s">
        <v>162</v>
      </c>
      <c r="B4" s="5">
        <f>100*$H4</f>
        <v>0</v>
      </c>
      <c r="C4" s="5">
        <f>22*$H4</f>
        <v>0</v>
      </c>
      <c r="D4" s="5">
        <f>0*$H4</f>
        <v>0</v>
      </c>
      <c r="E4" s="5">
        <f>2*$H4</f>
        <v>0</v>
      </c>
      <c r="F4" s="5">
        <f>0*$H4</f>
        <v>0</v>
      </c>
      <c r="G4" s="5">
        <f>0*$H4</f>
        <v>0</v>
      </c>
      <c r="H4" s="5"/>
      <c r="I4" s="22" t="s">
        <v>163</v>
      </c>
      <c r="J4" s="68" t="b">
        <f>NOT(ISERROR(MATCH(A4,Index[Item],0)))</f>
        <v>1</v>
      </c>
    </row>
    <row r="5" spans="1:10" x14ac:dyDescent="0.3">
      <c r="A5" s="1" t="s">
        <v>229</v>
      </c>
      <c r="B5" s="5">
        <f>110*$H5</f>
        <v>110</v>
      </c>
      <c r="C5" s="5">
        <f>0*$H5</f>
        <v>0</v>
      </c>
      <c r="D5" s="5">
        <f>3*$H5</f>
        <v>3</v>
      </c>
      <c r="E5" s="5">
        <f>22*$H5</f>
        <v>22</v>
      </c>
      <c r="F5" s="5">
        <f>0*$H5</f>
        <v>0</v>
      </c>
      <c r="G5" s="5">
        <f>0*$H5</f>
        <v>0</v>
      </c>
      <c r="H5" s="5">
        <v>1</v>
      </c>
      <c r="I5" s="22" t="s">
        <v>204</v>
      </c>
      <c r="J5" s="68" t="b">
        <f>NOT(ISERROR(MATCH(A5,Index[Item],0)))</f>
        <v>1</v>
      </c>
    </row>
    <row r="6" spans="1:10" x14ac:dyDescent="0.3">
      <c r="A6" s="1" t="s">
        <v>564</v>
      </c>
      <c r="B6" s="5">
        <f>'Pasta Sauce'!B34*$H6</f>
        <v>0</v>
      </c>
      <c r="C6" s="5">
        <f>'Pasta Sauce'!C34*$H6</f>
        <v>0</v>
      </c>
      <c r="D6" s="5">
        <f>'Pasta Sauce'!D34*$H6</f>
        <v>0</v>
      </c>
      <c r="E6" s="5">
        <f>'Pasta Sauce'!E34*$H6</f>
        <v>0</v>
      </c>
      <c r="F6" s="5">
        <f>'Pasta Sauce'!F34*$H6</f>
        <v>0</v>
      </c>
      <c r="G6" s="5">
        <f>'Pasta Sauce'!G34*$H6</f>
        <v>0</v>
      </c>
      <c r="H6" s="5"/>
      <c r="J6" s="68" t="b">
        <f>NOT(ISERROR(MATCH(A6,Index[Item],0)))</f>
        <v>1</v>
      </c>
    </row>
    <row r="7" spans="1:10" x14ac:dyDescent="0.3">
      <c r="A7" s="1" t="s">
        <v>327</v>
      </c>
      <c r="B7" s="5">
        <f>30*$H7</f>
        <v>0</v>
      </c>
      <c r="C7" s="5">
        <f>5*$H7</f>
        <v>0</v>
      </c>
      <c r="D7" s="5">
        <f>1*$H7</f>
        <v>0</v>
      </c>
      <c r="E7" s="5">
        <f>1*$H7</f>
        <v>0</v>
      </c>
      <c r="F7" s="5">
        <f>1*$H7</f>
        <v>0</v>
      </c>
      <c r="G7" s="5">
        <f>3*$H7</f>
        <v>0</v>
      </c>
      <c r="H7" s="5"/>
      <c r="I7" s="22" t="s">
        <v>259</v>
      </c>
      <c r="J7" s="68" t="b">
        <f>NOT(ISERROR(MATCH(A7,Index[Item],0)))</f>
        <v>1</v>
      </c>
    </row>
    <row r="8" spans="1:10" x14ac:dyDescent="0.3">
      <c r="A8" s="1" t="s">
        <v>328</v>
      </c>
      <c r="B8" s="5">
        <f>60*$H8</f>
        <v>0</v>
      </c>
      <c r="C8" s="5">
        <f>10*$H8</f>
        <v>0</v>
      </c>
      <c r="D8" s="5">
        <f>1.5*$H8</f>
        <v>0</v>
      </c>
      <c r="E8" s="5">
        <f>2*$H8</f>
        <v>0</v>
      </c>
      <c r="F8" s="5">
        <f>2*$H8</f>
        <v>0</v>
      </c>
      <c r="G8" s="5">
        <f>6*$H8</f>
        <v>0</v>
      </c>
      <c r="H8" s="5"/>
      <c r="I8" s="22" t="s">
        <v>330</v>
      </c>
      <c r="J8" s="68" t="b">
        <f>NOT(ISERROR(MATCH(A8,Index[Item],0)))</f>
        <v>1</v>
      </c>
    </row>
    <row r="9" spans="1:10" ht="37.5" x14ac:dyDescent="0.3">
      <c r="A9" s="1" t="s">
        <v>329</v>
      </c>
      <c r="B9" s="5">
        <f>60*$H9</f>
        <v>0</v>
      </c>
      <c r="C9" s="5">
        <f>13*$H9</f>
        <v>0</v>
      </c>
      <c r="D9" s="5">
        <f>0*$H9</f>
        <v>0</v>
      </c>
      <c r="E9" s="5">
        <f>2*$H9</f>
        <v>0</v>
      </c>
      <c r="F9" s="5">
        <f>3*$H9</f>
        <v>0</v>
      </c>
      <c r="G9" s="5">
        <f>10*$H9</f>
        <v>0</v>
      </c>
      <c r="H9" s="5"/>
      <c r="I9" s="22" t="s">
        <v>330</v>
      </c>
      <c r="J9" s="68" t="b">
        <f>NOT(ISERROR(MATCH(A9,Index[Item],0)))</f>
        <v>1</v>
      </c>
    </row>
    <row r="10" spans="1:10" x14ac:dyDescent="0.3">
      <c r="A10" s="1" t="s">
        <v>331</v>
      </c>
      <c r="B10" s="5">
        <f>40*$H10</f>
        <v>0</v>
      </c>
      <c r="C10" s="5">
        <f>4*$H10</f>
        <v>0</v>
      </c>
      <c r="D10" s="5">
        <f>2*$H10</f>
        <v>0</v>
      </c>
      <c r="E10" s="5">
        <f>1*$H10</f>
        <v>0</v>
      </c>
      <c r="F10" s="5">
        <f>1*$H10</f>
        <v>0</v>
      </c>
      <c r="G10" s="5">
        <f>3*$H10</f>
        <v>0</v>
      </c>
      <c r="H10" s="5"/>
      <c r="J10" s="68" t="b">
        <f>NOT(ISERROR(MATCH(A10,Index[Item],0)))</f>
        <v>1</v>
      </c>
    </row>
    <row r="11" spans="1:10" ht="37.5" x14ac:dyDescent="0.3">
      <c r="A11" s="1" t="s">
        <v>325</v>
      </c>
      <c r="B11" s="5">
        <f>60*$H11</f>
        <v>30</v>
      </c>
      <c r="C11" s="5">
        <f>16*$H11</f>
        <v>8</v>
      </c>
      <c r="D11" s="5">
        <f t="shared" ref="D11:F12" si="0">0*$H11</f>
        <v>0</v>
      </c>
      <c r="E11" s="5">
        <f t="shared" si="0"/>
        <v>0</v>
      </c>
      <c r="F11" s="5">
        <f t="shared" si="0"/>
        <v>0</v>
      </c>
      <c r="G11" s="5">
        <f>14*$H11</f>
        <v>7</v>
      </c>
      <c r="H11" s="5">
        <v>0.5</v>
      </c>
      <c r="I11" s="22" t="s">
        <v>326</v>
      </c>
      <c r="J11" s="68" t="b">
        <f>NOT(ISERROR(MATCH(A11,Index[Item],0)))</f>
        <v>1</v>
      </c>
    </row>
    <row r="12" spans="1:10" ht="37.5" x14ac:dyDescent="0.3">
      <c r="A12" s="1" t="s">
        <v>575</v>
      </c>
      <c r="B12" s="5">
        <f>70*$H12</f>
        <v>245</v>
      </c>
      <c r="C12" s="5">
        <f>17*$H12</f>
        <v>59.5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>16*$H12</f>
        <v>56</v>
      </c>
      <c r="H12" s="5">
        <v>3.5</v>
      </c>
      <c r="I12" s="22" t="s">
        <v>576</v>
      </c>
      <c r="J12" s="68" t="b">
        <f>NOT(ISERROR(MATCH(A12,Index[Item],0)))</f>
        <v>1</v>
      </c>
    </row>
    <row r="13" spans="1:10" ht="37.5" x14ac:dyDescent="0.3">
      <c r="A13" s="1" t="s">
        <v>178</v>
      </c>
      <c r="B13" s="5">
        <f>130*$H13</f>
        <v>130</v>
      </c>
      <c r="C13" s="5">
        <f>0*$H13</f>
        <v>0</v>
      </c>
      <c r="D13" s="5">
        <f>12*$H13</f>
        <v>12</v>
      </c>
      <c r="E13" s="5">
        <f>6*$H13</f>
        <v>6</v>
      </c>
      <c r="F13" s="5">
        <f>0*$H13</f>
        <v>0</v>
      </c>
      <c r="G13" s="5">
        <f>0*$H13</f>
        <v>0</v>
      </c>
      <c r="H13" s="5">
        <v>1</v>
      </c>
      <c r="I13" s="22" t="s">
        <v>179</v>
      </c>
      <c r="J13" s="68" t="b">
        <f>NOT(ISERROR(MATCH(A13,Index[Item],0)))</f>
        <v>1</v>
      </c>
    </row>
    <row r="14" spans="1:10" ht="37.5" x14ac:dyDescent="0.3">
      <c r="A14" s="1" t="s">
        <v>180</v>
      </c>
      <c r="B14" s="5">
        <f>70*$H14</f>
        <v>0</v>
      </c>
      <c r="C14" s="5">
        <f>0.5*$H14</f>
        <v>0</v>
      </c>
      <c r="D14" s="5">
        <f>4*$H14</f>
        <v>0</v>
      </c>
      <c r="E14" s="5">
        <f>10*$H14</f>
        <v>0</v>
      </c>
      <c r="F14" s="5">
        <f t="shared" ref="F14:F20" si="1">0*$H14</f>
        <v>0</v>
      </c>
      <c r="G14" s="5">
        <f>0.5*$H14</f>
        <v>0</v>
      </c>
      <c r="H14" s="5"/>
      <c r="I14" s="22" t="s">
        <v>181</v>
      </c>
      <c r="J14" s="68" t="b">
        <f>NOT(ISERROR(MATCH(A14,Index[Item],0)))</f>
        <v>1</v>
      </c>
    </row>
    <row r="15" spans="1:10" ht="37.5" x14ac:dyDescent="0.3">
      <c r="A15" s="1" t="s">
        <v>182</v>
      </c>
      <c r="B15" s="5">
        <f>130*$H15</f>
        <v>0</v>
      </c>
      <c r="C15" s="5">
        <f>0*$H15</f>
        <v>0</v>
      </c>
      <c r="D15" s="5">
        <f>12*$H15</f>
        <v>0</v>
      </c>
      <c r="E15" s="5">
        <f>5*$H15</f>
        <v>0</v>
      </c>
      <c r="F15" s="5">
        <f t="shared" si="1"/>
        <v>0</v>
      </c>
      <c r="G15" s="5">
        <f>0*$H15</f>
        <v>0</v>
      </c>
      <c r="H15" s="5"/>
      <c r="I15" s="22" t="s">
        <v>181</v>
      </c>
      <c r="J15" s="68" t="b">
        <f>NOT(ISERROR(MATCH(A15,Index[Item],0)))</f>
        <v>1</v>
      </c>
    </row>
    <row r="16" spans="1:10" ht="37.5" x14ac:dyDescent="0.3">
      <c r="A16" s="1" t="s">
        <v>183</v>
      </c>
      <c r="B16" s="5">
        <f>110*$H16</f>
        <v>0</v>
      </c>
      <c r="C16" s="5">
        <f>0.5*$H16</f>
        <v>0</v>
      </c>
      <c r="D16" s="5">
        <f>9*$H16</f>
        <v>0</v>
      </c>
      <c r="E16" s="5">
        <f>6*$H16</f>
        <v>0</v>
      </c>
      <c r="F16" s="5">
        <f t="shared" si="1"/>
        <v>0</v>
      </c>
      <c r="G16" s="5">
        <f>0*$H16</f>
        <v>0</v>
      </c>
      <c r="H16" s="5"/>
      <c r="I16" s="22" t="s">
        <v>181</v>
      </c>
      <c r="J16" s="68" t="b">
        <f>NOT(ISERROR(MATCH(A16,Index[Item],0)))</f>
        <v>1</v>
      </c>
    </row>
    <row r="17" spans="1:10" ht="37.5" x14ac:dyDescent="0.3">
      <c r="A17" s="1" t="s">
        <v>184</v>
      </c>
      <c r="B17" s="5">
        <f>210*$H17</f>
        <v>0</v>
      </c>
      <c r="C17" s="5">
        <f>2*$H17</f>
        <v>0</v>
      </c>
      <c r="D17" s="5">
        <f>18*$H17</f>
        <v>0</v>
      </c>
      <c r="E17" s="5">
        <f>10*$H17</f>
        <v>0</v>
      </c>
      <c r="F17" s="5">
        <f t="shared" si="1"/>
        <v>0</v>
      </c>
      <c r="G17" s="5">
        <f>2*$H17</f>
        <v>0</v>
      </c>
      <c r="H17" s="5"/>
      <c r="I17" s="22" t="s">
        <v>185</v>
      </c>
      <c r="J17" s="68" t="b">
        <f>NOT(ISERROR(MATCH(A17,Index[Item],0)))</f>
        <v>1</v>
      </c>
    </row>
    <row r="18" spans="1:10" x14ac:dyDescent="0.3">
      <c r="A18" s="1" t="s">
        <v>188</v>
      </c>
      <c r="B18" s="5">
        <f>140*$H18</f>
        <v>0</v>
      </c>
      <c r="C18" s="5">
        <f>1*$H18</f>
        <v>0</v>
      </c>
      <c r="D18" s="5">
        <f>13*$H18</f>
        <v>0</v>
      </c>
      <c r="E18" s="5">
        <f>6*$H18</f>
        <v>0</v>
      </c>
      <c r="F18" s="5">
        <f t="shared" si="1"/>
        <v>0</v>
      </c>
      <c r="G18" s="5">
        <f>0.5*$H18</f>
        <v>0</v>
      </c>
      <c r="H18" s="5"/>
      <c r="I18" s="22" t="s">
        <v>189</v>
      </c>
      <c r="J18" s="68" t="b">
        <f>NOT(ISERROR(MATCH(A18,Index[Item],0)))</f>
        <v>1</v>
      </c>
    </row>
    <row r="19" spans="1:10" x14ac:dyDescent="0.3">
      <c r="A19" s="1" t="s">
        <v>190</v>
      </c>
      <c r="B19" s="5">
        <f>140*$H19</f>
        <v>0</v>
      </c>
      <c r="C19" s="5">
        <f>0.5*$H19</f>
        <v>0</v>
      </c>
      <c r="D19" s="5">
        <f>13*$H19</f>
        <v>0</v>
      </c>
      <c r="E19" s="5">
        <f>5*$H19</f>
        <v>0</v>
      </c>
      <c r="F19" s="5">
        <f t="shared" si="1"/>
        <v>0</v>
      </c>
      <c r="G19" s="5">
        <f>0*$H19</f>
        <v>0</v>
      </c>
      <c r="H19" s="5"/>
      <c r="I19" s="22" t="s">
        <v>191</v>
      </c>
      <c r="J19" s="68" t="b">
        <f>NOT(ISERROR(MATCH(A19,Index[Item],0)))</f>
        <v>1</v>
      </c>
    </row>
    <row r="20" spans="1:10" ht="37.5" x14ac:dyDescent="0.3">
      <c r="A20" s="1" t="s">
        <v>192</v>
      </c>
      <c r="B20" s="5">
        <f>70*$H20</f>
        <v>0</v>
      </c>
      <c r="C20" s="5">
        <f>1*$H20</f>
        <v>0</v>
      </c>
      <c r="D20" s="5">
        <f>4*$H20</f>
        <v>0</v>
      </c>
      <c r="E20" s="5">
        <f>9*$H20</f>
        <v>0</v>
      </c>
      <c r="F20" s="5">
        <f t="shared" si="1"/>
        <v>0</v>
      </c>
      <c r="G20" s="5">
        <f>0*$H20</f>
        <v>0</v>
      </c>
      <c r="H20" s="5"/>
      <c r="J20" s="68" t="b">
        <f>NOT(ISERROR(MATCH(A20,Index[Item],0)))</f>
        <v>1</v>
      </c>
    </row>
    <row r="21" spans="1:10" x14ac:dyDescent="0.3">
      <c r="A21" s="1" t="s">
        <v>543</v>
      </c>
      <c r="B21" s="5">
        <f>28*$H21</f>
        <v>11.76</v>
      </c>
      <c r="C21" s="5">
        <f>6.7*$H21</f>
        <v>2.8140000000000001</v>
      </c>
      <c r="D21" s="5">
        <f t="shared" ref="D21:D26" si="2">0.2*$H21</f>
        <v>8.4000000000000005E-2</v>
      </c>
      <c r="E21" s="5">
        <f>1.9*$H21</f>
        <v>0.79799999999999993</v>
      </c>
      <c r="F21" s="5">
        <f>1.2*$H21</f>
        <v>0.504</v>
      </c>
      <c r="G21" s="5">
        <f>3.2*$H21</f>
        <v>1.3440000000000001</v>
      </c>
      <c r="H21" s="5">
        <v>0.42</v>
      </c>
      <c r="I21" s="22" t="s">
        <v>96</v>
      </c>
      <c r="J21" s="68" t="b">
        <f>NOT(ISERROR(MATCH(A21,Index[Item],0)))</f>
        <v>1</v>
      </c>
    </row>
    <row r="22" spans="1:10" x14ac:dyDescent="0.3">
      <c r="A22" s="1" t="s">
        <v>27</v>
      </c>
      <c r="B22" s="5">
        <f>28*$H22</f>
        <v>0</v>
      </c>
      <c r="C22" s="5">
        <f>6.7*$H22</f>
        <v>0</v>
      </c>
      <c r="D22" s="5">
        <f t="shared" si="2"/>
        <v>0</v>
      </c>
      <c r="E22" s="5">
        <f>0.9*$H22</f>
        <v>0</v>
      </c>
      <c r="F22" s="5">
        <f>1.2*$H22</f>
        <v>0</v>
      </c>
      <c r="G22" s="5">
        <f>4.4*$H22</f>
        <v>0</v>
      </c>
      <c r="H22" s="5"/>
      <c r="I22" s="22" t="s">
        <v>96</v>
      </c>
      <c r="J22" s="68" t="b">
        <f>NOT(ISERROR(MATCH(A22,Index[Item],0)))</f>
        <v>1</v>
      </c>
    </row>
    <row r="23" spans="1:10" x14ac:dyDescent="0.3">
      <c r="A23" s="1" t="s">
        <v>98</v>
      </c>
      <c r="B23" s="5">
        <f>28*$H23</f>
        <v>0</v>
      </c>
      <c r="C23" s="5">
        <f>6.7*$H23</f>
        <v>0</v>
      </c>
      <c r="D23" s="5">
        <f t="shared" si="2"/>
        <v>0</v>
      </c>
      <c r="E23" s="5">
        <f>0.9*$H23</f>
        <v>0</v>
      </c>
      <c r="F23" s="5">
        <f>1.2*$H23</f>
        <v>0</v>
      </c>
      <c r="G23" s="5">
        <f>4.4*$H23</f>
        <v>0</v>
      </c>
      <c r="H23" s="5"/>
      <c r="I23" s="22" t="s">
        <v>96</v>
      </c>
      <c r="J23" s="68" t="b">
        <f>NOT(ISERROR(MATCH(A23,Index[Item],0)))</f>
        <v>1</v>
      </c>
    </row>
    <row r="24" spans="1:10" x14ac:dyDescent="0.3">
      <c r="A24" s="1" t="s">
        <v>99</v>
      </c>
      <c r="B24" s="5">
        <f>27*$H24</f>
        <v>0</v>
      </c>
      <c r="C24" s="5">
        <f>6.3*$H24</f>
        <v>0</v>
      </c>
      <c r="D24" s="5">
        <f t="shared" si="2"/>
        <v>0</v>
      </c>
      <c r="E24" s="5">
        <f>1*$H24</f>
        <v>0</v>
      </c>
      <c r="F24" s="5">
        <f>0.9*$H24</f>
        <v>0</v>
      </c>
      <c r="G24" s="5">
        <f>0*$H24</f>
        <v>0</v>
      </c>
      <c r="H24" s="5"/>
      <c r="I24" s="22" t="s">
        <v>96</v>
      </c>
      <c r="J24" s="68" t="b">
        <f>NOT(ISERROR(MATCH(A24,Index[Item],0)))</f>
        <v>1</v>
      </c>
    </row>
    <row r="25" spans="1:10" x14ac:dyDescent="0.3">
      <c r="A25" s="1" t="s">
        <v>102</v>
      </c>
      <c r="B25" s="5">
        <f>44*$H25</f>
        <v>0</v>
      </c>
      <c r="C25" s="5">
        <f>10*$H25</f>
        <v>0</v>
      </c>
      <c r="D25" s="5">
        <f t="shared" si="2"/>
        <v>0</v>
      </c>
      <c r="E25" s="5">
        <f>1.4*$H25</f>
        <v>0</v>
      </c>
      <c r="F25" s="5">
        <f>1.4*$H25</f>
        <v>0</v>
      </c>
      <c r="G25" s="5">
        <f>4.7*$H25</f>
        <v>0</v>
      </c>
      <c r="H25" s="5"/>
      <c r="I25" s="22" t="s">
        <v>96</v>
      </c>
      <c r="J25" s="68" t="b">
        <f>NOT(ISERROR(MATCH(A25,Index[Item],0)))</f>
        <v>1</v>
      </c>
    </row>
    <row r="26" spans="1:10" x14ac:dyDescent="0.3">
      <c r="A26" s="1" t="s">
        <v>95</v>
      </c>
      <c r="B26" s="5">
        <f>32*$H26</f>
        <v>0</v>
      </c>
      <c r="C26" s="5">
        <f>7.3*$H26</f>
        <v>0</v>
      </c>
      <c r="D26" s="5">
        <f t="shared" si="2"/>
        <v>0</v>
      </c>
      <c r="E26" s="5">
        <f>1.8*$H26</f>
        <v>0</v>
      </c>
      <c r="F26" s="5">
        <f>2.7*$H26</f>
        <v>0</v>
      </c>
      <c r="G26" s="5">
        <f>2.3*$H26</f>
        <v>0</v>
      </c>
      <c r="H26" s="5"/>
      <c r="I26" s="22" t="s">
        <v>96</v>
      </c>
      <c r="J26" s="68" t="b">
        <f>NOT(ISERROR(MATCH(A26,Index[Item],0)))</f>
        <v>1</v>
      </c>
    </row>
    <row r="27" spans="1:10" x14ac:dyDescent="0.3">
      <c r="A27" s="1" t="s">
        <v>101</v>
      </c>
      <c r="B27" s="5">
        <f>29*$H27</f>
        <v>5.51</v>
      </c>
      <c r="C27" s="5">
        <f>6.5*$H27</f>
        <v>1.2350000000000001</v>
      </c>
      <c r="D27" s="5">
        <f>0.4*$H27</f>
        <v>7.6000000000000012E-2</v>
      </c>
      <c r="E27" s="5">
        <f>0.9*$H27</f>
        <v>0.17100000000000001</v>
      </c>
      <c r="F27" s="5">
        <f>2.8*$H27</f>
        <v>0.53199999999999992</v>
      </c>
      <c r="G27" s="5">
        <f>4.1*$H27</f>
        <v>0.77899999999999991</v>
      </c>
      <c r="H27" s="5">
        <v>0.19</v>
      </c>
      <c r="I27" s="22" t="s">
        <v>96</v>
      </c>
      <c r="J27" s="68" t="b">
        <f>NOT(ISERROR(MATCH(A27,Index[Item],0)))</f>
        <v>1</v>
      </c>
    </row>
    <row r="28" spans="1:10" x14ac:dyDescent="0.3">
      <c r="A28" s="1" t="s">
        <v>100</v>
      </c>
      <c r="B28" s="5">
        <f>27*$H28</f>
        <v>0</v>
      </c>
      <c r="C28" s="5">
        <f>5.4*$H28</f>
        <v>0</v>
      </c>
      <c r="D28" s="5">
        <f>0.5*$H28</f>
        <v>0</v>
      </c>
      <c r="E28" s="5">
        <f>1.7*$H28</f>
        <v>0</v>
      </c>
      <c r="F28" s="5">
        <f>3.4*$H28</f>
        <v>0</v>
      </c>
      <c r="G28" s="5">
        <f>2*$H28</f>
        <v>0</v>
      </c>
      <c r="H28" s="5"/>
      <c r="I28" s="22" t="s">
        <v>96</v>
      </c>
      <c r="J28" s="68" t="b">
        <f>NOT(ISERROR(MATCH(A28,Index[Item],0)))</f>
        <v>1</v>
      </c>
    </row>
    <row r="29" spans="1:10" x14ac:dyDescent="0.3">
      <c r="A29" s="1" t="s">
        <v>557</v>
      </c>
      <c r="B29" s="5">
        <f>20*$H29</f>
        <v>10</v>
      </c>
      <c r="C29" s="5">
        <f>5*$H29</f>
        <v>2.5</v>
      </c>
      <c r="D29" s="5">
        <f>0*$H29</f>
        <v>0</v>
      </c>
      <c r="E29" s="5">
        <f>1*$H29</f>
        <v>0.5</v>
      </c>
      <c r="F29" s="5">
        <f>2*$H29</f>
        <v>1</v>
      </c>
      <c r="G29" s="5">
        <f>2*$H29</f>
        <v>1</v>
      </c>
      <c r="H29" s="5">
        <v>0.5</v>
      </c>
      <c r="I29" s="22" t="s">
        <v>96</v>
      </c>
      <c r="J29" s="68" t="b">
        <f>NOT(ISERROR(MATCH(A29,Index[Item],0)))</f>
        <v>1</v>
      </c>
    </row>
    <row r="30" spans="1:10" ht="37.5" x14ac:dyDescent="0.3">
      <c r="A30" s="1" t="s">
        <v>105</v>
      </c>
      <c r="B30" s="5">
        <f>20*$H30</f>
        <v>0</v>
      </c>
      <c r="C30" s="5">
        <f>4*$H30</f>
        <v>0</v>
      </c>
      <c r="D30" s="5">
        <f>0*$H30</f>
        <v>0</v>
      </c>
      <c r="E30" s="5">
        <f>1*$H30</f>
        <v>0</v>
      </c>
      <c r="F30" s="5">
        <f>1*$H30</f>
        <v>0</v>
      </c>
      <c r="G30" s="5">
        <f>3*$H30</f>
        <v>0</v>
      </c>
      <c r="H30" s="5"/>
      <c r="I30" s="22" t="s">
        <v>106</v>
      </c>
      <c r="J30" s="68" t="b">
        <f>NOT(ISERROR(MATCH(A30,Index[Item],0)))</f>
        <v>1</v>
      </c>
    </row>
    <row r="31" spans="1:10" x14ac:dyDescent="0.3">
      <c r="A31" s="1" t="s">
        <v>79</v>
      </c>
      <c r="B31" s="5">
        <f>110*$H31</f>
        <v>0</v>
      </c>
      <c r="C31" s="5">
        <f>0.5*$H31</f>
        <v>0</v>
      </c>
      <c r="D31" s="5">
        <f>9*$H31</f>
        <v>0</v>
      </c>
      <c r="E31" s="5">
        <f>7*$H31</f>
        <v>0</v>
      </c>
      <c r="F31" s="5">
        <f>0*$H31</f>
        <v>0</v>
      </c>
      <c r="G31" s="5">
        <f>0*$H31</f>
        <v>0</v>
      </c>
      <c r="H31" s="5"/>
      <c r="I31" s="22" t="s">
        <v>80</v>
      </c>
      <c r="J31" s="68" t="b">
        <f>NOT(ISERROR(MATCH(A31,Index[Item],0)))</f>
        <v>1</v>
      </c>
    </row>
    <row r="32" spans="1:10" x14ac:dyDescent="0.3">
      <c r="A32" s="1" t="s">
        <v>81</v>
      </c>
      <c r="B32" s="5">
        <f>120*$H32</f>
        <v>0</v>
      </c>
      <c r="C32" s="5">
        <f>2*$H32</f>
        <v>0</v>
      </c>
      <c r="D32" s="5">
        <f>9*$H32</f>
        <v>0</v>
      </c>
      <c r="E32" s="5">
        <f>6*$H32</f>
        <v>0</v>
      </c>
      <c r="F32" s="5">
        <f>0*$H32</f>
        <v>0</v>
      </c>
      <c r="G32" s="5">
        <f>0*$H32</f>
        <v>0</v>
      </c>
      <c r="H32" s="5"/>
      <c r="I32" s="22" t="s">
        <v>80</v>
      </c>
      <c r="J32" s="68" t="b">
        <f>NOT(ISERROR(MATCH(A32,Index[Item],0)))</f>
        <v>1</v>
      </c>
    </row>
    <row r="33" spans="1:10" x14ac:dyDescent="0.3">
      <c r="A33" s="1" t="s">
        <v>82</v>
      </c>
      <c r="B33" s="5">
        <f>100*$H33</f>
        <v>0</v>
      </c>
      <c r="C33" s="5">
        <f>1*$H33</f>
        <v>0</v>
      </c>
      <c r="D33" s="5">
        <f>8*$H33</f>
        <v>0</v>
      </c>
      <c r="E33" s="5">
        <f>6*$H33</f>
        <v>0</v>
      </c>
      <c r="F33" s="5">
        <f t="shared" ref="F33:F54" si="3">0*$H33</f>
        <v>0</v>
      </c>
      <c r="G33" s="5">
        <f>0.5*$H33</f>
        <v>0</v>
      </c>
      <c r="H33" s="5"/>
      <c r="I33" s="22" t="s">
        <v>80</v>
      </c>
      <c r="J33" s="68" t="b">
        <f>NOT(ISERROR(MATCH(A33,Index[Item],0)))</f>
        <v>1</v>
      </c>
    </row>
    <row r="34" spans="1:10" x14ac:dyDescent="0.3">
      <c r="A34" s="1" t="s">
        <v>83</v>
      </c>
      <c r="B34" s="5">
        <f>90*$H34</f>
        <v>0</v>
      </c>
      <c r="C34" s="5">
        <f>2*$H34</f>
        <v>0</v>
      </c>
      <c r="D34" s="5">
        <f>6*$H34</f>
        <v>0</v>
      </c>
      <c r="E34" s="5">
        <f>7*$H34</f>
        <v>0</v>
      </c>
      <c r="F34" s="5">
        <f t="shared" si="3"/>
        <v>0</v>
      </c>
      <c r="G34" s="5">
        <f>0*$H34</f>
        <v>0</v>
      </c>
      <c r="H34" s="5"/>
      <c r="I34" s="22" t="s">
        <v>80</v>
      </c>
      <c r="J34" s="68" t="b">
        <f>NOT(ISERROR(MATCH(A34,Index[Item],0)))</f>
        <v>1</v>
      </c>
    </row>
    <row r="35" spans="1:10" x14ac:dyDescent="0.3">
      <c r="A35" s="1" t="s">
        <v>84</v>
      </c>
      <c r="B35" s="5">
        <f>110*$H35</f>
        <v>0</v>
      </c>
      <c r="C35" s="5">
        <f>0.5*$H35</f>
        <v>0</v>
      </c>
      <c r="D35" s="5">
        <f>9*$H35</f>
        <v>0</v>
      </c>
      <c r="E35" s="5">
        <f>6*$H35</f>
        <v>0</v>
      </c>
      <c r="F35" s="5">
        <f t="shared" si="3"/>
        <v>0</v>
      </c>
      <c r="G35" s="5">
        <f>0.5*$H35</f>
        <v>0</v>
      </c>
      <c r="H35" s="5"/>
      <c r="I35" s="22" t="s">
        <v>80</v>
      </c>
      <c r="J35" s="68" t="b">
        <f>NOT(ISERROR(MATCH(A35,Index[Item],0)))</f>
        <v>1</v>
      </c>
    </row>
    <row r="36" spans="1:10" x14ac:dyDescent="0.3">
      <c r="A36" s="1" t="s">
        <v>85</v>
      </c>
      <c r="B36" s="5">
        <f>80*$H36</f>
        <v>0</v>
      </c>
      <c r="C36" s="5">
        <f>2*$H36</f>
        <v>0</v>
      </c>
      <c r="D36" s="5">
        <f>6*$H36</f>
        <v>0</v>
      </c>
      <c r="E36" s="5">
        <f>7*$H36</f>
        <v>0</v>
      </c>
      <c r="F36" s="5">
        <f t="shared" si="3"/>
        <v>0</v>
      </c>
      <c r="G36" s="5">
        <f>0.5*$H36</f>
        <v>0</v>
      </c>
      <c r="H36" s="5"/>
      <c r="I36" s="22" t="s">
        <v>80</v>
      </c>
      <c r="J36" s="68" t="b">
        <f>NOT(ISERROR(MATCH(A36,Index[Item],0)))</f>
        <v>1</v>
      </c>
    </row>
    <row r="37" spans="1:10" ht="37.5" x14ac:dyDescent="0.3">
      <c r="A37" s="1" t="s">
        <v>86</v>
      </c>
      <c r="B37" s="5">
        <f>90*$H37</f>
        <v>90</v>
      </c>
      <c r="C37" s="5">
        <f>1*$H37</f>
        <v>1</v>
      </c>
      <c r="D37" s="5">
        <f>7*$H37</f>
        <v>7</v>
      </c>
      <c r="E37" s="5">
        <f>6*$H37</f>
        <v>6</v>
      </c>
      <c r="F37" s="5">
        <f t="shared" si="3"/>
        <v>0</v>
      </c>
      <c r="G37" s="5">
        <f>0*$H37</f>
        <v>0</v>
      </c>
      <c r="H37" s="5">
        <v>1</v>
      </c>
      <c r="I37" s="22" t="s">
        <v>80</v>
      </c>
      <c r="J37" s="68" t="b">
        <f>NOT(ISERROR(MATCH(A37,Index[Item],0)))</f>
        <v>1</v>
      </c>
    </row>
    <row r="38" spans="1:10" ht="37.5" x14ac:dyDescent="0.3">
      <c r="A38" s="1" t="s">
        <v>87</v>
      </c>
      <c r="B38" s="5">
        <f>80*$H38</f>
        <v>0</v>
      </c>
      <c r="C38" s="5">
        <f>2*$H38</f>
        <v>0</v>
      </c>
      <c r="D38" s="5">
        <f>6*$H38</f>
        <v>0</v>
      </c>
      <c r="E38" s="5">
        <f>7*$H38</f>
        <v>0</v>
      </c>
      <c r="F38" s="5">
        <f t="shared" si="3"/>
        <v>0</v>
      </c>
      <c r="G38" s="5">
        <f>0.5*$H38</f>
        <v>0</v>
      </c>
      <c r="H38" s="5"/>
      <c r="I38" s="22" t="s">
        <v>80</v>
      </c>
      <c r="J38" s="68" t="b">
        <f>NOT(ISERROR(MATCH(A38,Index[Item],0)))</f>
        <v>1</v>
      </c>
    </row>
    <row r="39" spans="1:10" x14ac:dyDescent="0.3">
      <c r="A39" s="1" t="s">
        <v>88</v>
      </c>
      <c r="B39" s="5">
        <f>20*$H39</f>
        <v>0</v>
      </c>
      <c r="C39" s="5">
        <f>0*$H39</f>
        <v>0</v>
      </c>
      <c r="D39" s="5">
        <f>1.5*$H39</f>
        <v>0</v>
      </c>
      <c r="E39" s="5">
        <f>2*$H39</f>
        <v>0</v>
      </c>
      <c r="F39" s="5">
        <f t="shared" si="3"/>
        <v>0</v>
      </c>
      <c r="G39" s="5">
        <f>0*$H39</f>
        <v>0</v>
      </c>
      <c r="H39" s="5"/>
      <c r="I39" s="22" t="s">
        <v>89</v>
      </c>
      <c r="J39" s="68" t="b">
        <f>NOT(ISERROR(MATCH(A39,Index[Item],0)))</f>
        <v>1</v>
      </c>
    </row>
    <row r="40" spans="1:10" ht="37.5" x14ac:dyDescent="0.3">
      <c r="A40" s="1" t="s">
        <v>577</v>
      </c>
      <c r="B40" s="5">
        <f>60*$H40</f>
        <v>300</v>
      </c>
      <c r="C40" s="5">
        <f>1*$H40</f>
        <v>5</v>
      </c>
      <c r="D40" s="5">
        <f>4*$H40</f>
        <v>20</v>
      </c>
      <c r="E40" s="5">
        <f>5*$H40</f>
        <v>25</v>
      </c>
      <c r="F40" s="5">
        <f t="shared" si="3"/>
        <v>0</v>
      </c>
      <c r="G40" s="5">
        <f>0*$H40</f>
        <v>0</v>
      </c>
      <c r="H40" s="5">
        <v>5</v>
      </c>
      <c r="I40" s="22" t="s">
        <v>579</v>
      </c>
      <c r="J40" s="68" t="b">
        <f>NOT(ISERROR(MATCH(A40,Index[Item],0)))</f>
        <v>1</v>
      </c>
    </row>
    <row r="41" spans="1:10" ht="37.5" x14ac:dyDescent="0.3">
      <c r="A41" s="1" t="s">
        <v>578</v>
      </c>
      <c r="B41" s="5">
        <f>70*$H41</f>
        <v>0</v>
      </c>
      <c r="C41" s="5">
        <f>0*$H41</f>
        <v>0</v>
      </c>
      <c r="D41" s="5">
        <f>6*$H41</f>
        <v>0</v>
      </c>
      <c r="E41" s="5">
        <f>5*$H41</f>
        <v>0</v>
      </c>
      <c r="F41" s="5">
        <f t="shared" si="3"/>
        <v>0</v>
      </c>
      <c r="G41" s="5">
        <f>0*$H41</f>
        <v>0</v>
      </c>
      <c r="H41" s="5"/>
      <c r="I41" s="22" t="s">
        <v>579</v>
      </c>
      <c r="J41" s="68" t="b">
        <f>NOT(ISERROR(MATCH(A41,Index[Item],0)))</f>
        <v>1</v>
      </c>
    </row>
    <row r="42" spans="1:10" ht="37.5" x14ac:dyDescent="0.3">
      <c r="A42" s="1" t="s">
        <v>548</v>
      </c>
      <c r="B42" s="5">
        <f>80*$H42</f>
        <v>0</v>
      </c>
      <c r="C42" s="5">
        <f>2*$H42</f>
        <v>0</v>
      </c>
      <c r="D42" s="5">
        <f>6*$H42</f>
        <v>0</v>
      </c>
      <c r="E42" s="5">
        <f>7*$H42</f>
        <v>0</v>
      </c>
      <c r="F42" s="5">
        <f t="shared" si="3"/>
        <v>0</v>
      </c>
      <c r="G42" s="5">
        <f>0.5*$H42</f>
        <v>0</v>
      </c>
      <c r="H42" s="5"/>
      <c r="I42" s="22" t="s">
        <v>549</v>
      </c>
      <c r="J42" s="68" t="b">
        <f>NOT(ISERROR(MATCH(A42,Index[Item],0)))</f>
        <v>1</v>
      </c>
    </row>
    <row r="43" spans="1:10" ht="37.5" x14ac:dyDescent="0.3">
      <c r="A43" s="1" t="s">
        <v>550</v>
      </c>
      <c r="B43" s="5">
        <f>110*$H43</f>
        <v>0</v>
      </c>
      <c r="C43" s="5">
        <f>0*$H43</f>
        <v>0</v>
      </c>
      <c r="D43" s="5">
        <f>9*$H43</f>
        <v>0</v>
      </c>
      <c r="E43" s="5">
        <f>6*$H43</f>
        <v>0</v>
      </c>
      <c r="F43" s="5">
        <f t="shared" si="3"/>
        <v>0</v>
      </c>
      <c r="G43" s="5">
        <f>0*$H43</f>
        <v>0</v>
      </c>
      <c r="H43" s="5"/>
      <c r="I43" s="22" t="s">
        <v>549</v>
      </c>
      <c r="J43" s="68" t="b">
        <f>NOT(ISERROR(MATCH(A43,Index[Item],0)))</f>
        <v>1</v>
      </c>
    </row>
    <row r="44" spans="1:10" x14ac:dyDescent="0.3">
      <c r="A44" s="1" t="s">
        <v>551</v>
      </c>
      <c r="B44" s="5">
        <f>110*$H44</f>
        <v>0</v>
      </c>
      <c r="C44" s="5">
        <f>1*$H44</f>
        <v>0</v>
      </c>
      <c r="D44" s="5">
        <f>9*$H44</f>
        <v>0</v>
      </c>
      <c r="E44" s="5">
        <f>6*$H44</f>
        <v>0</v>
      </c>
      <c r="F44" s="5">
        <f t="shared" si="3"/>
        <v>0</v>
      </c>
      <c r="G44" s="5">
        <f>0*$H44</f>
        <v>0</v>
      </c>
      <c r="H44" s="5"/>
      <c r="I44" s="22" t="s">
        <v>549</v>
      </c>
      <c r="J44" s="68" t="b">
        <f>NOT(ISERROR(MATCH(A44,Index[Item],0)))</f>
        <v>1</v>
      </c>
    </row>
    <row r="45" spans="1:10" x14ac:dyDescent="0.3">
      <c r="A45" s="1" t="s">
        <v>303</v>
      </c>
      <c r="B45" s="5">
        <f>30*$H45</f>
        <v>45</v>
      </c>
      <c r="C45" s="5">
        <f>0*$H45</f>
        <v>0</v>
      </c>
      <c r="D45" s="5">
        <f>0*$H45</f>
        <v>0</v>
      </c>
      <c r="E45" s="5">
        <f>0*$H45</f>
        <v>0</v>
      </c>
      <c r="F45" s="5">
        <f t="shared" si="3"/>
        <v>0</v>
      </c>
      <c r="G45" s="5">
        <f>8*$H45</f>
        <v>12</v>
      </c>
      <c r="H45" s="5">
        <v>1.5</v>
      </c>
      <c r="I45" s="22" t="s">
        <v>304</v>
      </c>
      <c r="J45" s="68" t="b">
        <f>NOT(ISERROR(MATCH(A45,Index[Item],0)))</f>
        <v>1</v>
      </c>
    </row>
    <row r="46" spans="1:10" x14ac:dyDescent="0.3">
      <c r="A46" s="1" t="s">
        <v>305</v>
      </c>
      <c r="B46" s="5">
        <f>30*$H46</f>
        <v>0</v>
      </c>
      <c r="C46" s="5">
        <f>8*$H46</f>
        <v>0</v>
      </c>
      <c r="D46" s="5">
        <f>0*$H46</f>
        <v>0</v>
      </c>
      <c r="E46" s="5">
        <f>0*$H46</f>
        <v>0</v>
      </c>
      <c r="F46" s="5">
        <f t="shared" si="3"/>
        <v>0</v>
      </c>
      <c r="G46" s="5">
        <f>8*$H46</f>
        <v>0</v>
      </c>
      <c r="H46" s="5"/>
      <c r="I46" s="22" t="s">
        <v>304</v>
      </c>
      <c r="J46" s="68" t="b">
        <f>NOT(ISERROR(MATCH(A46,Index[Item],0)))</f>
        <v>1</v>
      </c>
    </row>
    <row r="47" spans="1:10" ht="37.5" x14ac:dyDescent="0.3">
      <c r="A47" s="1" t="s">
        <v>342</v>
      </c>
      <c r="B47" s="5">
        <f>120*$H47</f>
        <v>0</v>
      </c>
      <c r="C47" s="5">
        <f>0*$H47</f>
        <v>0</v>
      </c>
      <c r="D47" s="5">
        <f>14*$H47</f>
        <v>0</v>
      </c>
      <c r="E47" s="5">
        <f>0*$H47</f>
        <v>0</v>
      </c>
      <c r="F47" s="5">
        <f t="shared" si="3"/>
        <v>0</v>
      </c>
      <c r="G47" s="5">
        <f t="shared" ref="G47:G53" si="4">0*$H47</f>
        <v>0</v>
      </c>
      <c r="H47" s="5"/>
      <c r="I47" s="22" t="s">
        <v>307</v>
      </c>
      <c r="J47" s="68" t="b">
        <f>NOT(ISERROR(MATCH(A47,Index[Item],0)))</f>
        <v>1</v>
      </c>
    </row>
    <row r="48" spans="1:10" x14ac:dyDescent="0.3">
      <c r="A48" s="1" t="s">
        <v>344</v>
      </c>
      <c r="B48" s="5">
        <f>100*$H48</f>
        <v>100</v>
      </c>
      <c r="C48" s="5">
        <f>0*$H48</f>
        <v>0</v>
      </c>
      <c r="D48" s="5">
        <f>11*$H48</f>
        <v>11</v>
      </c>
      <c r="E48" s="5">
        <f>0*$H48</f>
        <v>0</v>
      </c>
      <c r="F48" s="5">
        <f t="shared" si="3"/>
        <v>0</v>
      </c>
      <c r="G48" s="5">
        <f t="shared" si="4"/>
        <v>0</v>
      </c>
      <c r="H48" s="5">
        <v>1</v>
      </c>
      <c r="I48" s="22" t="s">
        <v>345</v>
      </c>
      <c r="J48" s="68" t="b">
        <f>NOT(ISERROR(MATCH(A48,Index[Item],0)))</f>
        <v>1</v>
      </c>
    </row>
    <row r="49" spans="1:10" x14ac:dyDescent="0.3">
      <c r="A49" s="1" t="s">
        <v>361</v>
      </c>
      <c r="B49" s="5">
        <f>95*$H49</f>
        <v>0</v>
      </c>
      <c r="C49" s="5">
        <f>2.6*$H49</f>
        <v>0</v>
      </c>
      <c r="D49" s="5">
        <f t="shared" ref="D49:D54" si="5">0*$H49</f>
        <v>0</v>
      </c>
      <c r="E49" s="5">
        <f>0.6*$H49</f>
        <v>0</v>
      </c>
      <c r="F49" s="5">
        <f t="shared" si="3"/>
        <v>0</v>
      </c>
      <c r="G49" s="5">
        <f t="shared" si="4"/>
        <v>0</v>
      </c>
      <c r="H49" s="5"/>
      <c r="I49" s="22" t="s">
        <v>362</v>
      </c>
      <c r="J49" s="68" t="b">
        <f>NOT(ISERROR(MATCH(A49,Index[Item],0)))</f>
        <v>1</v>
      </c>
    </row>
    <row r="50" spans="1:10" x14ac:dyDescent="0.3">
      <c r="A50" s="1" t="s">
        <v>295</v>
      </c>
      <c r="B50" s="5">
        <f t="shared" ref="B50:C53" si="6">0*$H50</f>
        <v>0</v>
      </c>
      <c r="C50" s="5">
        <f t="shared" si="6"/>
        <v>0</v>
      </c>
      <c r="D50" s="5">
        <f t="shared" si="5"/>
        <v>0</v>
      </c>
      <c r="E50" s="5">
        <f>0*$H50</f>
        <v>0</v>
      </c>
      <c r="F50" s="5">
        <f t="shared" si="3"/>
        <v>0</v>
      </c>
      <c r="G50" s="5">
        <f t="shared" si="4"/>
        <v>0</v>
      </c>
      <c r="H50" s="5">
        <v>8.75</v>
      </c>
      <c r="I50" s="22" t="s">
        <v>296</v>
      </c>
      <c r="J50" s="68" t="b">
        <f>NOT(ISERROR(MATCH(A50,Index[Item],0)))</f>
        <v>1</v>
      </c>
    </row>
    <row r="51" spans="1:10" x14ac:dyDescent="0.3">
      <c r="A51" s="1" t="s">
        <v>297</v>
      </c>
      <c r="B51" s="5">
        <f t="shared" si="6"/>
        <v>0</v>
      </c>
      <c r="C51" s="5">
        <f t="shared" si="6"/>
        <v>0</v>
      </c>
      <c r="D51" s="5">
        <f t="shared" si="5"/>
        <v>0</v>
      </c>
      <c r="E51" s="5">
        <f>0*$H51</f>
        <v>0</v>
      </c>
      <c r="F51" s="5">
        <f t="shared" si="3"/>
        <v>0</v>
      </c>
      <c r="G51" s="5">
        <f t="shared" si="4"/>
        <v>0</v>
      </c>
      <c r="H51" s="5"/>
      <c r="I51" s="22" t="s">
        <v>296</v>
      </c>
      <c r="J51" s="68" t="b">
        <f>NOT(ISERROR(MATCH(A51,Index[Item],0)))</f>
        <v>1</v>
      </c>
    </row>
    <row r="52" spans="1:10" x14ac:dyDescent="0.3">
      <c r="A52" s="1" t="s">
        <v>298</v>
      </c>
      <c r="B52" s="5">
        <f t="shared" si="6"/>
        <v>0</v>
      </c>
      <c r="C52" s="5">
        <f t="shared" si="6"/>
        <v>0</v>
      </c>
      <c r="D52" s="5">
        <f t="shared" si="5"/>
        <v>0</v>
      </c>
      <c r="E52" s="5">
        <f>0*$H52</f>
        <v>0</v>
      </c>
      <c r="F52" s="5">
        <f t="shared" si="3"/>
        <v>0</v>
      </c>
      <c r="G52" s="5">
        <f t="shared" si="4"/>
        <v>0</v>
      </c>
      <c r="H52" s="5"/>
      <c r="I52" s="22" t="s">
        <v>299</v>
      </c>
      <c r="J52" s="68" t="b">
        <f>NOT(ISERROR(MATCH(A52,Index[Item],0)))</f>
        <v>1</v>
      </c>
    </row>
    <row r="53" spans="1:10" x14ac:dyDescent="0.3">
      <c r="A53" s="1" t="s">
        <v>300</v>
      </c>
      <c r="B53" s="5">
        <f t="shared" si="6"/>
        <v>0</v>
      </c>
      <c r="C53" s="5">
        <f t="shared" si="6"/>
        <v>0</v>
      </c>
      <c r="D53" s="5">
        <f t="shared" si="5"/>
        <v>0</v>
      </c>
      <c r="E53" s="5">
        <f>0*$H53</f>
        <v>0</v>
      </c>
      <c r="F53" s="5">
        <f t="shared" si="3"/>
        <v>0</v>
      </c>
      <c r="G53" s="5">
        <f t="shared" si="4"/>
        <v>0</v>
      </c>
      <c r="H53" s="5"/>
      <c r="I53" s="22" t="s">
        <v>299</v>
      </c>
      <c r="J53" s="68" t="b">
        <f>NOT(ISERROR(MATCH(A53,Index[Item],0)))</f>
        <v>1</v>
      </c>
    </row>
    <row r="54" spans="1:10" x14ac:dyDescent="0.3">
      <c r="A54" s="1" t="s">
        <v>308</v>
      </c>
      <c r="B54" s="5">
        <f>60*$H54</f>
        <v>0</v>
      </c>
      <c r="C54" s="5">
        <f>17*$H54</f>
        <v>0</v>
      </c>
      <c r="D54" s="5">
        <f t="shared" si="5"/>
        <v>0</v>
      </c>
      <c r="E54" s="5">
        <f>0*$H54</f>
        <v>0</v>
      </c>
      <c r="F54" s="5">
        <f t="shared" si="3"/>
        <v>0</v>
      </c>
      <c r="G54" s="5">
        <f>17*$H54</f>
        <v>0</v>
      </c>
      <c r="H54" s="5"/>
      <c r="I54" s="22" t="s">
        <v>309</v>
      </c>
      <c r="J54" s="68" t="b">
        <f>NOT(ISERROR(MATCH(A54,Index[Item],0)))</f>
        <v>1</v>
      </c>
    </row>
    <row r="55" spans="1:10" x14ac:dyDescent="0.3">
      <c r="A55" s="1" t="s">
        <v>481</v>
      </c>
      <c r="B55" s="5">
        <f>PizzaSpice43[[#Totals],[Calories]]</f>
        <v>54.2</v>
      </c>
      <c r="C55" s="5">
        <f>PizzaSpice43[[#Totals],[Carbs]]</f>
        <v>12</v>
      </c>
      <c r="D55" s="5">
        <f>PizzaSpice43[[#Totals],[Fat]]</f>
        <v>0.50000000000000011</v>
      </c>
      <c r="E55" s="5">
        <f>PizzaSpice43[[#Totals],[Protein]]</f>
        <v>3.5500000000000003</v>
      </c>
      <c r="F55" s="5">
        <f>PizzaSpice43[[#Totals],[Fiber]]</f>
        <v>3.5499999999999994</v>
      </c>
      <c r="G55" s="5">
        <f>PizzaSpice43[[#Totals],[Sugar]]</f>
        <v>0.6</v>
      </c>
      <c r="H55" s="5">
        <f>PizzaSpice43[[#Totals],[Serving by TSP]]</f>
        <v>11</v>
      </c>
      <c r="J55" s="68" t="b">
        <f>NOT(ISERROR(MATCH(A55,Index[Item],0)))</f>
        <v>1</v>
      </c>
    </row>
    <row r="56" spans="1:10" x14ac:dyDescent="0.3">
      <c r="A56" s="1" t="s">
        <v>544</v>
      </c>
      <c r="B56" s="5">
        <f>SUBTOTAL(109,BBQPizza[Calories])/BBQPizza[[#Totals],[Measurement]]</f>
        <v>424.74250000000001</v>
      </c>
      <c r="C56" s="5">
        <f>SUBTOTAL(109,BBQPizza[Carbs])/BBQPizza[[#Totals],[Measurement]]</f>
        <v>52.949750000000002</v>
      </c>
      <c r="D56" s="5">
        <f>SUBTOTAL(109,BBQPizza[[Fat ]])/BBQPizza[[#Totals],[Measurement]]</f>
        <v>13.414999999999999</v>
      </c>
      <c r="E56" s="5">
        <f>SUBTOTAL(109,BBQPizza[Protein])/BBQPizza[[#Totals],[Measurement]]</f>
        <v>20.192249999999998</v>
      </c>
      <c r="F56" s="5">
        <f>SUBTOTAL(109,BBQPizza[Fiber])/BBQPizza[[#Totals],[Measurement]]</f>
        <v>1.9277499999999996</v>
      </c>
      <c r="G56" s="5">
        <f>SUBTOTAL(109,BBQPizza[Sugar])/BBQPizza[[#Totals],[Measurement]]</f>
        <v>19.680749999999996</v>
      </c>
      <c r="H56" s="5">
        <f>SUBTOTAL(109,BBQPizza[Servings])/BBQPizza[[#Totals],[Measurement]]</f>
        <v>10.1525</v>
      </c>
      <c r="I56" s="22" t="s">
        <v>546</v>
      </c>
    </row>
    <row r="58" spans="1:10" x14ac:dyDescent="0.3">
      <c r="A58" s="48" t="s">
        <v>0</v>
      </c>
      <c r="B58" s="49" t="s">
        <v>1</v>
      </c>
      <c r="C58" s="49" t="s">
        <v>2</v>
      </c>
      <c r="D58" s="49" t="s">
        <v>3</v>
      </c>
      <c r="E58" s="49" t="s">
        <v>4</v>
      </c>
      <c r="F58" s="49" t="s">
        <v>5</v>
      </c>
      <c r="G58" s="49" t="s">
        <v>6</v>
      </c>
      <c r="H58" s="50" t="s">
        <v>7</v>
      </c>
      <c r="I58" s="22" t="s">
        <v>542</v>
      </c>
    </row>
    <row r="59" spans="1:10" x14ac:dyDescent="0.3">
      <c r="A59" s="51" t="s">
        <v>8</v>
      </c>
      <c r="B59" s="46">
        <f>1.6*$H59</f>
        <v>1.6</v>
      </c>
      <c r="C59" s="46">
        <f>0.3*$H59</f>
        <v>0.3</v>
      </c>
      <c r="D59" s="46">
        <f>0*$H59</f>
        <v>0</v>
      </c>
      <c r="E59" s="46">
        <f>0.2*$H59</f>
        <v>0.2</v>
      </c>
      <c r="F59" s="46">
        <f>0.3*$H59</f>
        <v>0.3</v>
      </c>
      <c r="G59" s="46">
        <f>0*$H59</f>
        <v>0</v>
      </c>
      <c r="H59" s="52">
        <v>1</v>
      </c>
      <c r="J59" s="2" t="b">
        <f>NOT(ISERROR(MATCH(A59,Spice[Spice],0)))</f>
        <v>1</v>
      </c>
    </row>
    <row r="60" spans="1:10" x14ac:dyDescent="0.3">
      <c r="A60" s="51" t="s">
        <v>9</v>
      </c>
      <c r="B60" s="46">
        <f>5.8*$H60</f>
        <v>0</v>
      </c>
      <c r="C60" s="46">
        <f>1.5*$H60</f>
        <v>0</v>
      </c>
      <c r="D60" s="46">
        <f>0.1*$H60</f>
        <v>0</v>
      </c>
      <c r="E60" s="46">
        <f>0.2*$H60</f>
        <v>0</v>
      </c>
      <c r="F60" s="46">
        <f>0.6*$H60</f>
        <v>0</v>
      </c>
      <c r="G60" s="46">
        <f>0*$H60</f>
        <v>0</v>
      </c>
      <c r="H60" s="52"/>
      <c r="J60" s="2" t="b">
        <f>NOT(ISERROR(MATCH(A60,Spice[Spice],0)))</f>
        <v>1</v>
      </c>
    </row>
    <row r="61" spans="1:10" x14ac:dyDescent="0.3">
      <c r="A61" s="53" t="s">
        <v>10</v>
      </c>
      <c r="B61" s="54">
        <f>7.6*$H61</f>
        <v>0</v>
      </c>
      <c r="C61" s="54">
        <f>1.3*$H61</f>
        <v>0</v>
      </c>
      <c r="D61" s="54">
        <f>0.4*$H61</f>
        <v>0</v>
      </c>
      <c r="E61" s="54">
        <f>0.4*$H61</f>
        <v>0</v>
      </c>
      <c r="F61" s="54">
        <f>0.9*$H61</f>
        <v>0</v>
      </c>
      <c r="G61" s="54">
        <f>0.2*$H61</f>
        <v>0</v>
      </c>
      <c r="H61" s="55"/>
      <c r="J61" s="2" t="b">
        <f>NOT(ISERROR(MATCH(A61,Spice[Spice],0)))</f>
        <v>1</v>
      </c>
    </row>
    <row r="62" spans="1:10" x14ac:dyDescent="0.3">
      <c r="A62" s="56" t="s">
        <v>11</v>
      </c>
      <c r="B62" s="32">
        <f>48*$H62</f>
        <v>0</v>
      </c>
      <c r="C62" s="32">
        <f>8*$H62</f>
        <v>0</v>
      </c>
      <c r="D62" s="32">
        <f>0*$H62</f>
        <v>0</v>
      </c>
      <c r="E62" s="32">
        <f>0*$H62</f>
        <v>0</v>
      </c>
      <c r="F62" s="32">
        <f>0*$H62</f>
        <v>0</v>
      </c>
      <c r="G62" s="32">
        <f>0*$H62</f>
        <v>0</v>
      </c>
      <c r="H62" s="57"/>
      <c r="J62" s="2" t="b">
        <f>NOT(ISERROR(MATCH(A62,Spice[Spice],0)))</f>
        <v>1</v>
      </c>
    </row>
    <row r="63" spans="1:10" x14ac:dyDescent="0.3">
      <c r="A63" s="53" t="s">
        <v>12</v>
      </c>
      <c r="B63" s="54">
        <f>6.4*$H63</f>
        <v>0</v>
      </c>
      <c r="C63" s="54">
        <f>2.1*$H63</f>
        <v>0</v>
      </c>
      <c r="D63" s="54">
        <f>0*$H62</f>
        <v>0</v>
      </c>
      <c r="E63" s="54">
        <f>0.1*$H63</f>
        <v>0</v>
      </c>
      <c r="F63" s="54">
        <f>1.4*$H63</f>
        <v>0</v>
      </c>
      <c r="G63" s="54">
        <f>0.1*$H63</f>
        <v>0</v>
      </c>
      <c r="H63" s="55"/>
      <c r="J63" s="2" t="b">
        <f>NOT(ISERROR(MATCH(A63,Spice[Spice],0)))</f>
        <v>1</v>
      </c>
    </row>
    <row r="64" spans="1:10" x14ac:dyDescent="0.3">
      <c r="A64" s="51" t="s">
        <v>13</v>
      </c>
      <c r="B64" s="46">
        <f>1.7*$H64</f>
        <v>0</v>
      </c>
      <c r="C64" s="46">
        <f>0.3*$H64</f>
        <v>0</v>
      </c>
      <c r="D64" s="46">
        <f>0*$H64</f>
        <v>0</v>
      </c>
      <c r="E64" s="46">
        <f>0.1*$H64</f>
        <v>0</v>
      </c>
      <c r="F64" s="46">
        <f>0.1*$H64</f>
        <v>0</v>
      </c>
      <c r="G64" s="46">
        <f>0*$H64</f>
        <v>0</v>
      </c>
      <c r="H64" s="52"/>
      <c r="J64" s="2" t="b">
        <f>NOT(ISERROR(MATCH(A64,Spice[Spice],0)))</f>
        <v>1</v>
      </c>
    </row>
    <row r="65" spans="1:10" ht="37.5" x14ac:dyDescent="0.3">
      <c r="A65" s="51" t="s">
        <v>14</v>
      </c>
      <c r="B65" s="46">
        <f>5.7*$H65</f>
        <v>5.7</v>
      </c>
      <c r="C65" s="46">
        <f>1*$H65</f>
        <v>1</v>
      </c>
      <c r="D65" s="46">
        <f>0*$H65</f>
        <v>0</v>
      </c>
      <c r="E65" s="46">
        <f>0.2*$H65</f>
        <v>0.2</v>
      </c>
      <c r="F65" s="46">
        <f>0.5*$H65</f>
        <v>0.5</v>
      </c>
      <c r="G65" s="46">
        <f>0.2*$H65</f>
        <v>0.2</v>
      </c>
      <c r="H65" s="52">
        <v>1</v>
      </c>
      <c r="J65" s="2" t="b">
        <f>NOT(ISERROR(MATCH(A65,Spice[Spice],0)))</f>
        <v>1</v>
      </c>
    </row>
    <row r="66" spans="1:10" x14ac:dyDescent="0.3">
      <c r="A66" s="56" t="s">
        <v>15</v>
      </c>
      <c r="B66" s="32">
        <f>7.6*$H66</f>
        <v>0</v>
      </c>
      <c r="C66" s="32">
        <f>0.9*$H66</f>
        <v>0</v>
      </c>
      <c r="D66" s="32">
        <f>0.5*$H66</f>
        <v>0</v>
      </c>
      <c r="E66" s="32">
        <f>0.4*$H66</f>
        <v>0</v>
      </c>
      <c r="F66" s="32">
        <f>0.2*$H66</f>
        <v>0</v>
      </c>
      <c r="G66" s="32">
        <f>0.1*$H66</f>
        <v>0</v>
      </c>
      <c r="H66" s="57"/>
      <c r="J66" s="2" t="b">
        <f>NOT(ISERROR(MATCH(A66,Spice[Spice],0)))</f>
        <v>1</v>
      </c>
    </row>
    <row r="67" spans="1:10" x14ac:dyDescent="0.3">
      <c r="A67" s="56" t="s">
        <v>16</v>
      </c>
      <c r="B67" s="32">
        <f>(36/5)*$H67</f>
        <v>0</v>
      </c>
      <c r="C67" s="32">
        <f>(5/5)*$H67</f>
        <v>0</v>
      </c>
      <c r="D67" s="32">
        <f>(1.2/5)*$H67</f>
        <v>0</v>
      </c>
      <c r="E67" s="32">
        <f>(1.3/5)*$H67</f>
        <v>0</v>
      </c>
      <c r="F67" s="32">
        <f>(3/5)*$H67</f>
        <v>0</v>
      </c>
      <c r="G67" s="32">
        <f>(0.2/5)*$H67</f>
        <v>0</v>
      </c>
      <c r="H67" s="57"/>
      <c r="J67" s="2" t="b">
        <f>NOT(ISERROR(MATCH(A67,Spice[Spice],0)))</f>
        <v>1</v>
      </c>
    </row>
    <row r="68" spans="1:10" x14ac:dyDescent="0.3">
      <c r="A68" s="51" t="s">
        <v>17</v>
      </c>
      <c r="B68" s="46">
        <f>5*$H68</f>
        <v>0</v>
      </c>
      <c r="C68" s="46">
        <f>1*$H68</f>
        <v>0</v>
      </c>
      <c r="D68" s="46">
        <f>0*$H68</f>
        <v>0</v>
      </c>
      <c r="E68" s="46">
        <f>0*$H68</f>
        <v>0</v>
      </c>
      <c r="F68" s="46">
        <f>0*$H68</f>
        <v>0</v>
      </c>
      <c r="G68" s="46">
        <f>0*$H68</f>
        <v>0</v>
      </c>
      <c r="H68" s="52"/>
      <c r="J68" s="2" t="b">
        <f>NOT(ISERROR(MATCH(A68,Spice[Spice],0)))</f>
        <v>1</v>
      </c>
    </row>
    <row r="69" spans="1:10" x14ac:dyDescent="0.3">
      <c r="A69" s="51" t="s">
        <v>18</v>
      </c>
      <c r="B69" s="46">
        <f>10*$H69</f>
        <v>30</v>
      </c>
      <c r="C69" s="46">
        <f>2.3*$H69</f>
        <v>6.8999999999999995</v>
      </c>
      <c r="D69" s="46">
        <f>0*$H69</f>
        <v>0</v>
      </c>
      <c r="E69" s="46">
        <f>0.5*$H69</f>
        <v>1.5</v>
      </c>
      <c r="F69" s="46">
        <f>0.3*$H69</f>
        <v>0.89999999999999991</v>
      </c>
      <c r="G69" s="46">
        <f>0.1*$H69</f>
        <v>0.30000000000000004</v>
      </c>
      <c r="H69" s="52">
        <v>3</v>
      </c>
      <c r="J69" s="2" t="b">
        <f>NOT(ISERROR(MATCH(A69,Spice[Spice],0)))</f>
        <v>1</v>
      </c>
    </row>
    <row r="70" spans="1:10" x14ac:dyDescent="0.3">
      <c r="A70" s="53" t="s">
        <v>19</v>
      </c>
      <c r="B70" s="54">
        <f>1.2*$H70</f>
        <v>1.2</v>
      </c>
      <c r="C70" s="54">
        <f>0.3*$H70</f>
        <v>0.3</v>
      </c>
      <c r="D70" s="54">
        <f>0*$H70</f>
        <v>0</v>
      </c>
      <c r="E70" s="54">
        <f>1*$H70</f>
        <v>1</v>
      </c>
      <c r="F70" s="54">
        <f>0*$H70</f>
        <v>0</v>
      </c>
      <c r="G70" s="54">
        <f>0*$H70</f>
        <v>0</v>
      </c>
      <c r="H70" s="55">
        <v>1</v>
      </c>
      <c r="J70" s="2" t="b">
        <f>NOT(ISERROR(MATCH(A70,Spice[Spice],0)))</f>
        <v>1</v>
      </c>
    </row>
    <row r="71" spans="1:10" x14ac:dyDescent="0.3">
      <c r="A71" s="53" t="s">
        <v>20</v>
      </c>
      <c r="B71" s="54">
        <f>6*$H71</f>
        <v>0</v>
      </c>
      <c r="C71" s="54">
        <f>1.3*$H71</f>
        <v>0</v>
      </c>
      <c r="D71" s="54">
        <f>0.1*$H71</f>
        <v>0</v>
      </c>
      <c r="E71" s="54">
        <f>0.2*$H71</f>
        <v>0</v>
      </c>
      <c r="F71" s="54">
        <f>0.3*$H71</f>
        <v>0</v>
      </c>
      <c r="G71" s="54">
        <f>0.1*$H71</f>
        <v>0</v>
      </c>
      <c r="H71" s="55"/>
      <c r="J71" s="2" t="b">
        <f>NOT(ISERROR(MATCH(A71,Spice[Spice],0)))</f>
        <v>1</v>
      </c>
    </row>
    <row r="72" spans="1:10" x14ac:dyDescent="0.3">
      <c r="A72" s="51" t="s">
        <v>21</v>
      </c>
      <c r="B72" s="46">
        <f>2.2*$H72</f>
        <v>6.6000000000000005</v>
      </c>
      <c r="C72" s="46">
        <f>0.5*$H72</f>
        <v>1.5</v>
      </c>
      <c r="D72" s="46">
        <f>0.1*$H72</f>
        <v>0.30000000000000004</v>
      </c>
      <c r="E72" s="46">
        <f>0.1*$H72</f>
        <v>0.30000000000000004</v>
      </c>
      <c r="F72" s="46">
        <f>0.3*$H72</f>
        <v>0.89999999999999991</v>
      </c>
      <c r="G72" s="46">
        <f>0*$H72</f>
        <v>0</v>
      </c>
      <c r="H72" s="52">
        <v>3</v>
      </c>
      <c r="J72" s="2" t="b">
        <f>NOT(ISERROR(MATCH(A72,Spice[Spice],0)))</f>
        <v>1</v>
      </c>
    </row>
    <row r="73" spans="1:10" x14ac:dyDescent="0.3">
      <c r="A73" s="53" t="s">
        <v>22</v>
      </c>
      <c r="B73" s="54">
        <f>0*$H73</f>
        <v>0</v>
      </c>
      <c r="C73" s="54">
        <f>0*$H73</f>
        <v>0</v>
      </c>
      <c r="D73" s="54">
        <f>0*$H73</f>
        <v>0</v>
      </c>
      <c r="E73" s="54">
        <f>0*$H73</f>
        <v>0</v>
      </c>
      <c r="F73" s="54">
        <f>0*$H73</f>
        <v>0</v>
      </c>
      <c r="G73" s="54">
        <f>0*$H73</f>
        <v>0</v>
      </c>
      <c r="H73" s="55"/>
      <c r="J73" s="2" t="b">
        <f>NOT(ISERROR(MATCH(A73,Spice[Spice],0)))</f>
        <v>1</v>
      </c>
    </row>
    <row r="74" spans="1:10" x14ac:dyDescent="0.3">
      <c r="A74" s="51" t="s">
        <v>23</v>
      </c>
      <c r="B74" s="46">
        <f>8.2*$H74</f>
        <v>0</v>
      </c>
      <c r="C74" s="46">
        <f>1.9*$H74</f>
        <v>0</v>
      </c>
      <c r="D74" s="46">
        <f>0*$H74</f>
        <v>0</v>
      </c>
      <c r="E74" s="46">
        <f>0.3*$H74</f>
        <v>0</v>
      </c>
      <c r="F74" s="46">
        <f>0.4*$H74</f>
        <v>0</v>
      </c>
      <c r="G74" s="46">
        <f>0.2*$H74</f>
        <v>0</v>
      </c>
      <c r="H74" s="52"/>
      <c r="J74" s="2" t="b">
        <f>NOT(ISERROR(MATCH(A74,Spice[Spice],0)))</f>
        <v>1</v>
      </c>
    </row>
    <row r="75" spans="1:10" x14ac:dyDescent="0.3">
      <c r="A75" s="53" t="s">
        <v>24</v>
      </c>
      <c r="B75" s="54">
        <f>2.7*$H75</f>
        <v>2.7</v>
      </c>
      <c r="C75" s="54">
        <f>0.7*$H75</f>
        <v>0.7</v>
      </c>
      <c r="D75" s="54">
        <f>0*$H75</f>
        <v>0</v>
      </c>
      <c r="E75" s="54">
        <f>0.1*$H75</f>
        <v>0.1</v>
      </c>
      <c r="F75" s="54">
        <f>0.4*$H75</f>
        <v>0.4</v>
      </c>
      <c r="G75" s="54">
        <f>0*$H75</f>
        <v>0</v>
      </c>
      <c r="H75" s="55">
        <v>1</v>
      </c>
      <c r="J75" s="2" t="b">
        <f>NOT(ISERROR(MATCH(A75,Spice[Spice],0)))</f>
        <v>1</v>
      </c>
    </row>
    <row r="76" spans="1:10" x14ac:dyDescent="0.3">
      <c r="A76" s="56" t="s">
        <v>25</v>
      </c>
      <c r="B76" s="32">
        <f>6.5*$H76</f>
        <v>0</v>
      </c>
      <c r="C76" s="32">
        <f>1.2*$H76</f>
        <v>0</v>
      </c>
      <c r="D76" s="32">
        <f>0.3*$H76</f>
        <v>0</v>
      </c>
      <c r="E76" s="32">
        <f>0.3*$H76</f>
        <v>0</v>
      </c>
      <c r="F76" s="32">
        <f>0.8*$H76</f>
        <v>0</v>
      </c>
      <c r="G76" s="32">
        <f>0.2*$H76</f>
        <v>0</v>
      </c>
      <c r="H76" s="57"/>
      <c r="J76" s="2" t="b">
        <f>NOT(ISERROR(MATCH(A76,Spice[Spice],0)))</f>
        <v>1</v>
      </c>
    </row>
    <row r="77" spans="1:10" x14ac:dyDescent="0.3">
      <c r="A77" s="51" t="s">
        <v>26</v>
      </c>
      <c r="B77" s="46">
        <f>1.5*$H77</f>
        <v>0</v>
      </c>
      <c r="C77" s="46">
        <f>0.3*$H77</f>
        <v>0</v>
      </c>
      <c r="D77" s="46">
        <f>0*$H77</f>
        <v>0</v>
      </c>
      <c r="E77" s="46">
        <f>0.1*$H77</f>
        <v>0</v>
      </c>
      <c r="F77" s="46">
        <f>0.1*$H77</f>
        <v>0</v>
      </c>
      <c r="G77" s="46">
        <f>0*$H77</f>
        <v>0</v>
      </c>
      <c r="H77" s="52"/>
      <c r="J77" s="2" t="b">
        <f>NOT(ISERROR(MATCH(A77,Spice[Spice],0)))</f>
        <v>1</v>
      </c>
    </row>
    <row r="78" spans="1:10" x14ac:dyDescent="0.3">
      <c r="A78" s="51" t="s">
        <v>27</v>
      </c>
      <c r="B78" s="46">
        <f>5.7*$H78</f>
        <v>2.85</v>
      </c>
      <c r="C78" s="46">
        <f>1*$H78</f>
        <v>0.5</v>
      </c>
      <c r="D78" s="46">
        <f>0.3*$H78</f>
        <v>0.15</v>
      </c>
      <c r="E78" s="46">
        <f>0.2*$H78</f>
        <v>0.1</v>
      </c>
      <c r="F78" s="46">
        <f>0.5*$H78</f>
        <v>0.25</v>
      </c>
      <c r="G78" s="46">
        <f>0.2*$H78</f>
        <v>0.1</v>
      </c>
      <c r="H78" s="52">
        <v>0.5</v>
      </c>
      <c r="J78" s="2" t="b">
        <f>NOT(ISERROR(MATCH(A78,Spice[Spice],0)))</f>
        <v>1</v>
      </c>
    </row>
    <row r="79" spans="1:10" x14ac:dyDescent="0.3">
      <c r="A79" s="53" t="s">
        <v>28</v>
      </c>
      <c r="B79" s="54">
        <f t="shared" ref="B79:G79" si="7">0*$H79</f>
        <v>0</v>
      </c>
      <c r="C79" s="54">
        <f t="shared" si="7"/>
        <v>0</v>
      </c>
      <c r="D79" s="54">
        <f t="shared" si="7"/>
        <v>0</v>
      </c>
      <c r="E79" s="54">
        <f t="shared" si="7"/>
        <v>0</v>
      </c>
      <c r="F79" s="54">
        <f t="shared" si="7"/>
        <v>0</v>
      </c>
      <c r="G79" s="54">
        <f t="shared" si="7"/>
        <v>0</v>
      </c>
      <c r="H79" s="55"/>
      <c r="J79" s="2" t="b">
        <f>NOT(ISERROR(MATCH(A79,Spice[Spice],0)))</f>
        <v>1</v>
      </c>
    </row>
    <row r="80" spans="1:10" x14ac:dyDescent="0.3">
      <c r="A80" s="56" t="s">
        <v>29</v>
      </c>
      <c r="B80" s="32">
        <f>2.5*$H80</f>
        <v>0</v>
      </c>
      <c r="C80" s="32">
        <f>0.6*$H80</f>
        <v>0</v>
      </c>
      <c r="D80" s="32">
        <f>0.1*$H80</f>
        <v>0</v>
      </c>
      <c r="E80" s="32">
        <f>0.1*$H80</f>
        <v>0</v>
      </c>
      <c r="F80" s="32">
        <f>0.3*$H80</f>
        <v>0</v>
      </c>
      <c r="G80" s="32">
        <f>0*$H80</f>
        <v>0</v>
      </c>
      <c r="H80" s="57"/>
      <c r="J80" s="2" t="b">
        <f>NOT(ISERROR(MATCH(A80,Spice[Spice],0)))</f>
        <v>1</v>
      </c>
    </row>
    <row r="81" spans="1:10" x14ac:dyDescent="0.3">
      <c r="A81" s="41" t="s">
        <v>30</v>
      </c>
      <c r="B81" s="32">
        <f>4*$H81</f>
        <v>0</v>
      </c>
      <c r="C81" s="32">
        <f>1*$H81</f>
        <v>0</v>
      </c>
      <c r="D81" s="32">
        <f t="shared" ref="D81:F82" si="8">0*$H81</f>
        <v>0</v>
      </c>
      <c r="E81" s="32">
        <f t="shared" si="8"/>
        <v>0</v>
      </c>
      <c r="F81" s="32">
        <f t="shared" si="8"/>
        <v>0</v>
      </c>
      <c r="G81" s="32">
        <f>0*$H81</f>
        <v>0</v>
      </c>
      <c r="H81" s="42"/>
      <c r="J81" s="2" t="b">
        <f>NOT(ISERROR(MATCH(A81,Spice[Spice],0)))</f>
        <v>1</v>
      </c>
    </row>
    <row r="82" spans="1:10" x14ac:dyDescent="0.3">
      <c r="A82" s="41" t="s">
        <v>31</v>
      </c>
      <c r="B82" s="32">
        <f>0*$H82</f>
        <v>0</v>
      </c>
      <c r="C82" s="32">
        <f>0*$H82</f>
        <v>0</v>
      </c>
      <c r="D82" s="32">
        <f t="shared" si="8"/>
        <v>0</v>
      </c>
      <c r="E82" s="32">
        <f t="shared" si="8"/>
        <v>0</v>
      </c>
      <c r="F82" s="32">
        <f t="shared" si="8"/>
        <v>0</v>
      </c>
      <c r="G82" s="32">
        <f>0*$H82</f>
        <v>0</v>
      </c>
      <c r="H82" s="42"/>
      <c r="J82" s="2" t="b">
        <f>NOT(ISERROR(MATCH(A82,Spice[Spice],0)))</f>
        <v>1</v>
      </c>
    </row>
    <row r="83" spans="1:10" x14ac:dyDescent="0.3">
      <c r="A83" s="56" t="s">
        <v>32</v>
      </c>
      <c r="B83" s="42">
        <f>8*$H83</f>
        <v>0</v>
      </c>
      <c r="C83" s="42">
        <f>1.43*$H83</f>
        <v>0</v>
      </c>
      <c r="D83" s="42">
        <f>0.22*$H83</f>
        <v>0</v>
      </c>
      <c r="E83" s="42">
        <f>0.17*$H83</f>
        <v>0</v>
      </c>
      <c r="F83" s="42">
        <f>0.5*$H83</f>
        <v>0</v>
      </c>
      <c r="G83" s="42">
        <f>0*$H83</f>
        <v>0</v>
      </c>
      <c r="H83" s="57"/>
      <c r="J83" s="2" t="b">
        <f>NOT(ISERROR(MATCH(A83,Spice[Spice],0)))</f>
        <v>1</v>
      </c>
    </row>
    <row r="84" spans="1:10" s="22" customFormat="1" x14ac:dyDescent="0.3">
      <c r="A84" s="56" t="s">
        <v>33</v>
      </c>
      <c r="B84" s="42">
        <f>7.1*$H84</f>
        <v>3.55</v>
      </c>
      <c r="C84" s="42">
        <f>1.6*$H84</f>
        <v>0.8</v>
      </c>
      <c r="D84" s="42">
        <f>0.1*$H84</f>
        <v>0.05</v>
      </c>
      <c r="E84" s="42">
        <f>0.3*$H84</f>
        <v>0.15</v>
      </c>
      <c r="F84" s="42">
        <f>0.6*$H84</f>
        <v>0.3</v>
      </c>
      <c r="G84" s="42">
        <f>0*$H84</f>
        <v>0</v>
      </c>
      <c r="H84" s="57">
        <v>0.5</v>
      </c>
      <c r="J84" s="2" t="b">
        <f>NOT(ISERROR(MATCH(A84,Spice[Spice],0)))</f>
        <v>1</v>
      </c>
    </row>
    <row r="85" spans="1:10" x14ac:dyDescent="0.3">
      <c r="A85" s="42" t="s">
        <v>34</v>
      </c>
      <c r="B85" s="42">
        <f>SUBTOTAL(109,PizzaSpice43[Calories])</f>
        <v>54.2</v>
      </c>
      <c r="C85" s="42">
        <f>SUBTOTAL(109,PizzaSpice43[Carbs])</f>
        <v>12</v>
      </c>
      <c r="D85" s="42">
        <f>SUBTOTAL(109,PizzaSpice43[Fat])</f>
        <v>0.50000000000000011</v>
      </c>
      <c r="E85" s="42">
        <f>SUBTOTAL(109,PizzaSpice43[Protein])</f>
        <v>3.5500000000000003</v>
      </c>
      <c r="F85" s="42">
        <f>SUBTOTAL(109,PizzaSpice43[Fiber])</f>
        <v>3.5499999999999994</v>
      </c>
      <c r="G85" s="42">
        <f>SUBTOTAL(109,PizzaSpice43[Sugar])</f>
        <v>0.6</v>
      </c>
      <c r="H85" s="32">
        <f>SUBTOTAL(109,PizzaSpice43[Serving by TSP])</f>
        <v>11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7181D-FEE1-4B66-ADB2-EF7AFD69F365}">
  <sheetPr codeName="Sheet22"/>
  <dimension ref="A1:J70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x14ac:dyDescent="0.3">
      <c r="A2" s="1" t="s">
        <v>229</v>
      </c>
      <c r="B2" s="5">
        <f>110*$H2</f>
        <v>0</v>
      </c>
      <c r="C2" s="5">
        <f>0*$H2</f>
        <v>0</v>
      </c>
      <c r="D2" s="5">
        <f>3*$H2</f>
        <v>0</v>
      </c>
      <c r="E2" s="5">
        <f>22*$H2</f>
        <v>0</v>
      </c>
      <c r="F2" s="5">
        <f>0*$H2</f>
        <v>0</v>
      </c>
      <c r="G2" s="5">
        <f>0*$H2</f>
        <v>0</v>
      </c>
      <c r="H2" s="5"/>
      <c r="I2" s="22" t="s">
        <v>204</v>
      </c>
      <c r="J2" s="68" t="b">
        <f>NOT(ISERROR(MATCH(A2,Index[Item],0)))</f>
        <v>1</v>
      </c>
    </row>
    <row r="3" spans="1:10" x14ac:dyDescent="0.3">
      <c r="A3" s="1" t="s">
        <v>55</v>
      </c>
      <c r="B3" s="5">
        <f>('Roast'!B24)*$H3</f>
        <v>0</v>
      </c>
      <c r="C3" s="5">
        <f>('Roast'!C24)*$H3</f>
        <v>0</v>
      </c>
      <c r="D3" s="5">
        <f>('Roast'!D24)*$H3</f>
        <v>0</v>
      </c>
      <c r="E3" s="5">
        <f>('Roast'!E24)*$H3</f>
        <v>0</v>
      </c>
      <c r="F3" s="5">
        <f>('Roast'!F24)*$H3</f>
        <v>0</v>
      </c>
      <c r="G3" s="5">
        <f>('Roast'!G24)*$H3</f>
        <v>0</v>
      </c>
      <c r="H3" s="5"/>
      <c r="J3" s="68" t="b">
        <f>NOT(ISERROR(MATCH(A3,Index[Item],0)))</f>
        <v>1</v>
      </c>
    </row>
    <row r="4" spans="1:10" x14ac:dyDescent="0.3">
      <c r="A4" s="1" t="s">
        <v>52</v>
      </c>
      <c r="B4" s="5">
        <f>CharSiu[[#Totals],[Calories]]*$H4</f>
        <v>0</v>
      </c>
      <c r="C4" s="5">
        <f>CharSiu[[#Totals],[Carbs]]*$H4</f>
        <v>0</v>
      </c>
      <c r="D4" s="5">
        <f>CharSiu[[#Totals],[Fat ]]*$H4</f>
        <v>0</v>
      </c>
      <c r="E4" s="5">
        <f>CharSiu[[#Totals],[Protein]]*$H4</f>
        <v>0</v>
      </c>
      <c r="F4" s="5">
        <f>CharSiu[[#Totals],[Fiber]]*$H4</f>
        <v>0</v>
      </c>
      <c r="G4" s="5">
        <f>CharSiu[[#Totals],[Sugar]]*$H4</f>
        <v>0</v>
      </c>
      <c r="H4" s="5"/>
      <c r="J4" s="68" t="b">
        <f>NOT(ISERROR(MATCH(A4,Index[Item],0)))</f>
        <v>1</v>
      </c>
    </row>
    <row r="5" spans="1:10" x14ac:dyDescent="0.3">
      <c r="A5" s="1" t="s">
        <v>235</v>
      </c>
      <c r="B5" s="5">
        <f>160*$H5</f>
        <v>0</v>
      </c>
      <c r="C5" s="5">
        <f>36*$H5</f>
        <v>0</v>
      </c>
      <c r="D5" s="5">
        <f>0*$H5</f>
        <v>0</v>
      </c>
      <c r="E5" s="5">
        <f>3*$H5</f>
        <v>0</v>
      </c>
      <c r="F5" s="5">
        <f>1*$H5</f>
        <v>0</v>
      </c>
      <c r="G5" s="5">
        <f>1*$H5</f>
        <v>0</v>
      </c>
      <c r="H5" s="5"/>
      <c r="I5" s="22" t="s">
        <v>236</v>
      </c>
      <c r="J5" s="68" t="b">
        <f>NOT(ISERROR(MATCH(A5,Index[Item],0)))</f>
        <v>1</v>
      </c>
    </row>
    <row r="6" spans="1:10" x14ac:dyDescent="0.3">
      <c r="A6" s="1" t="s">
        <v>237</v>
      </c>
      <c r="B6" s="5">
        <f>160*$H6</f>
        <v>960</v>
      </c>
      <c r="C6" s="5">
        <f>35*$H6</f>
        <v>210</v>
      </c>
      <c r="D6" s="5">
        <f>0*$H6</f>
        <v>0</v>
      </c>
      <c r="E6" s="5">
        <f>3*$H6</f>
        <v>18</v>
      </c>
      <c r="F6" s="5">
        <f>0*$H6</f>
        <v>0</v>
      </c>
      <c r="G6" s="5">
        <f>0*$H6</f>
        <v>0</v>
      </c>
      <c r="H6" s="5">
        <v>6</v>
      </c>
      <c r="I6" s="22" t="s">
        <v>236</v>
      </c>
      <c r="J6" s="68" t="b">
        <f>NOT(ISERROR(MATCH(A6,Index[Item],0)))</f>
        <v>1</v>
      </c>
    </row>
    <row r="7" spans="1:10" x14ac:dyDescent="0.3">
      <c r="A7" s="1" t="s">
        <v>238</v>
      </c>
      <c r="B7" s="5">
        <f>160*$H7</f>
        <v>0</v>
      </c>
      <c r="C7" s="5">
        <f>36*$H7</f>
        <v>0</v>
      </c>
      <c r="D7" s="5">
        <f>0*$H7</f>
        <v>0</v>
      </c>
      <c r="E7" s="5">
        <f>3*$H7</f>
        <v>0</v>
      </c>
      <c r="F7" s="5">
        <f>0*$H7</f>
        <v>0</v>
      </c>
      <c r="G7" s="5">
        <f>0*$H7</f>
        <v>0</v>
      </c>
      <c r="H7" s="5"/>
      <c r="I7" s="22" t="s">
        <v>236</v>
      </c>
      <c r="J7" s="68" t="b">
        <f>NOT(ISERROR(MATCH(A7,Index[Item],0)))</f>
        <v>1</v>
      </c>
    </row>
    <row r="8" spans="1:10" x14ac:dyDescent="0.3">
      <c r="A8" s="1" t="s">
        <v>239</v>
      </c>
      <c r="B8" s="5">
        <f>160*$H8</f>
        <v>0</v>
      </c>
      <c r="C8" s="5">
        <f>34*$H8</f>
        <v>0</v>
      </c>
      <c r="D8" s="5">
        <f>1*$H8</f>
        <v>0</v>
      </c>
      <c r="E8" s="5">
        <f>3*$H8</f>
        <v>0</v>
      </c>
      <c r="F8" s="5">
        <f>1*$H8</f>
        <v>0</v>
      </c>
      <c r="G8" s="5">
        <f>0*$H8</f>
        <v>0</v>
      </c>
      <c r="H8" s="5"/>
      <c r="I8" s="22" t="s">
        <v>236</v>
      </c>
      <c r="J8" s="68" t="b">
        <f>NOT(ISERROR(MATCH(A8,Index[Item],0)))</f>
        <v>1</v>
      </c>
    </row>
    <row r="9" spans="1:10" ht="37.5" x14ac:dyDescent="0.3">
      <c r="A9" s="1" t="s">
        <v>240</v>
      </c>
      <c r="B9" s="5">
        <f>160*$H9</f>
        <v>0</v>
      </c>
      <c r="C9" s="5">
        <f>36*$H9</f>
        <v>0</v>
      </c>
      <c r="D9" s="5">
        <f>0*$H9</f>
        <v>0</v>
      </c>
      <c r="E9" s="5">
        <f>3*$H9</f>
        <v>0</v>
      </c>
      <c r="F9" s="5">
        <f>1*$H9</f>
        <v>0</v>
      </c>
      <c r="G9" s="5">
        <f>0*$H9</f>
        <v>0</v>
      </c>
      <c r="H9" s="5"/>
      <c r="I9" s="22" t="s">
        <v>236</v>
      </c>
      <c r="J9" s="68" t="b">
        <f>NOT(ISERROR(MATCH(A9,Index[Item],0)))</f>
        <v>1</v>
      </c>
    </row>
    <row r="10" spans="1:10" ht="37.5" x14ac:dyDescent="0.3">
      <c r="A10" s="1" t="s">
        <v>310</v>
      </c>
      <c r="B10" s="5">
        <f>25*$H10</f>
        <v>25</v>
      </c>
      <c r="C10" s="5">
        <f>5*$H10</f>
        <v>5</v>
      </c>
      <c r="D10" s="5">
        <f>0*$H10</f>
        <v>0</v>
      </c>
      <c r="E10" s="5">
        <f>0.5*$H10</f>
        <v>0.5</v>
      </c>
      <c r="F10" s="5">
        <f>0*$H10</f>
        <v>0</v>
      </c>
      <c r="G10" s="5">
        <f>3*$H10</f>
        <v>3</v>
      </c>
      <c r="H10" s="5">
        <v>1</v>
      </c>
      <c r="I10" s="22" t="s">
        <v>307</v>
      </c>
      <c r="J10" s="68" t="b">
        <f>NOT(ISERROR(MATCH(A10,Index[Item],0)))</f>
        <v>1</v>
      </c>
    </row>
    <row r="11" spans="1:10" x14ac:dyDescent="0.3">
      <c r="A11" s="1" t="s">
        <v>318</v>
      </c>
      <c r="B11" s="5">
        <f>10*$H11</f>
        <v>10</v>
      </c>
      <c r="C11" s="5">
        <f>1*$H11</f>
        <v>1</v>
      </c>
      <c r="D11" s="5">
        <f>0*$H11</f>
        <v>0</v>
      </c>
      <c r="E11" s="5">
        <f>1*$H11</f>
        <v>1</v>
      </c>
      <c r="F11" s="5">
        <f>0*$H11</f>
        <v>0</v>
      </c>
      <c r="G11" s="5">
        <f>0*$H11</f>
        <v>0</v>
      </c>
      <c r="H11" s="5">
        <v>1</v>
      </c>
      <c r="I11" s="22" t="s">
        <v>307</v>
      </c>
      <c r="J11" s="68" t="b">
        <f>NOT(ISERROR(MATCH(A11,Index[Item],0)))</f>
        <v>1</v>
      </c>
    </row>
    <row r="12" spans="1:10" ht="37.5" x14ac:dyDescent="0.3">
      <c r="A12" s="1" t="s">
        <v>319</v>
      </c>
      <c r="B12" s="5">
        <f>30*$H12</f>
        <v>0</v>
      </c>
      <c r="C12" s="5">
        <f>7*$H12</f>
        <v>0</v>
      </c>
      <c r="D12" s="5">
        <f>0*$H12</f>
        <v>0</v>
      </c>
      <c r="E12" s="5">
        <f>0.5*$H12</f>
        <v>0</v>
      </c>
      <c r="F12" s="5">
        <f>0*$H12</f>
        <v>0</v>
      </c>
      <c r="G12" s="5">
        <f>6*$H12</f>
        <v>0</v>
      </c>
      <c r="H12" s="5"/>
      <c r="I12" s="22" t="s">
        <v>307</v>
      </c>
      <c r="J12" s="68" t="b">
        <f>NOT(ISERROR(MATCH(A12,Index[Item],0)))</f>
        <v>1</v>
      </c>
    </row>
    <row r="13" spans="1:10" x14ac:dyDescent="0.3">
      <c r="A13" s="1" t="s">
        <v>308</v>
      </c>
      <c r="B13" s="5">
        <f>60*$H13</f>
        <v>0</v>
      </c>
      <c r="C13" s="5">
        <f>17*$H13</f>
        <v>0</v>
      </c>
      <c r="D13" s="5">
        <f>0*$H13</f>
        <v>0</v>
      </c>
      <c r="E13" s="5">
        <f>0*$H13</f>
        <v>0</v>
      </c>
      <c r="F13" s="5">
        <f>0*$H13</f>
        <v>0</v>
      </c>
      <c r="G13" s="5">
        <f>17*$H13</f>
        <v>0</v>
      </c>
      <c r="H13" s="5"/>
      <c r="I13" s="22" t="s">
        <v>309</v>
      </c>
      <c r="J13" s="68" t="b">
        <f>NOT(ISERROR(MATCH(A13,Index[Item],0)))</f>
        <v>1</v>
      </c>
    </row>
    <row r="14" spans="1:10" x14ac:dyDescent="0.3">
      <c r="A14" s="1" t="s">
        <v>306</v>
      </c>
      <c r="B14" s="5">
        <f>60*$H14</f>
        <v>0</v>
      </c>
      <c r="C14" s="5">
        <f>16*$H14</f>
        <v>0</v>
      </c>
      <c r="D14" s="5">
        <f t="shared" ref="D14:F16" si="0">0*$H14</f>
        <v>0</v>
      </c>
      <c r="E14" s="5">
        <f>0*$H14</f>
        <v>0</v>
      </c>
      <c r="F14" s="5">
        <f>1*$H14</f>
        <v>0</v>
      </c>
      <c r="G14" s="5">
        <f>15*$H14</f>
        <v>0</v>
      </c>
      <c r="H14" s="5"/>
      <c r="I14" s="22" t="s">
        <v>307</v>
      </c>
      <c r="J14" s="68" t="b">
        <f>NOT(ISERROR(MATCH(A14,Index[Item],0)))</f>
        <v>1</v>
      </c>
    </row>
    <row r="15" spans="1:10" x14ac:dyDescent="0.3">
      <c r="A15" s="1" t="s">
        <v>303</v>
      </c>
      <c r="B15" s="5">
        <f>30*$H15</f>
        <v>30</v>
      </c>
      <c r="C15" s="5">
        <f>0*$H15</f>
        <v>0</v>
      </c>
      <c r="D15" s="5">
        <f t="shared" si="0"/>
        <v>0</v>
      </c>
      <c r="E15" s="5">
        <f t="shared" si="0"/>
        <v>0</v>
      </c>
      <c r="F15" s="5">
        <f t="shared" si="0"/>
        <v>0</v>
      </c>
      <c r="G15" s="5">
        <f>8*$H15</f>
        <v>8</v>
      </c>
      <c r="H15" s="5">
        <v>1</v>
      </c>
      <c r="I15" s="22" t="s">
        <v>304</v>
      </c>
      <c r="J15" s="68" t="b">
        <f>NOT(ISERROR(MATCH(A15,Index[Item],0)))</f>
        <v>1</v>
      </c>
    </row>
    <row r="16" spans="1:10" ht="37.5" x14ac:dyDescent="0.3">
      <c r="A16" s="1" t="s">
        <v>311</v>
      </c>
      <c r="B16" s="5">
        <f>32*$H16</f>
        <v>16</v>
      </c>
      <c r="C16" s="5">
        <f>0*$H16</f>
        <v>0</v>
      </c>
      <c r="D16" s="5">
        <f t="shared" si="0"/>
        <v>0</v>
      </c>
      <c r="E16" s="5">
        <f>0*$H16</f>
        <v>0</v>
      </c>
      <c r="F16" s="5">
        <f t="shared" ref="F16:F18" si="1">0*$H16</f>
        <v>0</v>
      </c>
      <c r="G16" s="5">
        <f>0*$H16</f>
        <v>0</v>
      </c>
      <c r="H16" s="5">
        <v>0.5</v>
      </c>
      <c r="I16" s="22" t="s">
        <v>312</v>
      </c>
      <c r="J16" s="68" t="b">
        <f>NOT(ISERROR(MATCH(A16,Index[Item],0)))</f>
        <v>1</v>
      </c>
    </row>
    <row r="17" spans="1:10" ht="37.5" x14ac:dyDescent="0.3">
      <c r="A17" s="1" t="s">
        <v>317</v>
      </c>
      <c r="B17" s="5">
        <f>120*$H17</f>
        <v>0</v>
      </c>
      <c r="C17" s="5">
        <f>0*$H17</f>
        <v>0</v>
      </c>
      <c r="D17" s="5">
        <f>14*$H17</f>
        <v>0</v>
      </c>
      <c r="E17" s="5">
        <f>0*$H17</f>
        <v>0</v>
      </c>
      <c r="F17" s="5">
        <f t="shared" si="1"/>
        <v>0</v>
      </c>
      <c r="G17" s="5">
        <f>0*$H17</f>
        <v>0</v>
      </c>
      <c r="H17" s="5"/>
      <c r="I17" s="22" t="s">
        <v>307</v>
      </c>
      <c r="J17" s="68" t="b">
        <f>NOT(ISERROR(MATCH(A17,Index[Item],0)))</f>
        <v>1</v>
      </c>
    </row>
    <row r="18" spans="1:10" x14ac:dyDescent="0.3">
      <c r="A18" s="1" t="s">
        <v>338</v>
      </c>
      <c r="B18" s="5">
        <f>120*$H18</f>
        <v>120</v>
      </c>
      <c r="C18" s="5">
        <f>0*$H18</f>
        <v>0</v>
      </c>
      <c r="D18" s="5">
        <f>14*$H18</f>
        <v>14</v>
      </c>
      <c r="E18" s="5">
        <f>0*$H18</f>
        <v>0</v>
      </c>
      <c r="F18" s="5">
        <f t="shared" si="1"/>
        <v>0</v>
      </c>
      <c r="G18" s="5">
        <f>0*$H18</f>
        <v>0</v>
      </c>
      <c r="H18" s="5">
        <v>1</v>
      </c>
      <c r="I18" s="22" t="s">
        <v>307</v>
      </c>
      <c r="J18" s="68" t="b">
        <f>NOT(ISERROR(MATCH(A18,Index[Item],0)))</f>
        <v>1</v>
      </c>
    </row>
    <row r="19" spans="1:10" x14ac:dyDescent="0.3">
      <c r="A19" s="1" t="s">
        <v>543</v>
      </c>
      <c r="B19" s="5">
        <f>28*$H19</f>
        <v>56</v>
      </c>
      <c r="C19" s="5">
        <f>6.7*$H19</f>
        <v>13.4</v>
      </c>
      <c r="D19" s="5">
        <f t="shared" ref="D19:D24" si="2">0.2*$H19</f>
        <v>0.4</v>
      </c>
      <c r="E19" s="5">
        <f>1.9*$H19</f>
        <v>3.8</v>
      </c>
      <c r="F19" s="5">
        <f>1.2*$H19</f>
        <v>2.4</v>
      </c>
      <c r="G19" s="5">
        <f>3.2*$H19</f>
        <v>6.4</v>
      </c>
      <c r="H19" s="5">
        <v>2</v>
      </c>
      <c r="I19" s="22" t="s">
        <v>96</v>
      </c>
      <c r="J19" s="68" t="b">
        <f>NOT(ISERROR(MATCH(A19,Index[Item],0)))</f>
        <v>1</v>
      </c>
    </row>
    <row r="20" spans="1:10" x14ac:dyDescent="0.3">
      <c r="A20" s="1" t="s">
        <v>27</v>
      </c>
      <c r="B20" s="5">
        <f>28*$H20</f>
        <v>0</v>
      </c>
      <c r="C20" s="5">
        <f>6.7*$H20</f>
        <v>0</v>
      </c>
      <c r="D20" s="5">
        <f t="shared" si="2"/>
        <v>0</v>
      </c>
      <c r="E20" s="5">
        <f>0.9*$H20</f>
        <v>0</v>
      </c>
      <c r="F20" s="5">
        <f>1.2*$H20</f>
        <v>0</v>
      </c>
      <c r="G20" s="5">
        <f>4.4*$H20</f>
        <v>0</v>
      </c>
      <c r="H20" s="5"/>
      <c r="I20" s="22" t="s">
        <v>96</v>
      </c>
      <c r="J20" s="68" t="b">
        <f>NOT(ISERROR(MATCH(A20,Index[Item],0)))</f>
        <v>1</v>
      </c>
    </row>
    <row r="21" spans="1:10" x14ac:dyDescent="0.3">
      <c r="A21" s="1" t="s">
        <v>98</v>
      </c>
      <c r="B21" s="5">
        <f>28*$H21</f>
        <v>0</v>
      </c>
      <c r="C21" s="5">
        <f>6.7*$H21</f>
        <v>0</v>
      </c>
      <c r="D21" s="5">
        <f t="shared" si="2"/>
        <v>0</v>
      </c>
      <c r="E21" s="5">
        <f>0.9*$H21</f>
        <v>0</v>
      </c>
      <c r="F21" s="5">
        <f>1.2*$H21</f>
        <v>0</v>
      </c>
      <c r="G21" s="5">
        <f>4.4*$H21</f>
        <v>0</v>
      </c>
      <c r="H21" s="5"/>
      <c r="I21" s="22" t="s">
        <v>96</v>
      </c>
      <c r="J21" s="68" t="b">
        <f>NOT(ISERROR(MATCH(A21,Index[Item],0)))</f>
        <v>1</v>
      </c>
    </row>
    <row r="22" spans="1:10" x14ac:dyDescent="0.3">
      <c r="A22" s="1" t="s">
        <v>99</v>
      </c>
      <c r="B22" s="5">
        <f>27*$H22</f>
        <v>0</v>
      </c>
      <c r="C22" s="5">
        <f>6.3*$H22</f>
        <v>0</v>
      </c>
      <c r="D22" s="5">
        <f t="shared" si="2"/>
        <v>0</v>
      </c>
      <c r="E22" s="5">
        <f>1*$H22</f>
        <v>0</v>
      </c>
      <c r="F22" s="5">
        <f>0.9*$H22</f>
        <v>0</v>
      </c>
      <c r="G22" s="5">
        <f>0*$H22</f>
        <v>0</v>
      </c>
      <c r="H22" s="5"/>
      <c r="I22" s="22" t="s">
        <v>96</v>
      </c>
      <c r="J22" s="68" t="b">
        <f>NOT(ISERROR(MATCH(A22,Index[Item],0)))</f>
        <v>1</v>
      </c>
    </row>
    <row r="23" spans="1:10" x14ac:dyDescent="0.3">
      <c r="A23" s="1" t="s">
        <v>102</v>
      </c>
      <c r="B23" s="5">
        <f>44*$H23</f>
        <v>88</v>
      </c>
      <c r="C23" s="5">
        <f>10*$H23</f>
        <v>20</v>
      </c>
      <c r="D23" s="5">
        <f t="shared" si="2"/>
        <v>0.4</v>
      </c>
      <c r="E23" s="5">
        <f>1.4*$H23</f>
        <v>2.8</v>
      </c>
      <c r="F23" s="5">
        <f>1.4*$H23</f>
        <v>2.8</v>
      </c>
      <c r="G23" s="5">
        <f>4.7*$H23</f>
        <v>9.4</v>
      </c>
      <c r="H23" s="5">
        <v>2</v>
      </c>
      <c r="I23" s="22" t="s">
        <v>96</v>
      </c>
      <c r="J23" s="68" t="b">
        <f>NOT(ISERROR(MATCH(A23,Index[Item],0)))</f>
        <v>1</v>
      </c>
    </row>
    <row r="24" spans="1:10" x14ac:dyDescent="0.3">
      <c r="A24" s="1" t="s">
        <v>95</v>
      </c>
      <c r="B24" s="5">
        <f>32*$H24</f>
        <v>0</v>
      </c>
      <c r="C24" s="5">
        <f>7.3*$H24</f>
        <v>0</v>
      </c>
      <c r="D24" s="5">
        <f t="shared" si="2"/>
        <v>0</v>
      </c>
      <c r="E24" s="5">
        <f>1.8*$H24</f>
        <v>0</v>
      </c>
      <c r="F24" s="5">
        <f t="shared" ref="F24" si="3">2.7*$H24</f>
        <v>0</v>
      </c>
      <c r="G24" s="5">
        <f>2.3*$H24</f>
        <v>0</v>
      </c>
      <c r="H24" s="5"/>
      <c r="I24" s="22" t="s">
        <v>96</v>
      </c>
      <c r="J24" s="68" t="b">
        <f>NOT(ISERROR(MATCH(A24,Index[Item],0)))</f>
        <v>1</v>
      </c>
    </row>
    <row r="25" spans="1:10" x14ac:dyDescent="0.3">
      <c r="A25" s="1" t="s">
        <v>101</v>
      </c>
      <c r="B25" s="5">
        <f>29*$H25</f>
        <v>58</v>
      </c>
      <c r="C25" s="5">
        <f>6.5*$H25</f>
        <v>13</v>
      </c>
      <c r="D25" s="5">
        <f>0.4*$H25</f>
        <v>0.8</v>
      </c>
      <c r="E25" s="5">
        <f>0.9*$H25</f>
        <v>1.8</v>
      </c>
      <c r="F25" s="5">
        <f>2.8*$H25</f>
        <v>5.6</v>
      </c>
      <c r="G25" s="5">
        <f>4.1*$H25</f>
        <v>8.1999999999999993</v>
      </c>
      <c r="H25" s="5">
        <v>2</v>
      </c>
      <c r="I25" s="22" t="s">
        <v>96</v>
      </c>
      <c r="J25" s="68" t="b">
        <f>NOT(ISERROR(MATCH(A25,Index[Item],0)))</f>
        <v>1</v>
      </c>
    </row>
    <row r="26" spans="1:10" x14ac:dyDescent="0.3">
      <c r="A26" s="1" t="s">
        <v>100</v>
      </c>
      <c r="B26" s="5">
        <f>27*$H26</f>
        <v>0</v>
      </c>
      <c r="C26" s="5">
        <f>5.4*$H26</f>
        <v>0</v>
      </c>
      <c r="D26" s="5">
        <f>0.5*$H26</f>
        <v>0</v>
      </c>
      <c r="E26" s="5">
        <f>1.7*$H26</f>
        <v>0</v>
      </c>
      <c r="F26" s="5">
        <f>3.4*$H26</f>
        <v>0</v>
      </c>
      <c r="G26" s="5">
        <f>2*$H26</f>
        <v>0</v>
      </c>
      <c r="H26" s="5"/>
      <c r="I26" s="22" t="s">
        <v>96</v>
      </c>
      <c r="J26" s="68" t="b">
        <f>NOT(ISERROR(MATCH(A26,Index[Item],0)))</f>
        <v>1</v>
      </c>
    </row>
    <row r="27" spans="1:10" x14ac:dyDescent="0.3">
      <c r="A27" s="1" t="s">
        <v>557</v>
      </c>
      <c r="B27" s="5">
        <f>20*$H27</f>
        <v>40</v>
      </c>
      <c r="C27" s="5">
        <f>5*$H27</f>
        <v>10</v>
      </c>
      <c r="D27" s="5">
        <f>0*$H27</f>
        <v>0</v>
      </c>
      <c r="E27" s="5">
        <f>1*$H27</f>
        <v>2</v>
      </c>
      <c r="F27" s="5">
        <f>2*$H27</f>
        <v>4</v>
      </c>
      <c r="G27" s="5">
        <f>2*$H27</f>
        <v>4</v>
      </c>
      <c r="H27" s="5">
        <v>2</v>
      </c>
      <c r="I27" s="22" t="s">
        <v>96</v>
      </c>
      <c r="J27" s="68" t="b">
        <f>NOT(ISERROR(MATCH(A27,Index[Item],0)))</f>
        <v>1</v>
      </c>
    </row>
    <row r="28" spans="1:10" x14ac:dyDescent="0.3">
      <c r="A28" s="1" t="s">
        <v>108</v>
      </c>
      <c r="B28" s="5">
        <f>34*$H28</f>
        <v>0</v>
      </c>
      <c r="C28" s="5">
        <f>6.6*$H28</f>
        <v>0</v>
      </c>
      <c r="D28" s="5">
        <f>0.4*$H28</f>
        <v>0</v>
      </c>
      <c r="E28" s="5">
        <f>2.8*$H28</f>
        <v>0</v>
      </c>
      <c r="F28" s="5">
        <f>2.6*$H28</f>
        <v>0</v>
      </c>
      <c r="G28" s="5">
        <f>1.7*$H28</f>
        <v>0</v>
      </c>
      <c r="H28" s="5"/>
      <c r="I28" s="22" t="s">
        <v>96</v>
      </c>
      <c r="J28" s="68" t="b">
        <f>NOT(ISERROR(MATCH(A28,Index[Item],0)))</f>
        <v>1</v>
      </c>
    </row>
    <row r="29" spans="1:10" x14ac:dyDescent="0.3">
      <c r="A29" s="1" t="s">
        <v>109</v>
      </c>
      <c r="B29" s="5">
        <f>35*$H29</f>
        <v>0</v>
      </c>
      <c r="C29" s="5">
        <f>7.9*$H29</f>
        <v>0</v>
      </c>
      <c r="D29" s="5">
        <f>0.3*$H29</f>
        <v>0</v>
      </c>
      <c r="E29" s="5">
        <f>1.9*$H29</f>
        <v>0</v>
      </c>
      <c r="F29" s="5">
        <f>3.2*$H29</f>
        <v>0</v>
      </c>
      <c r="G29" s="5">
        <f>3.6*$H29</f>
        <v>0</v>
      </c>
      <c r="H29" s="5"/>
      <c r="I29" s="22" t="s">
        <v>96</v>
      </c>
      <c r="J29" s="68" t="b">
        <f>NOT(ISERROR(MATCH(A29,Index[Item],0)))</f>
        <v>1</v>
      </c>
    </row>
    <row r="30" spans="1:10" x14ac:dyDescent="0.3">
      <c r="A30" s="1" t="s">
        <v>107</v>
      </c>
      <c r="B30" s="5">
        <f>21*$H30</f>
        <v>0</v>
      </c>
      <c r="C30" s="5">
        <f>4.2*$H30</f>
        <v>0</v>
      </c>
      <c r="D30" s="5">
        <f>0.1*$H30</f>
        <v>0</v>
      </c>
      <c r="E30" s="5">
        <f>2*$H30</f>
        <v>0</v>
      </c>
      <c r="F30" s="5">
        <f>0.8*$H30</f>
        <v>0</v>
      </c>
      <c r="G30" s="5">
        <f>2.8*$H30</f>
        <v>0</v>
      </c>
      <c r="H30" s="5"/>
      <c r="I30" s="22" t="s">
        <v>96</v>
      </c>
      <c r="J30" s="68" t="b">
        <f>NOT(ISERROR(MATCH(A30,Index[Item],0)))</f>
        <v>1</v>
      </c>
    </row>
    <row r="31" spans="1:10" x14ac:dyDescent="0.3">
      <c r="A31" s="1" t="s">
        <v>113</v>
      </c>
      <c r="B31" s="5">
        <f>23*$H31</f>
        <v>0</v>
      </c>
      <c r="C31" s="5">
        <f>5.5*$H31</f>
        <v>0</v>
      </c>
      <c r="D31" s="5">
        <f>0.1*$H31</f>
        <v>0</v>
      </c>
      <c r="E31" s="5">
        <f>1.3*$H31</f>
        <v>0</v>
      </c>
      <c r="F31" s="5">
        <f>1.9*$H31</f>
        <v>0</v>
      </c>
      <c r="G31" s="5">
        <f>2.8*$H31</f>
        <v>0</v>
      </c>
      <c r="H31" s="5"/>
      <c r="I31" s="22" t="s">
        <v>96</v>
      </c>
      <c r="J31" s="68" t="b">
        <f>NOT(ISERROR(MATCH(A31,Index[Item],0)))</f>
        <v>1</v>
      </c>
    </row>
    <row r="32" spans="1:10" x14ac:dyDescent="0.3">
      <c r="A32" s="1" t="s">
        <v>110</v>
      </c>
      <c r="B32" s="5">
        <f>18*$H32</f>
        <v>0</v>
      </c>
      <c r="C32" s="5">
        <f>4*$H32</f>
        <v>0</v>
      </c>
      <c r="D32" s="5">
        <f>0.2*$H32</f>
        <v>0</v>
      </c>
      <c r="E32" s="5">
        <f>0.8*$H32</f>
        <v>0</v>
      </c>
      <c r="F32" s="5">
        <f>1.6*$H32</f>
        <v>0</v>
      </c>
      <c r="G32" s="5">
        <f>2.4*$H32</f>
        <v>0</v>
      </c>
      <c r="H32" s="5"/>
      <c r="I32" s="22" t="s">
        <v>96</v>
      </c>
      <c r="J32" s="68" t="b">
        <f>NOT(ISERROR(MATCH(A32,Index[Item],0)))</f>
        <v>1</v>
      </c>
    </row>
    <row r="33" spans="1:10" x14ac:dyDescent="0.3">
      <c r="A33" s="1" t="s">
        <v>115</v>
      </c>
      <c r="B33" s="5">
        <f>25*$H33</f>
        <v>62.5</v>
      </c>
      <c r="C33" s="5">
        <f>5*$H33</f>
        <v>12.5</v>
      </c>
      <c r="D33" s="5">
        <f>0*$H33</f>
        <v>0</v>
      </c>
      <c r="E33" s="5">
        <f>0*$H33</f>
        <v>0</v>
      </c>
      <c r="F33" s="5">
        <f>2*$H33</f>
        <v>5</v>
      </c>
      <c r="G33" s="5">
        <f>1*$H33</f>
        <v>2.5</v>
      </c>
      <c r="H33" s="5">
        <v>2.5</v>
      </c>
      <c r="I33" s="22" t="s">
        <v>116</v>
      </c>
      <c r="J33" s="68" t="b">
        <f>NOT(ISERROR(MATCH(A33,Index[Item],0)))</f>
        <v>1</v>
      </c>
    </row>
    <row r="34" spans="1:10" ht="42.75" customHeight="1" x14ac:dyDescent="0.3">
      <c r="A34" s="1" t="s">
        <v>560</v>
      </c>
      <c r="B34" s="5">
        <f>50*$H34</f>
        <v>0</v>
      </c>
      <c r="C34" s="5">
        <f>10*$H34</f>
        <v>0</v>
      </c>
      <c r="D34" s="5">
        <f t="shared" ref="D34" si="4">0*$H34</f>
        <v>0</v>
      </c>
      <c r="E34" s="5">
        <f>3*$H34</f>
        <v>0</v>
      </c>
      <c r="F34" s="5">
        <f>3*$H34</f>
        <v>0</v>
      </c>
      <c r="G34" s="5">
        <f>4*$H34</f>
        <v>0</v>
      </c>
      <c r="H34" s="5"/>
      <c r="I34" s="22" t="s">
        <v>118</v>
      </c>
      <c r="J34" s="68" t="b">
        <f>NOT(ISERROR(MATCH(A34,Index[Item],0)))</f>
        <v>1</v>
      </c>
    </row>
    <row r="35" spans="1:10" ht="37.5" x14ac:dyDescent="0.3">
      <c r="A35" s="1" t="s">
        <v>117</v>
      </c>
      <c r="B35" s="5">
        <f>50*$H35</f>
        <v>0</v>
      </c>
      <c r="C35" s="5">
        <f>10*$H35</f>
        <v>0</v>
      </c>
      <c r="D35" s="5">
        <f t="shared" ref="D35:D38" si="5">0*$H35</f>
        <v>0</v>
      </c>
      <c r="E35" s="5">
        <f>3*$H35</f>
        <v>0</v>
      </c>
      <c r="F35" s="5">
        <f>3*$H35</f>
        <v>0</v>
      </c>
      <c r="G35" s="5">
        <f>4*$H35</f>
        <v>0</v>
      </c>
      <c r="H35" s="5"/>
      <c r="I35" s="22" t="s">
        <v>118</v>
      </c>
      <c r="J35" s="68" t="b">
        <f>NOT(ISERROR(MATCH(A35,Index[Item],0)))</f>
        <v>1</v>
      </c>
    </row>
    <row r="36" spans="1:10" ht="37.5" x14ac:dyDescent="0.3">
      <c r="A36" s="1" t="s">
        <v>119</v>
      </c>
      <c r="B36" s="5">
        <f>60*$H36</f>
        <v>0</v>
      </c>
      <c r="C36" s="5">
        <f>11*$H36</f>
        <v>0</v>
      </c>
      <c r="D36" s="5">
        <f t="shared" si="5"/>
        <v>0</v>
      </c>
      <c r="E36" s="5">
        <f>2*$H36</f>
        <v>0</v>
      </c>
      <c r="F36" s="5">
        <f>3*$H36</f>
        <v>0</v>
      </c>
      <c r="G36" s="5">
        <f>4*$H36</f>
        <v>0</v>
      </c>
      <c r="H36" s="5"/>
      <c r="I36" s="22" t="s">
        <v>118</v>
      </c>
      <c r="J36" s="68" t="b">
        <f>NOT(ISERROR(MATCH(A36,Index[Item],0)))</f>
        <v>1</v>
      </c>
    </row>
    <row r="37" spans="1:10" ht="56.25" x14ac:dyDescent="0.3">
      <c r="A37" s="1" t="s">
        <v>120</v>
      </c>
      <c r="B37" s="5">
        <f>35*$H37</f>
        <v>0</v>
      </c>
      <c r="C37" s="5">
        <f>5*$H37</f>
        <v>0</v>
      </c>
      <c r="D37" s="5">
        <f>0*$H37</f>
        <v>0</v>
      </c>
      <c r="E37" s="5">
        <f>1*$H37</f>
        <v>0</v>
      </c>
      <c r="F37" s="5">
        <f>2*$H37</f>
        <v>0</v>
      </c>
      <c r="G37" s="5">
        <f>3*$H37</f>
        <v>0</v>
      </c>
      <c r="H37" s="5"/>
      <c r="I37" s="22" t="s">
        <v>121</v>
      </c>
      <c r="J37" s="68" t="b">
        <f>NOT(ISERROR(MATCH(A37,Index[Item],0)))</f>
        <v>1</v>
      </c>
    </row>
    <row r="38" spans="1:10" ht="56.25" x14ac:dyDescent="0.3">
      <c r="A38" s="1" t="s">
        <v>122</v>
      </c>
      <c r="B38" s="5">
        <f>40*$H38</f>
        <v>0</v>
      </c>
      <c r="C38" s="5">
        <f>8*$H38</f>
        <v>0</v>
      </c>
      <c r="D38" s="5">
        <f t="shared" si="5"/>
        <v>0</v>
      </c>
      <c r="E38" s="5">
        <f>1*$H38</f>
        <v>0</v>
      </c>
      <c r="F38" s="5">
        <f>2*$H38</f>
        <v>0</v>
      </c>
      <c r="G38" s="5">
        <f>3*$H38</f>
        <v>0</v>
      </c>
      <c r="H38" s="5"/>
      <c r="I38" s="22" t="s">
        <v>123</v>
      </c>
      <c r="J38" s="68" t="b">
        <f>NOT(ISERROR(MATCH(A38,Index[Item],0)))</f>
        <v>1</v>
      </c>
    </row>
    <row r="39" spans="1:10" x14ac:dyDescent="0.3">
      <c r="A39" s="1" t="s">
        <v>232</v>
      </c>
      <c r="B39" s="5">
        <f>72*$H39</f>
        <v>144</v>
      </c>
      <c r="C39" s="5">
        <f>0.4*$H39</f>
        <v>0.8</v>
      </c>
      <c r="D39" s="5">
        <f>4.8*$H39</f>
        <v>9.6</v>
      </c>
      <c r="E39" s="5">
        <f>6.3*$H39</f>
        <v>12.6</v>
      </c>
      <c r="F39" s="5">
        <f t="shared" ref="F39" si="6">0*$H39</f>
        <v>0</v>
      </c>
      <c r="G39" s="5">
        <f>0.2*$H39</f>
        <v>0.4</v>
      </c>
      <c r="H39" s="5">
        <v>2</v>
      </c>
      <c r="J39" s="68" t="b">
        <f>NOT(ISERROR(MATCH(A39,Index[Item],0)))</f>
        <v>1</v>
      </c>
    </row>
    <row r="40" spans="1:10" x14ac:dyDescent="0.3">
      <c r="A40" s="1" t="s">
        <v>481</v>
      </c>
      <c r="B40" s="5">
        <f>Table27[[#Totals],[Calories]]</f>
        <v>78.5</v>
      </c>
      <c r="C40" s="5">
        <f>Table27[[#Totals],[Carbs]]</f>
        <v>14.299999999999999</v>
      </c>
      <c r="D40" s="5">
        <f>Table27[[#Totals],[Fat]]</f>
        <v>0.7</v>
      </c>
      <c r="E40" s="5">
        <f>Table27[[#Totals],[Protein]]</f>
        <v>1.4000000000000001</v>
      </c>
      <c r="F40" s="5">
        <f>Table27[[#Totals],[Fiber]]</f>
        <v>1.7000000000000002</v>
      </c>
      <c r="G40" s="5">
        <f>Table27[[#Totals],[Sugar]]</f>
        <v>0.2</v>
      </c>
      <c r="H40" s="5">
        <f>Table27[[#Totals],[Serving by TSP]]</f>
        <v>7</v>
      </c>
      <c r="J40" s="68" t="b">
        <f>NOT(ISERROR(MATCH(A40,Index[Item],0)))</f>
        <v>1</v>
      </c>
    </row>
    <row r="41" spans="1:10" x14ac:dyDescent="0.3">
      <c r="A41" s="1" t="s">
        <v>544</v>
      </c>
      <c r="B41" s="5">
        <f>SUBTOTAL(109,FriedRice[Calories])/FriedRice[[#Totals],[Measurement]]</f>
        <v>281.33333333333331</v>
      </c>
      <c r="C41" s="5">
        <f>SUBTOTAL(109,FriedRice[Carbs])/FriedRice[[#Totals],[Measurement]]</f>
        <v>50</v>
      </c>
      <c r="D41" s="5">
        <f>SUBTOTAL(109,FriedRice[[Fat ]])/FriedRice[[#Totals],[Measurement]]</f>
        <v>4.3166666666666673</v>
      </c>
      <c r="E41" s="5">
        <f>SUBTOTAL(109,FriedRice[Protein])/FriedRice[[#Totals],[Measurement]]</f>
        <v>7.3166666666666664</v>
      </c>
      <c r="F41" s="5">
        <f>SUBTOTAL(109,FriedRice[Fiber])/FriedRice[[#Totals],[Measurement]]</f>
        <v>3.5833333333333326</v>
      </c>
      <c r="G41" s="5">
        <f>SUBTOTAL(109,FriedRice[Sugar])/FriedRice[[#Totals],[Measurement]]</f>
        <v>7.0166666666666666</v>
      </c>
      <c r="H41" s="5">
        <f>SUBTOTAL(109,FriedRice[Servings])/FriedRice[[#Totals],[Measurement]]</f>
        <v>5</v>
      </c>
      <c r="I41" s="22" t="s">
        <v>545</v>
      </c>
    </row>
    <row r="43" spans="1:10" x14ac:dyDescent="0.3">
      <c r="A43" s="43" t="s">
        <v>0</v>
      </c>
      <c r="B43" s="44" t="s">
        <v>1</v>
      </c>
      <c r="C43" s="44" t="s">
        <v>2</v>
      </c>
      <c r="D43" s="44" t="s">
        <v>3</v>
      </c>
      <c r="E43" s="44" t="s">
        <v>4</v>
      </c>
      <c r="F43" s="44" t="s">
        <v>5</v>
      </c>
      <c r="G43" s="44" t="s">
        <v>6</v>
      </c>
      <c r="H43" s="44" t="s">
        <v>7</v>
      </c>
    </row>
    <row r="44" spans="1:10" x14ac:dyDescent="0.3">
      <c r="A44" s="45" t="s">
        <v>8</v>
      </c>
      <c r="B44" s="46">
        <f>1.6*$H44</f>
        <v>0</v>
      </c>
      <c r="C44" s="46">
        <f>0.3*$H44</f>
        <v>0</v>
      </c>
      <c r="D44" s="46">
        <f>0*$H44</f>
        <v>0</v>
      </c>
      <c r="E44" s="46">
        <f>0.2*$H44</f>
        <v>0</v>
      </c>
      <c r="F44" s="46">
        <f>0.3*$H44</f>
        <v>0</v>
      </c>
      <c r="G44" s="46">
        <f>0*$H44</f>
        <v>0</v>
      </c>
      <c r="H44" s="47"/>
      <c r="J44" s="2" t="b">
        <f>NOT(ISERROR(MATCH(A44,Spice[Spice],0)))</f>
        <v>1</v>
      </c>
    </row>
    <row r="45" spans="1:10" x14ac:dyDescent="0.3">
      <c r="A45" s="45" t="s">
        <v>9</v>
      </c>
      <c r="B45" s="46">
        <f>5.8*$H45</f>
        <v>5.8</v>
      </c>
      <c r="C45" s="46">
        <f>1.5*$H45</f>
        <v>1.5</v>
      </c>
      <c r="D45" s="46">
        <f>0.1*$H45</f>
        <v>0.1</v>
      </c>
      <c r="E45" s="46">
        <f>0.2*$H45</f>
        <v>0.2</v>
      </c>
      <c r="F45" s="46">
        <f>0.6*$H45</f>
        <v>0.6</v>
      </c>
      <c r="G45" s="46">
        <f>0*$H45</f>
        <v>0</v>
      </c>
      <c r="H45" s="47">
        <v>1</v>
      </c>
      <c r="J45" s="2" t="b">
        <f>NOT(ISERROR(MATCH(A45,Spice[Spice],0)))</f>
        <v>1</v>
      </c>
    </row>
    <row r="46" spans="1:10" x14ac:dyDescent="0.3">
      <c r="A46" s="41" t="s">
        <v>10</v>
      </c>
      <c r="B46" s="32">
        <f>7.6*$H46</f>
        <v>0</v>
      </c>
      <c r="C46" s="32">
        <f>1.3*$H46</f>
        <v>0</v>
      </c>
      <c r="D46" s="32">
        <f>0.4*$H46</f>
        <v>0</v>
      </c>
      <c r="E46" s="32">
        <f>0.4*$H46</f>
        <v>0</v>
      </c>
      <c r="F46" s="32">
        <f>0.9*$H46</f>
        <v>0</v>
      </c>
      <c r="G46" s="32">
        <f>0.2*$H46</f>
        <v>0</v>
      </c>
      <c r="H46" s="42"/>
      <c r="J46" s="2" t="b">
        <f>NOT(ISERROR(MATCH(A46,Spice[Spice],0)))</f>
        <v>1</v>
      </c>
    </row>
    <row r="47" spans="1:10" x14ac:dyDescent="0.3">
      <c r="A47" s="45" t="s">
        <v>11</v>
      </c>
      <c r="B47" s="46">
        <f>48*$H47</f>
        <v>48</v>
      </c>
      <c r="C47" s="46">
        <f>8*$H47</f>
        <v>8</v>
      </c>
      <c r="D47" s="46">
        <f>0*$H47</f>
        <v>0</v>
      </c>
      <c r="E47" s="46">
        <f>0*$H47</f>
        <v>0</v>
      </c>
      <c r="F47" s="46">
        <f>0*$H47</f>
        <v>0</v>
      </c>
      <c r="G47" s="46">
        <f>0*$H47</f>
        <v>0</v>
      </c>
      <c r="H47" s="47">
        <v>1</v>
      </c>
      <c r="J47" s="2" t="b">
        <f>NOT(ISERROR(MATCH(A47,Spice[Spice],0)))</f>
        <v>1</v>
      </c>
    </row>
    <row r="48" spans="1:10" x14ac:dyDescent="0.3">
      <c r="A48" s="41" t="s">
        <v>12</v>
      </c>
      <c r="B48" s="32">
        <f>6.4*$H48</f>
        <v>0</v>
      </c>
      <c r="C48" s="32">
        <f>2.1*$H48</f>
        <v>0</v>
      </c>
      <c r="D48" s="32">
        <f>0*$H47</f>
        <v>0</v>
      </c>
      <c r="E48" s="32">
        <f>0.1*$H48</f>
        <v>0</v>
      </c>
      <c r="F48" s="32">
        <f>1.4*$H48</f>
        <v>0</v>
      </c>
      <c r="G48" s="32">
        <f>0.1*$H48</f>
        <v>0</v>
      </c>
      <c r="H48" s="42"/>
      <c r="J48" s="2" t="b">
        <f>NOT(ISERROR(MATCH(A48,Spice[Spice],0)))</f>
        <v>1</v>
      </c>
    </row>
    <row r="49" spans="1:10" x14ac:dyDescent="0.3">
      <c r="A49" s="45" t="s">
        <v>13</v>
      </c>
      <c r="B49" s="46">
        <f>1.7*$H49</f>
        <v>0</v>
      </c>
      <c r="C49" s="46">
        <f>0.3*$H49</f>
        <v>0</v>
      </c>
      <c r="D49" s="46">
        <f>0*$H49</f>
        <v>0</v>
      </c>
      <c r="E49" s="46">
        <f>0.1*$H49</f>
        <v>0</v>
      </c>
      <c r="F49" s="46">
        <f>0.1*$H49</f>
        <v>0</v>
      </c>
      <c r="G49" s="46">
        <f>0*$H49</f>
        <v>0</v>
      </c>
      <c r="H49" s="47"/>
      <c r="J49" s="2" t="b">
        <f>NOT(ISERROR(MATCH(A49,Spice[Spice],0)))</f>
        <v>1</v>
      </c>
    </row>
    <row r="50" spans="1:10" ht="37.5" x14ac:dyDescent="0.3">
      <c r="A50" s="41" t="s">
        <v>14</v>
      </c>
      <c r="B50" s="32">
        <f>5.7*$H50</f>
        <v>0</v>
      </c>
      <c r="C50" s="32">
        <f>1*$H50</f>
        <v>0</v>
      </c>
      <c r="D50" s="32">
        <f>0*$H50</f>
        <v>0</v>
      </c>
      <c r="E50" s="32">
        <f>0.2*$H50</f>
        <v>0</v>
      </c>
      <c r="F50" s="32">
        <f>0.5*$H50</f>
        <v>0</v>
      </c>
      <c r="G50" s="32">
        <f>0.2*$H50</f>
        <v>0</v>
      </c>
      <c r="H50" s="42"/>
      <c r="J50" s="2" t="b">
        <f>NOT(ISERROR(MATCH(A50,Spice[Spice],0)))</f>
        <v>1</v>
      </c>
    </row>
    <row r="51" spans="1:10" x14ac:dyDescent="0.3">
      <c r="A51" s="45" t="s">
        <v>15</v>
      </c>
      <c r="B51" s="46">
        <f>7.6*$H51</f>
        <v>7.6</v>
      </c>
      <c r="C51" s="46">
        <f>0.9*$H51</f>
        <v>0.9</v>
      </c>
      <c r="D51" s="46">
        <f>0.5*$H51</f>
        <v>0.5</v>
      </c>
      <c r="E51" s="46">
        <f>0.4*$H51</f>
        <v>0.4</v>
      </c>
      <c r="F51" s="46">
        <f>0.2*$H51</f>
        <v>0.2</v>
      </c>
      <c r="G51" s="46">
        <f>0.1*$H51</f>
        <v>0.1</v>
      </c>
      <c r="H51" s="47">
        <v>1</v>
      </c>
      <c r="J51" s="2" t="b">
        <f>NOT(ISERROR(MATCH(A51,Spice[Spice],0)))</f>
        <v>1</v>
      </c>
    </row>
    <row r="52" spans="1:10" x14ac:dyDescent="0.3">
      <c r="A52" s="41" t="s">
        <v>16</v>
      </c>
      <c r="B52" s="32">
        <f>(36/5)*$H52</f>
        <v>0</v>
      </c>
      <c r="C52" s="32">
        <f>(5/5)*$H52</f>
        <v>0</v>
      </c>
      <c r="D52" s="32">
        <f>(1.2/5)*$H52</f>
        <v>0</v>
      </c>
      <c r="E52" s="32">
        <f>(1.3/5)*$H52</f>
        <v>0</v>
      </c>
      <c r="F52" s="32">
        <f>(3/5)*$H52</f>
        <v>0</v>
      </c>
      <c r="G52" s="32">
        <f>(0.2/5)*$H52</f>
        <v>0</v>
      </c>
      <c r="H52" s="42"/>
      <c r="J52" s="2" t="b">
        <f>NOT(ISERROR(MATCH(A52,Spice[Spice],0)))</f>
        <v>1</v>
      </c>
    </row>
    <row r="53" spans="1:10" x14ac:dyDescent="0.3">
      <c r="A53" s="45" t="s">
        <v>17</v>
      </c>
      <c r="B53" s="46">
        <f>5*$H53</f>
        <v>0</v>
      </c>
      <c r="C53" s="46">
        <f>1*$H53</f>
        <v>0</v>
      </c>
      <c r="D53" s="46">
        <f>0*$H53</f>
        <v>0</v>
      </c>
      <c r="E53" s="46">
        <f>0*$H53</f>
        <v>0</v>
      </c>
      <c r="F53" s="46">
        <f>0*$H53</f>
        <v>0</v>
      </c>
      <c r="G53" s="46">
        <f>0*$H53</f>
        <v>0</v>
      </c>
      <c r="H53" s="47"/>
      <c r="J53" s="2" t="b">
        <f>NOT(ISERROR(MATCH(A53,Spice[Spice],0)))</f>
        <v>1</v>
      </c>
    </row>
    <row r="54" spans="1:10" x14ac:dyDescent="0.3">
      <c r="A54" s="41" t="s">
        <v>18</v>
      </c>
      <c r="B54" s="32">
        <f>10*$H54</f>
        <v>10</v>
      </c>
      <c r="C54" s="32">
        <f>2.3*$H54</f>
        <v>2.2999999999999998</v>
      </c>
      <c r="D54" s="32">
        <f>0*$H54</f>
        <v>0</v>
      </c>
      <c r="E54" s="32">
        <f>0.5*$H54</f>
        <v>0.5</v>
      </c>
      <c r="F54" s="32">
        <f>0.3*$H54</f>
        <v>0.3</v>
      </c>
      <c r="G54" s="32">
        <f>0.1*$H54</f>
        <v>0.1</v>
      </c>
      <c r="H54" s="42">
        <v>1</v>
      </c>
      <c r="J54" s="2" t="b">
        <f>NOT(ISERROR(MATCH(A54,Spice[Spice],0)))</f>
        <v>1</v>
      </c>
    </row>
    <row r="55" spans="1:10" x14ac:dyDescent="0.3">
      <c r="A55" s="45" t="s">
        <v>19</v>
      </c>
      <c r="B55" s="46">
        <f>1.2*$H55</f>
        <v>0</v>
      </c>
      <c r="C55" s="46">
        <f>0.3*$H55</f>
        <v>0</v>
      </c>
      <c r="D55" s="46">
        <f>0*$H55</f>
        <v>0</v>
      </c>
      <c r="E55" s="46">
        <f>1*$H55</f>
        <v>0</v>
      </c>
      <c r="F55" s="46">
        <f>0*$H55</f>
        <v>0</v>
      </c>
      <c r="G55" s="46">
        <f>0*$H55</f>
        <v>0</v>
      </c>
      <c r="H55" s="47"/>
      <c r="J55" s="2" t="b">
        <f>NOT(ISERROR(MATCH(A55,Spice[Spice],0)))</f>
        <v>1</v>
      </c>
    </row>
    <row r="56" spans="1:10" x14ac:dyDescent="0.3">
      <c r="A56" s="45" t="s">
        <v>20</v>
      </c>
      <c r="B56" s="46">
        <f>6*$H56</f>
        <v>0</v>
      </c>
      <c r="C56" s="46">
        <f>1.3*$H56</f>
        <v>0</v>
      </c>
      <c r="D56" s="46">
        <f>0.1*$H56</f>
        <v>0</v>
      </c>
      <c r="E56" s="46">
        <f>0.2*$H56</f>
        <v>0</v>
      </c>
      <c r="F56" s="46">
        <f>0.3*$H56</f>
        <v>0</v>
      </c>
      <c r="G56" s="46">
        <f>0.1*$H56</f>
        <v>0</v>
      </c>
      <c r="H56" s="47"/>
      <c r="J56" s="2" t="b">
        <f>NOT(ISERROR(MATCH(A56,Spice[Spice],0)))</f>
        <v>1</v>
      </c>
    </row>
    <row r="57" spans="1:10" x14ac:dyDescent="0.3">
      <c r="A57" s="41" t="s">
        <v>21</v>
      </c>
      <c r="B57" s="32">
        <f>2.2*$H57</f>
        <v>0</v>
      </c>
      <c r="C57" s="32">
        <f>0.5*$H57</f>
        <v>0</v>
      </c>
      <c r="D57" s="32">
        <f>0.1*$H57</f>
        <v>0</v>
      </c>
      <c r="E57" s="32">
        <f>0.1*$H57</f>
        <v>0</v>
      </c>
      <c r="F57" s="32">
        <f>0.3*$H57</f>
        <v>0</v>
      </c>
      <c r="G57" s="32">
        <f>0*$H57</f>
        <v>0</v>
      </c>
      <c r="H57" s="42"/>
      <c r="J57" s="2" t="b">
        <f>NOT(ISERROR(MATCH(A57,Spice[Spice],0)))</f>
        <v>1</v>
      </c>
    </row>
    <row r="58" spans="1:10" x14ac:dyDescent="0.3">
      <c r="A58" s="45" t="s">
        <v>22</v>
      </c>
      <c r="B58" s="46">
        <f>0*$H58</f>
        <v>0</v>
      </c>
      <c r="C58" s="46">
        <f>0*$H58</f>
        <v>0</v>
      </c>
      <c r="D58" s="46">
        <f>0*$H58</f>
        <v>0</v>
      </c>
      <c r="E58" s="46">
        <f>0*$H58</f>
        <v>0</v>
      </c>
      <c r="F58" s="46">
        <f>0*$H58</f>
        <v>0</v>
      </c>
      <c r="G58" s="46">
        <f>0*$H58</f>
        <v>0</v>
      </c>
      <c r="H58" s="47">
        <v>1</v>
      </c>
      <c r="J58" s="2" t="b">
        <f>NOT(ISERROR(MATCH(A58,Spice[Spice],0)))</f>
        <v>1</v>
      </c>
    </row>
    <row r="59" spans="1:10" x14ac:dyDescent="0.3">
      <c r="A59" s="41" t="s">
        <v>23</v>
      </c>
      <c r="B59" s="32">
        <f>8.2*$H59</f>
        <v>0</v>
      </c>
      <c r="C59" s="32">
        <f>1.9*$H59</f>
        <v>0</v>
      </c>
      <c r="D59" s="32">
        <f>0*$H59</f>
        <v>0</v>
      </c>
      <c r="E59" s="32">
        <f>0.3*$H59</f>
        <v>0</v>
      </c>
      <c r="F59" s="32">
        <f>0.4*$H59</f>
        <v>0</v>
      </c>
      <c r="G59" s="32">
        <f>0.2*$H59</f>
        <v>0</v>
      </c>
      <c r="H59" s="42"/>
      <c r="J59" s="2" t="b">
        <f>NOT(ISERROR(MATCH(A59,Spice[Spice],0)))</f>
        <v>1</v>
      </c>
    </row>
    <row r="60" spans="1:10" x14ac:dyDescent="0.3">
      <c r="A60" s="45" t="s">
        <v>24</v>
      </c>
      <c r="B60" s="46">
        <f>2.7*$H60</f>
        <v>0</v>
      </c>
      <c r="C60" s="46">
        <f>0.7*$H60</f>
        <v>0</v>
      </c>
      <c r="D60" s="46">
        <f>0*$H60</f>
        <v>0</v>
      </c>
      <c r="E60" s="46">
        <f>0.1*$H60</f>
        <v>0</v>
      </c>
      <c r="F60" s="46">
        <f>0.4*$H60</f>
        <v>0</v>
      </c>
      <c r="G60" s="46">
        <f>0*$H60</f>
        <v>0</v>
      </c>
      <c r="H60" s="47"/>
      <c r="J60" s="2" t="b">
        <f>NOT(ISERROR(MATCH(A60,Spice[Spice],0)))</f>
        <v>1</v>
      </c>
    </row>
    <row r="61" spans="1:10" x14ac:dyDescent="0.3">
      <c r="A61" s="41" t="s">
        <v>25</v>
      </c>
      <c r="B61" s="32">
        <f>6.5*$H61</f>
        <v>0</v>
      </c>
      <c r="C61" s="32">
        <f>1.2*$H61</f>
        <v>0</v>
      </c>
      <c r="D61" s="32">
        <f>0.3*$H61</f>
        <v>0</v>
      </c>
      <c r="E61" s="32">
        <f>0.3*$H61</f>
        <v>0</v>
      </c>
      <c r="F61" s="32">
        <f>0.8*$H61</f>
        <v>0</v>
      </c>
      <c r="G61" s="32">
        <f>0.2*$H61</f>
        <v>0</v>
      </c>
      <c r="H61" s="42"/>
      <c r="J61" s="2" t="b">
        <f>NOT(ISERROR(MATCH(A61,Spice[Spice],0)))</f>
        <v>1</v>
      </c>
    </row>
    <row r="62" spans="1:10" x14ac:dyDescent="0.3">
      <c r="A62" s="45" t="s">
        <v>26</v>
      </c>
      <c r="B62" s="46">
        <f>1.5*$H62</f>
        <v>0</v>
      </c>
      <c r="C62" s="46">
        <f>0.3*$H62</f>
        <v>0</v>
      </c>
      <c r="D62" s="46">
        <f>0*$H62</f>
        <v>0</v>
      </c>
      <c r="E62" s="46">
        <f>0.1*$H62</f>
        <v>0</v>
      </c>
      <c r="F62" s="46">
        <f>0.1*$H62</f>
        <v>0</v>
      </c>
      <c r="G62" s="46">
        <f>0*$H62</f>
        <v>0</v>
      </c>
      <c r="H62" s="47"/>
      <c r="J62" s="2" t="b">
        <f>NOT(ISERROR(MATCH(A62,Spice[Spice],0)))</f>
        <v>1</v>
      </c>
    </row>
    <row r="63" spans="1:10" x14ac:dyDescent="0.3">
      <c r="A63" s="41" t="s">
        <v>27</v>
      </c>
      <c r="B63" s="32">
        <f>5.7*$H63</f>
        <v>0</v>
      </c>
      <c r="C63" s="32">
        <f>1*$H63</f>
        <v>0</v>
      </c>
      <c r="D63" s="32">
        <f>0.3*$H63</f>
        <v>0</v>
      </c>
      <c r="E63" s="32">
        <f>0.2*$H63</f>
        <v>0</v>
      </c>
      <c r="F63" s="32">
        <f>0.5*$H63</f>
        <v>0</v>
      </c>
      <c r="G63" s="32">
        <f>0.2*$H63</f>
        <v>0</v>
      </c>
      <c r="H63" s="42"/>
      <c r="J63" s="2" t="b">
        <f>NOT(ISERROR(MATCH(A63,Spice[Spice],0)))</f>
        <v>1</v>
      </c>
    </row>
    <row r="64" spans="1:10" x14ac:dyDescent="0.3">
      <c r="A64" s="45" t="s">
        <v>28</v>
      </c>
      <c r="B64" s="46">
        <f t="shared" ref="B64:G64" si="7">0*$H64</f>
        <v>0</v>
      </c>
      <c r="C64" s="46">
        <f t="shared" si="7"/>
        <v>0</v>
      </c>
      <c r="D64" s="46">
        <f t="shared" si="7"/>
        <v>0</v>
      </c>
      <c r="E64" s="46">
        <f t="shared" si="7"/>
        <v>0</v>
      </c>
      <c r="F64" s="46">
        <f t="shared" si="7"/>
        <v>0</v>
      </c>
      <c r="G64" s="46">
        <f t="shared" si="7"/>
        <v>0</v>
      </c>
      <c r="H64" s="47">
        <v>1</v>
      </c>
      <c r="J64" s="2" t="b">
        <f>NOT(ISERROR(MATCH(A64,Spice[Spice],0)))</f>
        <v>1</v>
      </c>
    </row>
    <row r="65" spans="1:10" x14ac:dyDescent="0.3">
      <c r="A65" s="41" t="s">
        <v>29</v>
      </c>
      <c r="B65" s="32">
        <f>2.5*$H65</f>
        <v>0</v>
      </c>
      <c r="C65" s="32">
        <f>0.6*$H65</f>
        <v>0</v>
      </c>
      <c r="D65" s="32">
        <f>0.1*$H65</f>
        <v>0</v>
      </c>
      <c r="E65" s="32">
        <f>0.1*$H65</f>
        <v>0</v>
      </c>
      <c r="F65" s="32">
        <f>0.3*$H65</f>
        <v>0</v>
      </c>
      <c r="G65" s="32">
        <f>0*$H65</f>
        <v>0</v>
      </c>
      <c r="H65" s="42"/>
      <c r="J65" s="2" t="b">
        <f>NOT(ISERROR(MATCH(A65,Spice[Spice],0)))</f>
        <v>1</v>
      </c>
    </row>
    <row r="66" spans="1:10" x14ac:dyDescent="0.3">
      <c r="A66" s="41" t="s">
        <v>30</v>
      </c>
      <c r="B66" s="32">
        <f>4*$H66</f>
        <v>0</v>
      </c>
      <c r="C66" s="32">
        <f>1*$H66</f>
        <v>0</v>
      </c>
      <c r="D66" s="32">
        <f t="shared" ref="D66:F67" si="8">0*$H66</f>
        <v>0</v>
      </c>
      <c r="E66" s="32">
        <f t="shared" si="8"/>
        <v>0</v>
      </c>
      <c r="F66" s="32">
        <f t="shared" si="8"/>
        <v>0</v>
      </c>
      <c r="G66" s="32">
        <f>0*$H66</f>
        <v>0</v>
      </c>
      <c r="H66" s="42"/>
      <c r="J66" s="2" t="b">
        <f>NOT(ISERROR(MATCH(A66,Spice[Spice],0)))</f>
        <v>1</v>
      </c>
    </row>
    <row r="67" spans="1:10" x14ac:dyDescent="0.3">
      <c r="A67" s="41" t="s">
        <v>31</v>
      </c>
      <c r="B67" s="32">
        <f>0*$H67</f>
        <v>0</v>
      </c>
      <c r="C67" s="32">
        <f>0*$H67</f>
        <v>0</v>
      </c>
      <c r="D67" s="32">
        <f t="shared" si="8"/>
        <v>0</v>
      </c>
      <c r="E67" s="32">
        <f t="shared" si="8"/>
        <v>0</v>
      </c>
      <c r="F67" s="32">
        <f t="shared" si="8"/>
        <v>0</v>
      </c>
      <c r="G67" s="32">
        <f>0*$H67</f>
        <v>0</v>
      </c>
      <c r="H67" s="42"/>
      <c r="J67" s="2" t="b">
        <f>NOT(ISERROR(MATCH(A67,Spice[Spice],0)))</f>
        <v>1</v>
      </c>
    </row>
    <row r="68" spans="1:10" x14ac:dyDescent="0.3">
      <c r="A68" s="41" t="s">
        <v>32</v>
      </c>
      <c r="B68" s="32">
        <f>8*$H68</f>
        <v>0</v>
      </c>
      <c r="C68" s="32">
        <f>1.43*$H68</f>
        <v>0</v>
      </c>
      <c r="D68" s="32">
        <f>0.22*$H68</f>
        <v>0</v>
      </c>
      <c r="E68" s="32">
        <f>0.17*$H68</f>
        <v>0</v>
      </c>
      <c r="F68" s="32">
        <f>0.5*$H68</f>
        <v>0</v>
      </c>
      <c r="G68" s="32">
        <f>0*$H68</f>
        <v>0</v>
      </c>
      <c r="H68" s="42"/>
      <c r="J68" s="2" t="b">
        <f>NOT(ISERROR(MATCH(A68,Spice[Spice],0)))</f>
        <v>1</v>
      </c>
    </row>
    <row r="69" spans="1:10" x14ac:dyDescent="0.3">
      <c r="A69" s="41" t="s">
        <v>33</v>
      </c>
      <c r="B69" s="32">
        <f>7.1*$H69</f>
        <v>7.1</v>
      </c>
      <c r="C69" s="32">
        <f>1.6*$H69</f>
        <v>1.6</v>
      </c>
      <c r="D69" s="32">
        <f>0.1*$H69</f>
        <v>0.1</v>
      </c>
      <c r="E69" s="32">
        <f>0.3*$H69</f>
        <v>0.3</v>
      </c>
      <c r="F69" s="32">
        <f>0.6*$H69</f>
        <v>0.6</v>
      </c>
      <c r="G69" s="32">
        <f>0*$H69</f>
        <v>0</v>
      </c>
      <c r="H69" s="42">
        <v>1</v>
      </c>
      <c r="J69" s="2" t="b">
        <f>NOT(ISERROR(MATCH(A69,Spice[Spice],0)))</f>
        <v>1</v>
      </c>
    </row>
    <row r="70" spans="1:10" x14ac:dyDescent="0.3">
      <c r="A70" s="41" t="s">
        <v>34</v>
      </c>
      <c r="B70" s="32">
        <f>SUBTOTAL(109,Table27[Calories])</f>
        <v>78.5</v>
      </c>
      <c r="C70" s="32">
        <f>SUBTOTAL(109,Table27[Carbs])</f>
        <v>14.299999999999999</v>
      </c>
      <c r="D70" s="32">
        <f>SUBTOTAL(109,Table27[Fat])</f>
        <v>0.7</v>
      </c>
      <c r="E70" s="32">
        <f>SUBTOTAL(109,Table27[Protein])</f>
        <v>1.4000000000000001</v>
      </c>
      <c r="F70" s="32">
        <f>SUBTOTAL(109,Table27[Fiber])</f>
        <v>1.7000000000000002</v>
      </c>
      <c r="G70" s="32">
        <f>SUBTOTAL(109,Table27[Sugar])</f>
        <v>0.2</v>
      </c>
      <c r="H70" s="42">
        <f>SUBTOTAL(109,Table27[Serving by TSP])</f>
        <v>7</v>
      </c>
    </row>
  </sheetData>
  <pageMargins left="0.7" right="0.7" top="0.75" bottom="0.75" header="0.3" footer="0.3"/>
  <pageSetup orientation="portrait" r:id="rId1"/>
  <ignoredErrors>
    <ignoredError sqref="C6:E9 C13:G15 D35:G36 D28:G30 D17:G19 D16 F16:G16 C10:G11 D26:G26" formula="1"/>
  </ignoredErrors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10864-6058-4252-B01E-DC7F3F203D88}">
  <sheetPr codeName="Sheet27"/>
  <dimension ref="A1:J88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s="68" customFormat="1" x14ac:dyDescent="0.3">
      <c r="A2" s="1" t="s">
        <v>229</v>
      </c>
      <c r="B2" s="5">
        <f>110*$H2</f>
        <v>880</v>
      </c>
      <c r="C2" s="5">
        <f>0*$H2</f>
        <v>0</v>
      </c>
      <c r="D2" s="5">
        <f>3*$H2</f>
        <v>24</v>
      </c>
      <c r="E2" s="5">
        <f>22*$H2</f>
        <v>176</v>
      </c>
      <c r="F2" s="5">
        <f t="shared" ref="F2:G4" si="0">0*$H2</f>
        <v>0</v>
      </c>
      <c r="G2" s="5">
        <f t="shared" si="0"/>
        <v>0</v>
      </c>
      <c r="H2" s="5">
        <v>8</v>
      </c>
      <c r="I2" s="22" t="s">
        <v>204</v>
      </c>
      <c r="J2" s="68" t="b">
        <f>NOT(ISERROR(MATCH(A2,Index[Item],0)))</f>
        <v>1</v>
      </c>
    </row>
    <row r="3" spans="1:10" s="68" customFormat="1" x14ac:dyDescent="0.3">
      <c r="A3" s="1" t="s">
        <v>231</v>
      </c>
      <c r="B3" s="5">
        <f>200*$H3</f>
        <v>0</v>
      </c>
      <c r="C3" s="5">
        <f>0*$H3</f>
        <v>0</v>
      </c>
      <c r="D3" s="5">
        <f>14*$H3</f>
        <v>0</v>
      </c>
      <c r="E3" s="5">
        <f>16*$H3</f>
        <v>0</v>
      </c>
      <c r="F3" s="5">
        <f t="shared" si="0"/>
        <v>0</v>
      </c>
      <c r="G3" s="5">
        <f t="shared" si="0"/>
        <v>0</v>
      </c>
      <c r="H3" s="5"/>
      <c r="I3" s="22" t="s">
        <v>204</v>
      </c>
      <c r="J3" s="68" t="b">
        <f>NOT(ISERROR(MATCH(A3,Index[Item],0)))</f>
        <v>1</v>
      </c>
    </row>
    <row r="4" spans="1:10" s="68" customFormat="1" x14ac:dyDescent="0.3">
      <c r="A4" s="1" t="s">
        <v>228</v>
      </c>
      <c r="B4" s="5">
        <f>170*$H4</f>
        <v>0</v>
      </c>
      <c r="C4" s="5">
        <f>0*$H4</f>
        <v>0</v>
      </c>
      <c r="D4" s="5">
        <f>10*$H4</f>
        <v>0</v>
      </c>
      <c r="E4" s="5">
        <f>20*$H4</f>
        <v>0</v>
      </c>
      <c r="F4" s="5">
        <f t="shared" si="0"/>
        <v>0</v>
      </c>
      <c r="G4" s="5">
        <f t="shared" si="0"/>
        <v>0</v>
      </c>
      <c r="H4" s="5"/>
      <c r="I4" s="22" t="s">
        <v>204</v>
      </c>
      <c r="J4" s="68" t="b">
        <f>NOT(ISERROR(MATCH(A4,Index[Item],0)))</f>
        <v>1</v>
      </c>
    </row>
    <row r="5" spans="1:10" s="68" customFormat="1" x14ac:dyDescent="0.3">
      <c r="A5" s="1" t="s">
        <v>235</v>
      </c>
      <c r="B5" s="5">
        <f>160*$H5</f>
        <v>0</v>
      </c>
      <c r="C5" s="5">
        <f>36*$H5</f>
        <v>0</v>
      </c>
      <c r="D5" s="5">
        <f>0*$H5</f>
        <v>0</v>
      </c>
      <c r="E5" s="5">
        <f t="shared" ref="E5:E10" si="1">3*$H5</f>
        <v>0</v>
      </c>
      <c r="F5" s="5">
        <f>1*$H5</f>
        <v>0</v>
      </c>
      <c r="G5" s="5">
        <f>1*$H5</f>
        <v>0</v>
      </c>
      <c r="H5" s="5"/>
      <c r="I5" s="22" t="s">
        <v>236</v>
      </c>
      <c r="J5" s="68" t="b">
        <f>NOT(ISERROR(MATCH(A5,Index[Item],0)))</f>
        <v>1</v>
      </c>
    </row>
    <row r="6" spans="1:10" s="68" customFormat="1" x14ac:dyDescent="0.3">
      <c r="A6" s="1" t="s">
        <v>237</v>
      </c>
      <c r="B6" s="5">
        <f>160*$H6</f>
        <v>0</v>
      </c>
      <c r="C6" s="5">
        <f>35*$H6</f>
        <v>0</v>
      </c>
      <c r="D6" s="5">
        <f>0*$H6</f>
        <v>0</v>
      </c>
      <c r="E6" s="5">
        <f t="shared" si="1"/>
        <v>0</v>
      </c>
      <c r="F6" s="5">
        <f>0*$H6</f>
        <v>0</v>
      </c>
      <c r="G6" s="5">
        <f>0*$H6</f>
        <v>0</v>
      </c>
      <c r="H6" s="5"/>
      <c r="I6" s="22" t="s">
        <v>236</v>
      </c>
      <c r="J6" s="68" t="b">
        <f>NOT(ISERROR(MATCH(A6,Index[Item],0)))</f>
        <v>1</v>
      </c>
    </row>
    <row r="7" spans="1:10" s="68" customFormat="1" x14ac:dyDescent="0.3">
      <c r="A7" s="1" t="s">
        <v>238</v>
      </c>
      <c r="B7" s="5">
        <f>160*$H7</f>
        <v>0</v>
      </c>
      <c r="C7" s="5">
        <f>36*$H7</f>
        <v>0</v>
      </c>
      <c r="D7" s="5">
        <f>0*$H7</f>
        <v>0</v>
      </c>
      <c r="E7" s="5">
        <f t="shared" si="1"/>
        <v>0</v>
      </c>
      <c r="F7" s="5">
        <f>0*$H7</f>
        <v>0</v>
      </c>
      <c r="G7" s="5">
        <f>0*$H7</f>
        <v>0</v>
      </c>
      <c r="H7" s="5"/>
      <c r="I7" s="22" t="s">
        <v>236</v>
      </c>
      <c r="J7" s="68" t="b">
        <f>NOT(ISERROR(MATCH(A7,Index[Item],0)))</f>
        <v>1</v>
      </c>
    </row>
    <row r="8" spans="1:10" s="68" customFormat="1" x14ac:dyDescent="0.3">
      <c r="A8" s="1" t="s">
        <v>239</v>
      </c>
      <c r="B8" s="5">
        <f>160*$H8</f>
        <v>0</v>
      </c>
      <c r="C8" s="5">
        <f>34*$H8</f>
        <v>0</v>
      </c>
      <c r="D8" s="5">
        <f>1*$H8</f>
        <v>0</v>
      </c>
      <c r="E8" s="5">
        <f t="shared" si="1"/>
        <v>0</v>
      </c>
      <c r="F8" s="5">
        <f>1*$H8</f>
        <v>0</v>
      </c>
      <c r="G8" s="5">
        <f>0*$H8</f>
        <v>0</v>
      </c>
      <c r="H8" s="5"/>
      <c r="I8" s="22" t="s">
        <v>236</v>
      </c>
      <c r="J8" s="68" t="b">
        <f>NOT(ISERROR(MATCH(A8,Index[Item],0)))</f>
        <v>1</v>
      </c>
    </row>
    <row r="9" spans="1:10" s="68" customFormat="1" ht="37.5" x14ac:dyDescent="0.3">
      <c r="A9" s="1" t="s">
        <v>240</v>
      </c>
      <c r="B9" s="5">
        <f>160*$H9</f>
        <v>0</v>
      </c>
      <c r="C9" s="5">
        <f>36*$H9</f>
        <v>0</v>
      </c>
      <c r="D9" s="5">
        <f>0*$H9</f>
        <v>0</v>
      </c>
      <c r="E9" s="5">
        <f t="shared" si="1"/>
        <v>0</v>
      </c>
      <c r="F9" s="5">
        <f>1*$H9</f>
        <v>0</v>
      </c>
      <c r="G9" s="5">
        <f>0*$H9</f>
        <v>0</v>
      </c>
      <c r="H9" s="5"/>
      <c r="I9" s="22" t="s">
        <v>236</v>
      </c>
      <c r="J9" s="68" t="b">
        <f>NOT(ISERROR(MATCH(A9,Index[Item],0)))</f>
        <v>1</v>
      </c>
    </row>
    <row r="10" spans="1:10" s="68" customFormat="1" ht="37.5" x14ac:dyDescent="0.3">
      <c r="A10" s="1" t="s">
        <v>247</v>
      </c>
      <c r="B10" s="5">
        <f>130*$H10</f>
        <v>0</v>
      </c>
      <c r="C10" s="5">
        <f>18*$H10</f>
        <v>0</v>
      </c>
      <c r="D10" s="5">
        <f>5*$H10</f>
        <v>0</v>
      </c>
      <c r="E10" s="5">
        <f t="shared" si="1"/>
        <v>0</v>
      </c>
      <c r="F10" s="5">
        <f>1*$H10</f>
        <v>0</v>
      </c>
      <c r="G10" s="5">
        <f>0*$H10</f>
        <v>0</v>
      </c>
      <c r="H10" s="5"/>
      <c r="I10" s="22" t="s">
        <v>248</v>
      </c>
      <c r="J10" s="68" t="b">
        <f>NOT(ISERROR(MATCH(A10,Index[Item],0)))</f>
        <v>1</v>
      </c>
    </row>
    <row r="11" spans="1:10" s="68" customFormat="1" x14ac:dyDescent="0.3">
      <c r="A11" s="1" t="s">
        <v>232</v>
      </c>
      <c r="B11" s="5">
        <f>72*$H11</f>
        <v>144</v>
      </c>
      <c r="C11" s="5">
        <f>0.4*$H11</f>
        <v>0.8</v>
      </c>
      <c r="D11" s="5">
        <f>4.8*$H11</f>
        <v>9.6</v>
      </c>
      <c r="E11" s="5">
        <f>6.3*$H11</f>
        <v>12.6</v>
      </c>
      <c r="F11" s="5">
        <f t="shared" ref="F11:F16" si="2">0*$H11</f>
        <v>0</v>
      </c>
      <c r="G11" s="5">
        <f>0.2*$H11</f>
        <v>0.4</v>
      </c>
      <c r="H11" s="5">
        <v>2</v>
      </c>
      <c r="I11" s="22"/>
      <c r="J11" s="68" t="b">
        <f>NOT(ISERROR(MATCH(A11,Index[Item],0)))</f>
        <v>1</v>
      </c>
    </row>
    <row r="12" spans="1:10" s="68" customFormat="1" ht="37.5" x14ac:dyDescent="0.3">
      <c r="A12" s="1" t="s">
        <v>316</v>
      </c>
      <c r="B12" s="5">
        <f>20*$H12</f>
        <v>0</v>
      </c>
      <c r="C12" s="5">
        <f>5*$H12</f>
        <v>0</v>
      </c>
      <c r="D12" s="5">
        <f>0*$H12</f>
        <v>0</v>
      </c>
      <c r="E12" s="5">
        <f>0*$H12</f>
        <v>0</v>
      </c>
      <c r="F12" s="5">
        <f t="shared" si="2"/>
        <v>0</v>
      </c>
      <c r="G12" s="5">
        <f>4*$H12</f>
        <v>0</v>
      </c>
      <c r="H12" s="5"/>
      <c r="I12" s="22" t="s">
        <v>302</v>
      </c>
      <c r="J12" s="68" t="b">
        <f>NOT(ISERROR(MATCH(A12,Index[Item],0)))</f>
        <v>1</v>
      </c>
    </row>
    <row r="13" spans="1:10" s="68" customFormat="1" ht="37.5" x14ac:dyDescent="0.3">
      <c r="A13" s="1" t="s">
        <v>310</v>
      </c>
      <c r="B13" s="5">
        <f>25*$H13</f>
        <v>0</v>
      </c>
      <c r="C13" s="5">
        <f>5*$H13</f>
        <v>0</v>
      </c>
      <c r="D13" s="5">
        <f>0*$H13</f>
        <v>0</v>
      </c>
      <c r="E13" s="5">
        <f>0.5*$H13</f>
        <v>0</v>
      </c>
      <c r="F13" s="5">
        <f t="shared" si="2"/>
        <v>0</v>
      </c>
      <c r="G13" s="5">
        <f>3*$H13</f>
        <v>0</v>
      </c>
      <c r="H13" s="5"/>
      <c r="I13" s="22" t="s">
        <v>307</v>
      </c>
      <c r="J13" s="68" t="b">
        <f>NOT(ISERROR(MATCH(A13,Index[Item],0)))</f>
        <v>1</v>
      </c>
    </row>
    <row r="14" spans="1:10" s="68" customFormat="1" x14ac:dyDescent="0.3">
      <c r="A14" s="1" t="s">
        <v>318</v>
      </c>
      <c r="B14" s="5">
        <f>10*$H14</f>
        <v>40</v>
      </c>
      <c r="C14" s="5">
        <f>1*$H14</f>
        <v>4</v>
      </c>
      <c r="D14" s="5">
        <f>0*$H14</f>
        <v>0</v>
      </c>
      <c r="E14" s="5">
        <f>1*$H14</f>
        <v>4</v>
      </c>
      <c r="F14" s="5">
        <f t="shared" si="2"/>
        <v>0</v>
      </c>
      <c r="G14" s="5">
        <f>0*$H14</f>
        <v>0</v>
      </c>
      <c r="H14" s="5">
        <v>4</v>
      </c>
      <c r="I14" s="22" t="s">
        <v>307</v>
      </c>
      <c r="J14" s="68" t="b">
        <f>NOT(ISERROR(MATCH(A14,Index[Item],0)))</f>
        <v>1</v>
      </c>
    </row>
    <row r="15" spans="1:10" s="68" customFormat="1" ht="37.5" x14ac:dyDescent="0.3">
      <c r="A15" s="1" t="s">
        <v>319</v>
      </c>
      <c r="B15" s="5">
        <f>30*$H15</f>
        <v>30</v>
      </c>
      <c r="C15" s="5">
        <f>7*$H15</f>
        <v>7</v>
      </c>
      <c r="D15" s="5">
        <f>0*$H15</f>
        <v>0</v>
      </c>
      <c r="E15" s="5">
        <f>0.5*$H15</f>
        <v>0.5</v>
      </c>
      <c r="F15" s="5">
        <f t="shared" si="2"/>
        <v>0</v>
      </c>
      <c r="G15" s="5">
        <f>6*$H15</f>
        <v>6</v>
      </c>
      <c r="H15" s="5">
        <v>1</v>
      </c>
      <c r="I15" s="22" t="s">
        <v>307</v>
      </c>
      <c r="J15" s="68" t="b">
        <f>NOT(ISERROR(MATCH(A15,Index[Item],0)))</f>
        <v>1</v>
      </c>
    </row>
    <row r="16" spans="1:10" s="68" customFormat="1" x14ac:dyDescent="0.3">
      <c r="A16" s="1" t="s">
        <v>308</v>
      </c>
      <c r="B16" s="5">
        <f>60*$H16</f>
        <v>120</v>
      </c>
      <c r="C16" s="5">
        <f>17*$H16</f>
        <v>34</v>
      </c>
      <c r="D16" s="5">
        <f>0*$H16</f>
        <v>0</v>
      </c>
      <c r="E16" s="5">
        <f>0*$H16</f>
        <v>0</v>
      </c>
      <c r="F16" s="5">
        <f t="shared" si="2"/>
        <v>0</v>
      </c>
      <c r="G16" s="5">
        <f>17*$H16</f>
        <v>34</v>
      </c>
      <c r="H16" s="5">
        <v>2</v>
      </c>
      <c r="I16" s="22" t="s">
        <v>309</v>
      </c>
      <c r="J16" s="68" t="b">
        <f>NOT(ISERROR(MATCH(A16,Index[Item],0)))</f>
        <v>1</v>
      </c>
    </row>
    <row r="17" spans="1:10" s="68" customFormat="1" x14ac:dyDescent="0.3">
      <c r="A17" s="1" t="s">
        <v>306</v>
      </c>
      <c r="B17" s="5">
        <f>60*$H17</f>
        <v>0</v>
      </c>
      <c r="C17" s="5">
        <f>16*$H17</f>
        <v>0</v>
      </c>
      <c r="D17" s="5">
        <f t="shared" ref="D17:G25" si="3">0*$H17</f>
        <v>0</v>
      </c>
      <c r="E17" s="5">
        <f>0*$H17</f>
        <v>0</v>
      </c>
      <c r="F17" s="5">
        <f>1*$H17</f>
        <v>0</v>
      </c>
      <c r="G17" s="5">
        <f>15*$H17</f>
        <v>0</v>
      </c>
      <c r="H17" s="5"/>
      <c r="I17" s="22" t="s">
        <v>307</v>
      </c>
      <c r="J17" s="68" t="b">
        <f>NOT(ISERROR(MATCH(A17,Index[Item],0)))</f>
        <v>1</v>
      </c>
    </row>
    <row r="18" spans="1:10" s="68" customFormat="1" x14ac:dyDescent="0.3">
      <c r="A18" s="1" t="s">
        <v>303</v>
      </c>
      <c r="B18" s="5">
        <f>30*$H18</f>
        <v>0</v>
      </c>
      <c r="C18" s="5">
        <f>8*$H18</f>
        <v>0</v>
      </c>
      <c r="D18" s="5">
        <f t="shared" si="3"/>
        <v>0</v>
      </c>
      <c r="E18" s="5">
        <f t="shared" si="3"/>
        <v>0</v>
      </c>
      <c r="F18" s="5">
        <f t="shared" si="3"/>
        <v>0</v>
      </c>
      <c r="G18" s="5">
        <f>8*$H18</f>
        <v>0</v>
      </c>
      <c r="H18" s="5"/>
      <c r="I18" s="22" t="s">
        <v>304</v>
      </c>
      <c r="J18" s="68" t="b">
        <f>NOT(ISERROR(MATCH(A18,Index[Item],0)))</f>
        <v>1</v>
      </c>
    </row>
    <row r="19" spans="1:10" s="68" customFormat="1" x14ac:dyDescent="0.3">
      <c r="A19" s="1" t="s">
        <v>305</v>
      </c>
      <c r="B19" s="5">
        <f>30*$H19</f>
        <v>90</v>
      </c>
      <c r="C19" s="5">
        <f>8*$H19</f>
        <v>24</v>
      </c>
      <c r="D19" s="5">
        <f t="shared" si="3"/>
        <v>0</v>
      </c>
      <c r="E19" s="5">
        <f t="shared" si="3"/>
        <v>0</v>
      </c>
      <c r="F19" s="5">
        <f t="shared" si="3"/>
        <v>0</v>
      </c>
      <c r="G19" s="5">
        <f>8*$H19</f>
        <v>24</v>
      </c>
      <c r="H19" s="5">
        <v>3</v>
      </c>
      <c r="I19" s="22" t="s">
        <v>304</v>
      </c>
      <c r="J19" s="68" t="b">
        <f>NOT(ISERROR(MATCH(A19,Index[Item],0)))</f>
        <v>1</v>
      </c>
    </row>
    <row r="20" spans="1:10" s="68" customFormat="1" ht="37.5" x14ac:dyDescent="0.3">
      <c r="A20" s="1" t="s">
        <v>311</v>
      </c>
      <c r="B20" s="5">
        <f>32*$H20</f>
        <v>0</v>
      </c>
      <c r="C20" s="5">
        <f t="shared" ref="C20:C24" si="4">0*$H20</f>
        <v>0</v>
      </c>
      <c r="D20" s="5">
        <f t="shared" si="3"/>
        <v>0</v>
      </c>
      <c r="E20" s="5">
        <f>0*$H20</f>
        <v>0</v>
      </c>
      <c r="F20" s="5">
        <f t="shared" si="3"/>
        <v>0</v>
      </c>
      <c r="G20" s="5">
        <f>0*$H20</f>
        <v>0</v>
      </c>
      <c r="H20" s="5"/>
      <c r="I20" s="22" t="s">
        <v>312</v>
      </c>
      <c r="J20" s="68" t="b">
        <f>NOT(ISERROR(MATCH(A20,Index[Item],0)))</f>
        <v>1</v>
      </c>
    </row>
    <row r="21" spans="1:10" s="68" customFormat="1" ht="37.5" x14ac:dyDescent="0.3">
      <c r="A21" s="1" t="s">
        <v>317</v>
      </c>
      <c r="B21" s="5">
        <f>120*$H21</f>
        <v>0</v>
      </c>
      <c r="C21" s="5">
        <f t="shared" si="4"/>
        <v>0</v>
      </c>
      <c r="D21" s="5">
        <f>14*$H21</f>
        <v>0</v>
      </c>
      <c r="E21" s="5">
        <f>0*$H21</f>
        <v>0</v>
      </c>
      <c r="F21" s="5">
        <f t="shared" si="3"/>
        <v>0</v>
      </c>
      <c r="G21" s="5">
        <f>0*$H21</f>
        <v>0</v>
      </c>
      <c r="H21" s="5"/>
      <c r="I21" s="22" t="s">
        <v>307</v>
      </c>
      <c r="J21" s="68" t="b">
        <f>NOT(ISERROR(MATCH(A21,Index[Item],0)))</f>
        <v>1</v>
      </c>
    </row>
    <row r="22" spans="1:10" s="68" customFormat="1" x14ac:dyDescent="0.3">
      <c r="A22" s="1" t="s">
        <v>338</v>
      </c>
      <c r="B22" s="5">
        <f>120*$H22</f>
        <v>120</v>
      </c>
      <c r="C22" s="5">
        <f t="shared" si="4"/>
        <v>0</v>
      </c>
      <c r="D22" s="5">
        <f>14*$H22</f>
        <v>14</v>
      </c>
      <c r="E22" s="5">
        <f>0*$H22</f>
        <v>0</v>
      </c>
      <c r="F22" s="5">
        <f t="shared" si="3"/>
        <v>0</v>
      </c>
      <c r="G22" s="5">
        <f>0*$H22</f>
        <v>0</v>
      </c>
      <c r="H22" s="5">
        <v>1</v>
      </c>
      <c r="I22" s="22" t="s">
        <v>307</v>
      </c>
      <c r="J22" s="68" t="b">
        <f>NOT(ISERROR(MATCH(A22,Index[Item],0)))</f>
        <v>1</v>
      </c>
    </row>
    <row r="23" spans="1:10" s="68" customFormat="1" x14ac:dyDescent="0.3">
      <c r="A23" s="1" t="s">
        <v>337</v>
      </c>
      <c r="B23" s="5">
        <f>120*$H23</f>
        <v>720</v>
      </c>
      <c r="C23" s="5">
        <f t="shared" si="4"/>
        <v>0</v>
      </c>
      <c r="D23" s="5">
        <f>14*$H23</f>
        <v>84</v>
      </c>
      <c r="E23" s="5">
        <f>0*$H23</f>
        <v>0</v>
      </c>
      <c r="F23" s="5">
        <f t="shared" si="3"/>
        <v>0</v>
      </c>
      <c r="G23" s="5">
        <f>0*$H23</f>
        <v>0</v>
      </c>
      <c r="H23" s="5">
        <v>6</v>
      </c>
      <c r="I23" s="22" t="s">
        <v>307</v>
      </c>
      <c r="J23" s="68" t="b">
        <f>NOT(ISERROR(MATCH(A23,Index[Item],0)))</f>
        <v>1</v>
      </c>
    </row>
    <row r="24" spans="1:10" s="68" customFormat="1" ht="37.5" x14ac:dyDescent="0.3">
      <c r="A24" s="1" t="s">
        <v>342</v>
      </c>
      <c r="B24" s="5">
        <f>120*$H24</f>
        <v>0</v>
      </c>
      <c r="C24" s="5">
        <f t="shared" si="4"/>
        <v>0</v>
      </c>
      <c r="D24" s="5">
        <f>14*$H24</f>
        <v>0</v>
      </c>
      <c r="E24" s="5">
        <f t="shared" ref="E24:G24" si="5">0*$H24</f>
        <v>0</v>
      </c>
      <c r="F24" s="5">
        <f t="shared" si="5"/>
        <v>0</v>
      </c>
      <c r="G24" s="5">
        <f t="shared" si="5"/>
        <v>0</v>
      </c>
      <c r="H24" s="5"/>
      <c r="I24" s="22" t="s">
        <v>307</v>
      </c>
      <c r="J24" s="68" t="b">
        <f>NOT(ISERROR(MATCH(A24,Index[Item],0)))</f>
        <v>1</v>
      </c>
    </row>
    <row r="25" spans="1:10" s="68" customFormat="1" x14ac:dyDescent="0.3">
      <c r="A25" s="1" t="s">
        <v>313</v>
      </c>
      <c r="B25" s="5">
        <f>0*$H25</f>
        <v>0</v>
      </c>
      <c r="C25" s="5">
        <f t="shared" ref="C25:F26" si="6">0*$H25</f>
        <v>0</v>
      </c>
      <c r="D25" s="5">
        <f t="shared" si="6"/>
        <v>0</v>
      </c>
      <c r="E25" s="5">
        <f t="shared" si="6"/>
        <v>0</v>
      </c>
      <c r="F25" s="5">
        <f t="shared" si="3"/>
        <v>0</v>
      </c>
      <c r="G25" s="5">
        <f t="shared" si="3"/>
        <v>0</v>
      </c>
      <c r="H25" s="5">
        <v>1</v>
      </c>
      <c r="I25" s="22" t="s">
        <v>307</v>
      </c>
      <c r="J25" s="68" t="b">
        <f>NOT(ISERROR(MATCH(A25,Index[Item],0)))</f>
        <v>1</v>
      </c>
    </row>
    <row r="26" spans="1:10" s="68" customFormat="1" ht="37.5" x14ac:dyDescent="0.3">
      <c r="A26" s="1" t="s">
        <v>341</v>
      </c>
      <c r="B26" s="5">
        <f>10*$H26</f>
        <v>0</v>
      </c>
      <c r="C26" s="5">
        <f>2*$H26</f>
        <v>0</v>
      </c>
      <c r="D26" s="5">
        <f>0*$H26</f>
        <v>0</v>
      </c>
      <c r="E26" s="5">
        <f t="shared" si="6"/>
        <v>0</v>
      </c>
      <c r="F26" s="5">
        <f t="shared" si="6"/>
        <v>0</v>
      </c>
      <c r="G26" s="5">
        <f>2*$H26</f>
        <v>0</v>
      </c>
      <c r="H26" s="5"/>
      <c r="I26" s="22" t="s">
        <v>307</v>
      </c>
      <c r="J26" s="68" t="b">
        <f>NOT(ISERROR(MATCH(A26,Index[Item],0)))</f>
        <v>1</v>
      </c>
    </row>
    <row r="27" spans="1:10" s="68" customFormat="1" ht="37.5" x14ac:dyDescent="0.3">
      <c r="A27" s="1" t="s">
        <v>314</v>
      </c>
      <c r="B27" s="5">
        <f>90*$H27</f>
        <v>0</v>
      </c>
      <c r="C27" s="5">
        <f>20*$H27</f>
        <v>0</v>
      </c>
      <c r="D27" s="5">
        <f>1*$H27</f>
        <v>0</v>
      </c>
      <c r="E27" s="5">
        <f>0*$H27</f>
        <v>0</v>
      </c>
      <c r="F27" s="5">
        <f>0*$H27</f>
        <v>0</v>
      </c>
      <c r="G27" s="5">
        <f>18*$H27</f>
        <v>0</v>
      </c>
      <c r="H27" s="5"/>
      <c r="I27" s="22" t="s">
        <v>315</v>
      </c>
      <c r="J27" s="68" t="b">
        <f>NOT(ISERROR(MATCH(A27,Index[Item],0)))</f>
        <v>1</v>
      </c>
    </row>
    <row r="28" spans="1:10" s="68" customFormat="1" ht="37.5" x14ac:dyDescent="0.3">
      <c r="A28" s="1" t="s">
        <v>322</v>
      </c>
      <c r="B28" s="5">
        <f>70*$H28</f>
        <v>70</v>
      </c>
      <c r="C28" s="5">
        <f>18*$H28</f>
        <v>18</v>
      </c>
      <c r="D28" s="5">
        <f>0*$H28</f>
        <v>0</v>
      </c>
      <c r="E28" s="5">
        <f>0*$H28</f>
        <v>0</v>
      </c>
      <c r="F28" s="5">
        <f>0*$H28</f>
        <v>0</v>
      </c>
      <c r="G28" s="5">
        <f>17*$H28</f>
        <v>17</v>
      </c>
      <c r="H28" s="5">
        <v>1</v>
      </c>
      <c r="I28" s="22" t="s">
        <v>315</v>
      </c>
      <c r="J28" s="68" t="b">
        <f>NOT(ISERROR(MATCH(A28,Index[Item],0)))</f>
        <v>1</v>
      </c>
    </row>
    <row r="29" spans="1:10" s="68" customFormat="1" ht="37.5" x14ac:dyDescent="0.3">
      <c r="A29" s="1" t="s">
        <v>320</v>
      </c>
      <c r="B29" s="5">
        <f>40*$H29</f>
        <v>0</v>
      </c>
      <c r="C29" s="5">
        <f>8*$H29</f>
        <v>0</v>
      </c>
      <c r="D29" s="5">
        <f>0*$H29</f>
        <v>0</v>
      </c>
      <c r="E29" s="5">
        <f>1*$H29</f>
        <v>0</v>
      </c>
      <c r="F29" s="5">
        <f>1*$H29</f>
        <v>0</v>
      </c>
      <c r="G29" s="5">
        <f>5*$H29</f>
        <v>0</v>
      </c>
      <c r="H29" s="5"/>
      <c r="I29" s="22" t="s">
        <v>321</v>
      </c>
      <c r="J29" s="68" t="b">
        <f>NOT(ISERROR(MATCH(A29,Index[Item],0)))</f>
        <v>1</v>
      </c>
    </row>
    <row r="30" spans="1:10" s="68" customFormat="1" x14ac:dyDescent="0.3">
      <c r="A30" s="1" t="s">
        <v>72</v>
      </c>
      <c r="B30" s="5">
        <f>0*$H30</f>
        <v>0</v>
      </c>
      <c r="C30" s="5">
        <f>0.5*$H30</f>
        <v>0</v>
      </c>
      <c r="D30" s="5">
        <f>0*$H30</f>
        <v>0</v>
      </c>
      <c r="E30" s="5">
        <f t="shared" ref="E30:F30" si="7">0*$H30</f>
        <v>0</v>
      </c>
      <c r="F30" s="5">
        <f t="shared" si="7"/>
        <v>0</v>
      </c>
      <c r="G30" s="5">
        <f>0.5*$H30</f>
        <v>0</v>
      </c>
      <c r="H30" s="5"/>
      <c r="I30" s="22" t="s">
        <v>73</v>
      </c>
      <c r="J30" s="68" t="b">
        <f>NOT(ISERROR(MATCH(A30,Index[Item],0)))</f>
        <v>1</v>
      </c>
    </row>
    <row r="31" spans="1:10" s="68" customFormat="1" x14ac:dyDescent="0.3">
      <c r="A31" s="1" t="s">
        <v>165</v>
      </c>
      <c r="B31" s="5">
        <f>110*$H31</f>
        <v>440</v>
      </c>
      <c r="C31" s="5">
        <f>23*$H31</f>
        <v>92</v>
      </c>
      <c r="D31" s="5">
        <f>0*$H31</f>
        <v>0</v>
      </c>
      <c r="E31" s="5">
        <f>3*$H31</f>
        <v>12</v>
      </c>
      <c r="F31" s="5">
        <f>0.5*$H31</f>
        <v>2</v>
      </c>
      <c r="G31" s="5">
        <f>0*$H31</f>
        <v>0</v>
      </c>
      <c r="H31" s="5">
        <v>4</v>
      </c>
      <c r="I31" s="22" t="s">
        <v>163</v>
      </c>
      <c r="J31" s="68" t="b">
        <f>NOT(ISERROR(MATCH(A31,Index[Item],0)))</f>
        <v>1</v>
      </c>
    </row>
    <row r="32" spans="1:10" s="68" customFormat="1" ht="37.5" x14ac:dyDescent="0.3">
      <c r="A32" s="1" t="s">
        <v>162</v>
      </c>
      <c r="B32" s="5">
        <f>100*$H32</f>
        <v>0</v>
      </c>
      <c r="C32" s="5">
        <f>22*$H32</f>
        <v>0</v>
      </c>
      <c r="D32" s="5">
        <f>0*$H32</f>
        <v>0</v>
      </c>
      <c r="E32" s="5">
        <f>2*$H32</f>
        <v>0</v>
      </c>
      <c r="F32" s="5">
        <f>0*$H32</f>
        <v>0</v>
      </c>
      <c r="G32" s="5">
        <f>0*$H32</f>
        <v>0</v>
      </c>
      <c r="H32" s="5"/>
      <c r="I32" s="22" t="s">
        <v>163</v>
      </c>
      <c r="J32" s="68" t="b">
        <f>NOT(ISERROR(MATCH(A32,Index[Item],0)))</f>
        <v>1</v>
      </c>
    </row>
    <row r="33" spans="1:10" s="68" customFormat="1" x14ac:dyDescent="0.3">
      <c r="A33" s="1" t="s">
        <v>301</v>
      </c>
      <c r="B33" s="5">
        <f>30*$H33</f>
        <v>60</v>
      </c>
      <c r="C33" s="5">
        <f>8*$H33</f>
        <v>16</v>
      </c>
      <c r="D33" s="5">
        <f t="shared" ref="D33:G33" si="8">0*$H33</f>
        <v>0</v>
      </c>
      <c r="E33" s="5">
        <f t="shared" si="8"/>
        <v>0</v>
      </c>
      <c r="F33" s="5">
        <f t="shared" si="8"/>
        <v>0</v>
      </c>
      <c r="G33" s="5">
        <f t="shared" si="8"/>
        <v>0</v>
      </c>
      <c r="H33" s="5">
        <v>2</v>
      </c>
      <c r="I33" s="22" t="s">
        <v>302</v>
      </c>
      <c r="J33" s="68" t="b">
        <f>NOT(ISERROR(MATCH(A33,Index[Item],0)))</f>
        <v>1</v>
      </c>
    </row>
    <row r="34" spans="1:10" s="68" customFormat="1" x14ac:dyDescent="0.3">
      <c r="A34" s="1" t="s">
        <v>300</v>
      </c>
      <c r="B34" s="5">
        <f>0*$H34</f>
        <v>0</v>
      </c>
      <c r="C34" s="5">
        <f t="shared" ref="C34:G34" si="9">0*$H34</f>
        <v>0</v>
      </c>
      <c r="D34" s="5">
        <f t="shared" si="9"/>
        <v>0</v>
      </c>
      <c r="E34" s="5">
        <f t="shared" si="9"/>
        <v>0</v>
      </c>
      <c r="F34" s="5">
        <f t="shared" si="9"/>
        <v>0</v>
      </c>
      <c r="G34" s="5">
        <f t="shared" si="9"/>
        <v>0</v>
      </c>
      <c r="H34" s="5"/>
      <c r="I34" s="22" t="s">
        <v>299</v>
      </c>
      <c r="J34" s="68" t="b">
        <f>NOT(ISERROR(MATCH(A34,Index[Item],0)))</f>
        <v>1</v>
      </c>
    </row>
    <row r="35" spans="1:10" s="68" customFormat="1" x14ac:dyDescent="0.3">
      <c r="A35" s="1" t="s">
        <v>67</v>
      </c>
      <c r="B35" s="5">
        <f>10*$H35</f>
        <v>30</v>
      </c>
      <c r="C35" s="5">
        <f>1*$H35</f>
        <v>3</v>
      </c>
      <c r="D35" s="5">
        <f>0*$H35</f>
        <v>0</v>
      </c>
      <c r="E35" s="5">
        <f>0*$H35</f>
        <v>0</v>
      </c>
      <c r="F35" s="5">
        <f>0*$H35</f>
        <v>0</v>
      </c>
      <c r="G35" s="5">
        <f>0.5*$H35</f>
        <v>1.5</v>
      </c>
      <c r="H35" s="5">
        <v>3</v>
      </c>
      <c r="I35" s="22" t="s">
        <v>70</v>
      </c>
      <c r="J35" s="68" t="b">
        <f>NOT(ISERROR(MATCH(A35,Index[Item],0)))</f>
        <v>1</v>
      </c>
    </row>
    <row r="36" spans="1:10" s="68" customFormat="1" x14ac:dyDescent="0.3">
      <c r="A36" s="1" t="s">
        <v>543</v>
      </c>
      <c r="B36" s="5">
        <f>28*$H36</f>
        <v>0</v>
      </c>
      <c r="C36" s="5">
        <f>6.7*$H36</f>
        <v>0</v>
      </c>
      <c r="D36" s="5">
        <f t="shared" ref="D36:D41" si="10">0.2*$H36</f>
        <v>0</v>
      </c>
      <c r="E36" s="5">
        <f>1.9*$H36</f>
        <v>0</v>
      </c>
      <c r="F36" s="5">
        <f>1.2*$H36</f>
        <v>0</v>
      </c>
      <c r="G36" s="5">
        <f>3.2*$H36</f>
        <v>0</v>
      </c>
      <c r="H36" s="5"/>
      <c r="I36" s="22" t="s">
        <v>96</v>
      </c>
      <c r="J36" s="68" t="b">
        <f>NOT(ISERROR(MATCH(A36,Index[Item],0)))</f>
        <v>1</v>
      </c>
    </row>
    <row r="37" spans="1:10" s="68" customFormat="1" x14ac:dyDescent="0.3">
      <c r="A37" s="1" t="s">
        <v>27</v>
      </c>
      <c r="B37" s="5">
        <f>28*$H37</f>
        <v>0</v>
      </c>
      <c r="C37" s="5">
        <f>6.7*$H37</f>
        <v>0</v>
      </c>
      <c r="D37" s="5">
        <f t="shared" si="10"/>
        <v>0</v>
      </c>
      <c r="E37" s="5">
        <f>0.9*$H37</f>
        <v>0</v>
      </c>
      <c r="F37" s="5">
        <f>1.2*$H37</f>
        <v>0</v>
      </c>
      <c r="G37" s="5">
        <f>4.4*$H37</f>
        <v>0</v>
      </c>
      <c r="H37" s="5"/>
      <c r="I37" s="22" t="s">
        <v>96</v>
      </c>
      <c r="J37" s="68" t="b">
        <f>NOT(ISERROR(MATCH(A37,Index[Item],0)))</f>
        <v>1</v>
      </c>
    </row>
    <row r="38" spans="1:10" s="68" customFormat="1" x14ac:dyDescent="0.3">
      <c r="A38" s="1" t="s">
        <v>98</v>
      </c>
      <c r="B38" s="5">
        <f>28*$H38</f>
        <v>0</v>
      </c>
      <c r="C38" s="5">
        <f>6.7*$H38</f>
        <v>0</v>
      </c>
      <c r="D38" s="5">
        <f t="shared" si="10"/>
        <v>0</v>
      </c>
      <c r="E38" s="5">
        <f>0.9*$H38</f>
        <v>0</v>
      </c>
      <c r="F38" s="5">
        <f>1.2*$H38</f>
        <v>0</v>
      </c>
      <c r="G38" s="5">
        <f>4.4*$H38</f>
        <v>0</v>
      </c>
      <c r="H38" s="5"/>
      <c r="I38" s="22" t="s">
        <v>96</v>
      </c>
      <c r="J38" s="68" t="b">
        <f>NOT(ISERROR(MATCH(A38,Index[Item],0)))</f>
        <v>1</v>
      </c>
    </row>
    <row r="39" spans="1:10" s="68" customFormat="1" x14ac:dyDescent="0.3">
      <c r="A39" s="1" t="s">
        <v>99</v>
      </c>
      <c r="B39" s="5">
        <f>27*$H39</f>
        <v>0</v>
      </c>
      <c r="C39" s="5">
        <f>6.3*$H39</f>
        <v>0</v>
      </c>
      <c r="D39" s="5">
        <f t="shared" si="10"/>
        <v>0</v>
      </c>
      <c r="E39" s="5">
        <f>1*$H39</f>
        <v>0</v>
      </c>
      <c r="F39" s="5">
        <f>0.9*$H39</f>
        <v>0</v>
      </c>
      <c r="G39" s="5">
        <f>0*$H39</f>
        <v>0</v>
      </c>
      <c r="H39" s="5"/>
      <c r="I39" s="22" t="s">
        <v>96</v>
      </c>
      <c r="J39" s="68" t="b">
        <f>NOT(ISERROR(MATCH(A39,Index[Item],0)))</f>
        <v>1</v>
      </c>
    </row>
    <row r="40" spans="1:10" s="68" customFormat="1" x14ac:dyDescent="0.3">
      <c r="A40" s="1" t="s">
        <v>102</v>
      </c>
      <c r="B40" s="5">
        <f>44*$H40</f>
        <v>0</v>
      </c>
      <c r="C40" s="5">
        <f>10*$H40</f>
        <v>0</v>
      </c>
      <c r="D40" s="5">
        <f t="shared" si="10"/>
        <v>0</v>
      </c>
      <c r="E40" s="5">
        <f>1.4*$H40</f>
        <v>0</v>
      </c>
      <c r="F40" s="5">
        <f>1.4*$H40</f>
        <v>0</v>
      </c>
      <c r="G40" s="5">
        <f>4.7*$H40</f>
        <v>0</v>
      </c>
      <c r="H40" s="5"/>
      <c r="I40" s="22" t="s">
        <v>96</v>
      </c>
      <c r="J40" s="68" t="b">
        <f>NOT(ISERROR(MATCH(A40,Index[Item],0)))</f>
        <v>1</v>
      </c>
    </row>
    <row r="41" spans="1:10" s="68" customFormat="1" x14ac:dyDescent="0.3">
      <c r="A41" s="1" t="s">
        <v>95</v>
      </c>
      <c r="B41" s="5">
        <f>32*$H41</f>
        <v>0</v>
      </c>
      <c r="C41" s="5">
        <f>7.3*$H41</f>
        <v>0</v>
      </c>
      <c r="D41" s="5">
        <f t="shared" si="10"/>
        <v>0</v>
      </c>
      <c r="E41" s="5">
        <f>1.8*$H41</f>
        <v>0</v>
      </c>
      <c r="F41" s="5">
        <f t="shared" ref="F41" si="11">2.7*$H41</f>
        <v>0</v>
      </c>
      <c r="G41" s="5">
        <f>2.3*$H41</f>
        <v>0</v>
      </c>
      <c r="H41" s="5"/>
      <c r="I41" s="22" t="s">
        <v>96</v>
      </c>
      <c r="J41" s="68" t="b">
        <f>NOT(ISERROR(MATCH(A41,Index[Item],0)))</f>
        <v>1</v>
      </c>
    </row>
    <row r="42" spans="1:10" s="68" customFormat="1" x14ac:dyDescent="0.3">
      <c r="A42" s="1" t="s">
        <v>101</v>
      </c>
      <c r="B42" s="5">
        <f>29*$H42</f>
        <v>0</v>
      </c>
      <c r="C42" s="5">
        <f>6.5*$H42</f>
        <v>0</v>
      </c>
      <c r="D42" s="5">
        <f>0.4*$H42</f>
        <v>0</v>
      </c>
      <c r="E42" s="5">
        <f>0.9*$H42</f>
        <v>0</v>
      </c>
      <c r="F42" s="5">
        <f>2.8*$H42</f>
        <v>0</v>
      </c>
      <c r="G42" s="5">
        <f>4.1*$H42</f>
        <v>0</v>
      </c>
      <c r="H42" s="5"/>
      <c r="I42" s="22" t="s">
        <v>96</v>
      </c>
      <c r="J42" s="68" t="b">
        <f>NOT(ISERROR(MATCH(A42,Index[Item],0)))</f>
        <v>1</v>
      </c>
    </row>
    <row r="43" spans="1:10" s="68" customFormat="1" x14ac:dyDescent="0.3">
      <c r="A43" s="1" t="s">
        <v>100</v>
      </c>
      <c r="B43" s="5">
        <f>27*$H43</f>
        <v>0</v>
      </c>
      <c r="C43" s="5">
        <f>5.4*$H43</f>
        <v>0</v>
      </c>
      <c r="D43" s="5">
        <f>0.5*$H43</f>
        <v>0</v>
      </c>
      <c r="E43" s="5">
        <f>1.7*$H43</f>
        <v>0</v>
      </c>
      <c r="F43" s="5">
        <f>3.4*$H43</f>
        <v>0</v>
      </c>
      <c r="G43" s="5">
        <f>2*$H43</f>
        <v>0</v>
      </c>
      <c r="H43" s="5"/>
      <c r="I43" s="22" t="s">
        <v>96</v>
      </c>
      <c r="J43" s="68" t="b">
        <f>NOT(ISERROR(MATCH(A43,Index[Item],0)))</f>
        <v>1</v>
      </c>
    </row>
    <row r="44" spans="1:10" s="68" customFormat="1" x14ac:dyDescent="0.3">
      <c r="A44" s="1" t="s">
        <v>557</v>
      </c>
      <c r="B44" s="5">
        <f>20*$H44</f>
        <v>0</v>
      </c>
      <c r="C44" s="5">
        <f>5*$H44</f>
        <v>0</v>
      </c>
      <c r="D44" s="5">
        <f>0*$H44</f>
        <v>0</v>
      </c>
      <c r="E44" s="5">
        <f>1*$H44</f>
        <v>0</v>
      </c>
      <c r="F44" s="5">
        <f>2*$H44</f>
        <v>0</v>
      </c>
      <c r="G44" s="5">
        <f>2*$H44</f>
        <v>0</v>
      </c>
      <c r="H44" s="5"/>
      <c r="I44" s="22" t="s">
        <v>96</v>
      </c>
      <c r="J44" s="68" t="b">
        <f>NOT(ISERROR(MATCH(A44,Index[Item],0)))</f>
        <v>1</v>
      </c>
    </row>
    <row r="45" spans="1:10" s="68" customFormat="1" x14ac:dyDescent="0.3">
      <c r="A45" s="1" t="s">
        <v>108</v>
      </c>
      <c r="B45" s="5">
        <f>34*$H45</f>
        <v>0</v>
      </c>
      <c r="C45" s="5">
        <f>6.6*$H45</f>
        <v>0</v>
      </c>
      <c r="D45" s="5">
        <f>0.4*$H45</f>
        <v>0</v>
      </c>
      <c r="E45" s="5">
        <f>2.8*$H45</f>
        <v>0</v>
      </c>
      <c r="F45" s="5">
        <f>2.6*$H45</f>
        <v>0</v>
      </c>
      <c r="G45" s="5">
        <f>1.7*$H45</f>
        <v>0</v>
      </c>
      <c r="H45" s="5"/>
      <c r="I45" s="22" t="s">
        <v>96</v>
      </c>
      <c r="J45" s="68" t="b">
        <f>NOT(ISERROR(MATCH(A45,Index[Item],0)))</f>
        <v>1</v>
      </c>
    </row>
    <row r="46" spans="1:10" s="68" customFormat="1" x14ac:dyDescent="0.3">
      <c r="A46" s="1" t="s">
        <v>109</v>
      </c>
      <c r="B46" s="5">
        <f>35*$H46</f>
        <v>0</v>
      </c>
      <c r="C46" s="5">
        <f>7.9*$H46</f>
        <v>0</v>
      </c>
      <c r="D46" s="5">
        <f>0.3*$H46</f>
        <v>0</v>
      </c>
      <c r="E46" s="5">
        <f>1.9*$H46</f>
        <v>0</v>
      </c>
      <c r="F46" s="5">
        <f>3.2*$H46</f>
        <v>0</v>
      </c>
      <c r="G46" s="5">
        <f>3.6*$H46</f>
        <v>0</v>
      </c>
      <c r="H46" s="5"/>
      <c r="I46" s="22" t="s">
        <v>96</v>
      </c>
      <c r="J46" s="68" t="b">
        <f>NOT(ISERROR(MATCH(A46,Index[Item],0)))</f>
        <v>1</v>
      </c>
    </row>
    <row r="47" spans="1:10" s="68" customFormat="1" x14ac:dyDescent="0.3">
      <c r="A47" s="1" t="s">
        <v>107</v>
      </c>
      <c r="B47" s="5">
        <f>21*$H47</f>
        <v>0</v>
      </c>
      <c r="C47" s="5">
        <f>4.2*$H47</f>
        <v>0</v>
      </c>
      <c r="D47" s="5">
        <f>0.1*$H47</f>
        <v>0</v>
      </c>
      <c r="E47" s="5">
        <f>2*$H47</f>
        <v>0</v>
      </c>
      <c r="F47" s="5">
        <f>0.8*$H47</f>
        <v>0</v>
      </c>
      <c r="G47" s="5">
        <f>2.8*$H47</f>
        <v>0</v>
      </c>
      <c r="H47" s="5"/>
      <c r="I47" s="22" t="s">
        <v>96</v>
      </c>
      <c r="J47" s="68" t="b">
        <f>NOT(ISERROR(MATCH(A47,Index[Item],0)))</f>
        <v>1</v>
      </c>
    </row>
    <row r="48" spans="1:10" s="68" customFormat="1" x14ac:dyDescent="0.3">
      <c r="A48" s="1" t="s">
        <v>110</v>
      </c>
      <c r="B48" s="5">
        <f>18*$H48</f>
        <v>0</v>
      </c>
      <c r="C48" s="5">
        <f>4*$H48</f>
        <v>0</v>
      </c>
      <c r="D48" s="5">
        <f>0.2*$H48</f>
        <v>0</v>
      </c>
      <c r="E48" s="5">
        <f>0.8*$H48</f>
        <v>0</v>
      </c>
      <c r="F48" s="5">
        <f>1.6*$H48</f>
        <v>0</v>
      </c>
      <c r="G48" s="5">
        <f>2.4*$H48</f>
        <v>0</v>
      </c>
      <c r="H48" s="5"/>
      <c r="I48" s="22" t="s">
        <v>96</v>
      </c>
      <c r="J48" s="68" t="b">
        <f>NOT(ISERROR(MATCH(A48,Index[Item],0)))</f>
        <v>1</v>
      </c>
    </row>
    <row r="49" spans="1:10" s="68" customFormat="1" x14ac:dyDescent="0.3">
      <c r="A49" s="1" t="s">
        <v>111</v>
      </c>
      <c r="B49" s="5">
        <f>4.5*$H49</f>
        <v>0</v>
      </c>
      <c r="C49" s="5">
        <f>1*$H49</f>
        <v>0</v>
      </c>
      <c r="D49" s="5">
        <f>0*$H49</f>
        <v>0</v>
      </c>
      <c r="E49" s="5">
        <f>0.2*$H49</f>
        <v>0</v>
      </c>
      <c r="F49" s="5">
        <f>0.1*$H49</f>
        <v>0</v>
      </c>
      <c r="G49" s="5">
        <f>0*$H49</f>
        <v>0</v>
      </c>
      <c r="H49" s="5"/>
      <c r="I49" s="22" t="s">
        <v>112</v>
      </c>
      <c r="J49" s="68" t="b">
        <f>NOT(ISERROR(MATCH(A49,Index[Item],0)))</f>
        <v>1</v>
      </c>
    </row>
    <row r="50" spans="1:10" s="68" customFormat="1" ht="55.5" customHeight="1" x14ac:dyDescent="0.3">
      <c r="A50" s="1" t="s">
        <v>115</v>
      </c>
      <c r="B50" s="5">
        <f>25*$H50</f>
        <v>0</v>
      </c>
      <c r="C50" s="5">
        <f>5*$H50</f>
        <v>0</v>
      </c>
      <c r="D50" s="5">
        <f>0*$H50</f>
        <v>0</v>
      </c>
      <c r="E50" s="5">
        <f>0*$H50</f>
        <v>0</v>
      </c>
      <c r="F50" s="5">
        <f>2*$H50</f>
        <v>0</v>
      </c>
      <c r="G50" s="5">
        <f>1*$H50</f>
        <v>0</v>
      </c>
      <c r="H50" s="5"/>
      <c r="I50" s="22" t="s">
        <v>116</v>
      </c>
      <c r="J50" s="68" t="b">
        <f>NOT(ISERROR(MATCH(A50,Index[Item],0)))</f>
        <v>1</v>
      </c>
    </row>
    <row r="51" spans="1:10" s="68" customFormat="1" ht="55.5" customHeight="1" x14ac:dyDescent="0.3">
      <c r="A51" s="1" t="s">
        <v>560</v>
      </c>
      <c r="B51" s="5">
        <f>50*$H51</f>
        <v>0</v>
      </c>
      <c r="C51" s="5">
        <f>10*$H51</f>
        <v>0</v>
      </c>
      <c r="D51" s="5">
        <f t="shared" ref="D51:D55" si="12">0*$H51</f>
        <v>0</v>
      </c>
      <c r="E51" s="5">
        <f>3*$H51</f>
        <v>0</v>
      </c>
      <c r="F51" s="5">
        <f>3*$H51</f>
        <v>0</v>
      </c>
      <c r="G51" s="5">
        <f>4*$H51</f>
        <v>0</v>
      </c>
      <c r="H51" s="5"/>
      <c r="I51" s="22" t="s">
        <v>118</v>
      </c>
      <c r="J51" s="68" t="b">
        <f>NOT(ISERROR(MATCH(A51,Index[Item],0)))</f>
        <v>1</v>
      </c>
    </row>
    <row r="52" spans="1:10" s="68" customFormat="1" ht="37.5" x14ac:dyDescent="0.3">
      <c r="A52" s="1" t="s">
        <v>117</v>
      </c>
      <c r="B52" s="5">
        <f>50*$H52</f>
        <v>0</v>
      </c>
      <c r="C52" s="5">
        <f>10*$H52</f>
        <v>0</v>
      </c>
      <c r="D52" s="5">
        <f t="shared" si="12"/>
        <v>0</v>
      </c>
      <c r="E52" s="5">
        <f>3*$H52</f>
        <v>0</v>
      </c>
      <c r="F52" s="5">
        <f>3*$H52</f>
        <v>0</v>
      </c>
      <c r="G52" s="5">
        <f>4*$H52</f>
        <v>0</v>
      </c>
      <c r="H52" s="5"/>
      <c r="I52" s="22" t="s">
        <v>118</v>
      </c>
      <c r="J52" s="68" t="b">
        <f>NOT(ISERROR(MATCH(A52,Index[Item],0)))</f>
        <v>1</v>
      </c>
    </row>
    <row r="53" spans="1:10" s="68" customFormat="1" ht="37.5" x14ac:dyDescent="0.3">
      <c r="A53" s="1" t="s">
        <v>119</v>
      </c>
      <c r="B53" s="5">
        <f>60*$H53</f>
        <v>0</v>
      </c>
      <c r="C53" s="5">
        <f>11*$H53</f>
        <v>0</v>
      </c>
      <c r="D53" s="5">
        <f t="shared" si="12"/>
        <v>0</v>
      </c>
      <c r="E53" s="5">
        <f>2*$H53</f>
        <v>0</v>
      </c>
      <c r="F53" s="5">
        <f>3*$H53</f>
        <v>0</v>
      </c>
      <c r="G53" s="5">
        <f>4*$H53</f>
        <v>0</v>
      </c>
      <c r="H53" s="5"/>
      <c r="I53" s="22" t="s">
        <v>118</v>
      </c>
      <c r="J53" s="68" t="b">
        <f>NOT(ISERROR(MATCH(A53,Index[Item],0)))</f>
        <v>1</v>
      </c>
    </row>
    <row r="54" spans="1:10" ht="56.25" x14ac:dyDescent="0.3">
      <c r="A54" s="1" t="s">
        <v>120</v>
      </c>
      <c r="B54" s="5">
        <f>35*$H54</f>
        <v>0</v>
      </c>
      <c r="C54" s="5">
        <f>5*$H54</f>
        <v>0</v>
      </c>
      <c r="D54" s="5">
        <f>0*$H54</f>
        <v>0</v>
      </c>
      <c r="E54" s="5">
        <f>1*$H54</f>
        <v>0</v>
      </c>
      <c r="F54" s="5">
        <f>2*$H54</f>
        <v>0</v>
      </c>
      <c r="G54" s="5">
        <f>3*$H54</f>
        <v>0</v>
      </c>
      <c r="H54" s="5"/>
      <c r="I54" s="22" t="s">
        <v>121</v>
      </c>
      <c r="J54" s="68" t="b">
        <f>NOT(ISERROR(MATCH(A54,Index[Item],0)))</f>
        <v>1</v>
      </c>
    </row>
    <row r="55" spans="1:10" ht="56.25" x14ac:dyDescent="0.3">
      <c r="A55" s="1" t="s">
        <v>122</v>
      </c>
      <c r="B55" s="5">
        <f>40*$H55</f>
        <v>0</v>
      </c>
      <c r="C55" s="5">
        <f>8*$H55</f>
        <v>0</v>
      </c>
      <c r="D55" s="5">
        <f t="shared" si="12"/>
        <v>0</v>
      </c>
      <c r="E55" s="5">
        <f>1*$H55</f>
        <v>0</v>
      </c>
      <c r="F55" s="5">
        <f>2*$H55</f>
        <v>0</v>
      </c>
      <c r="G55" s="5">
        <f>3*$H55</f>
        <v>0</v>
      </c>
      <c r="H55" s="5"/>
      <c r="I55" s="22" t="s">
        <v>123</v>
      </c>
      <c r="J55" s="68" t="b">
        <f>NOT(ISERROR(MATCH(A55,Index[Item],0)))</f>
        <v>1</v>
      </c>
    </row>
    <row r="56" spans="1:10" x14ac:dyDescent="0.3">
      <c r="A56" s="1" t="s">
        <v>113</v>
      </c>
      <c r="B56" s="5">
        <f>23*$H56</f>
        <v>0</v>
      </c>
      <c r="C56" s="5">
        <f>5.5*$H56</f>
        <v>0</v>
      </c>
      <c r="D56" s="5">
        <f>0.1*$H56</f>
        <v>0</v>
      </c>
      <c r="E56" s="5">
        <f>1.3*$H56</f>
        <v>0</v>
      </c>
      <c r="F56" s="5">
        <f>1.9*$H56</f>
        <v>0</v>
      </c>
      <c r="G56" s="5">
        <f>2.8*$H56</f>
        <v>0</v>
      </c>
      <c r="H56" s="5"/>
      <c r="I56" s="22" t="s">
        <v>96</v>
      </c>
      <c r="J56" s="68" t="b">
        <f>NOT(ISERROR(MATCH(A56,Index[Item],0)))</f>
        <v>1</v>
      </c>
    </row>
    <row r="57" spans="1:10" x14ac:dyDescent="0.3">
      <c r="A57" s="1" t="s">
        <v>114</v>
      </c>
      <c r="B57" s="5">
        <f>29*$H57</f>
        <v>0</v>
      </c>
      <c r="C57" s="5">
        <f>6.9*$H57</f>
        <v>0</v>
      </c>
      <c r="D57" s="5">
        <f>0.1*$H57</f>
        <v>0</v>
      </c>
      <c r="E57" s="5">
        <f>1.5*$H57</f>
        <v>0</v>
      </c>
      <c r="F57" s="5">
        <f>2.6*$H57</f>
        <v>0</v>
      </c>
      <c r="G57" s="5">
        <f>3.3*$H57</f>
        <v>0</v>
      </c>
      <c r="H57" s="5"/>
      <c r="I57" s="22" t="s">
        <v>96</v>
      </c>
      <c r="J57" s="68" t="b">
        <f>NOT(ISERROR(MATCH(A57,Index[Item],0)))</f>
        <v>1</v>
      </c>
    </row>
    <row r="58" spans="1:10" x14ac:dyDescent="0.3">
      <c r="A58" s="1" t="s">
        <v>481</v>
      </c>
      <c r="B58" s="5">
        <f>Table2734353640[[#Totals],[Calories]]</f>
        <v>81.8</v>
      </c>
      <c r="C58" s="5">
        <f>Table2734353640[[#Totals],[Carbs]]</f>
        <v>15.200000000000001</v>
      </c>
      <c r="D58" s="5">
        <f>Table2734353640[[#Totals],[Fat]]</f>
        <v>0.7</v>
      </c>
      <c r="E58" s="5">
        <f>Table2734353640[[#Totals],[Protein]]</f>
        <v>1.2999999999999998</v>
      </c>
      <c r="F58" s="5">
        <f>Table2734353640[[#Totals],[Fiber]]</f>
        <v>2.5</v>
      </c>
      <c r="G58" s="5">
        <f>Table2734353640[[#Totals],[Sugar]]</f>
        <v>0.5</v>
      </c>
      <c r="H58" s="5">
        <f>Table2734353640[[#Totals],[Serving by TSP]]</f>
        <v>7</v>
      </c>
      <c r="J58" s="68" t="b">
        <f>NOT(ISERROR(MATCH(A58,Index[Item],0)))</f>
        <v>1</v>
      </c>
    </row>
    <row r="59" spans="1:10" x14ac:dyDescent="0.3">
      <c r="A59" s="1" t="s">
        <v>544</v>
      </c>
      <c r="B59" s="5">
        <f>SUBTOTAL(109,HoneyChicken[Calories])/HoneyChicken[[#Totals],[Measurement]]</f>
        <v>470.9666666666667</v>
      </c>
      <c r="C59" s="5">
        <f>SUBTOTAL(109,HoneyChicken[Carbs])/HoneyChicken[[#Totals],[Measurement]]</f>
        <v>35.666666666666664</v>
      </c>
      <c r="D59" s="5">
        <f>SUBTOTAL(109,HoneyChicken[[Fat ]])/HoneyChicken[[#Totals],[Measurement]]</f>
        <v>22.049999999999997</v>
      </c>
      <c r="E59" s="5">
        <f>SUBTOTAL(109,HoneyChicken[Protein])/HoneyChicken[[#Totals],[Measurement]]</f>
        <v>34.4</v>
      </c>
      <c r="F59" s="5">
        <f>SUBTOTAL(109,HoneyChicken[Fiber])/HoneyChicken[[#Totals],[Measurement]]</f>
        <v>0.75</v>
      </c>
      <c r="G59" s="5">
        <f>SUBTOTAL(109,HoneyChicken[Sugar])/HoneyChicken[[#Totals],[Measurement]]</f>
        <v>13.9</v>
      </c>
      <c r="H59" s="5">
        <f>SUBTOTAL(109,HoneyChicken[Servings])/HoneyChicken[[#Totals],[Measurement]]</f>
        <v>7.5</v>
      </c>
      <c r="I59" s="22" t="s">
        <v>545</v>
      </c>
    </row>
    <row r="60" spans="1:10" x14ac:dyDescent="0.3">
      <c r="B60" s="5"/>
      <c r="C60" s="5"/>
      <c r="D60" s="5"/>
      <c r="E60" s="5"/>
      <c r="F60" s="5"/>
      <c r="G60" s="5"/>
      <c r="H60" s="5"/>
    </row>
    <row r="61" spans="1:10" x14ac:dyDescent="0.3">
      <c r="A61" s="43" t="s">
        <v>0</v>
      </c>
      <c r="B61" s="44" t="s">
        <v>1</v>
      </c>
      <c r="C61" s="44" t="s">
        <v>2</v>
      </c>
      <c r="D61" s="44" t="s">
        <v>3</v>
      </c>
      <c r="E61" s="44" t="s">
        <v>4</v>
      </c>
      <c r="F61" s="44" t="s">
        <v>5</v>
      </c>
      <c r="G61" s="44" t="s">
        <v>6</v>
      </c>
      <c r="H61" s="44" t="s">
        <v>7</v>
      </c>
    </row>
    <row r="62" spans="1:10" x14ac:dyDescent="0.3">
      <c r="A62" s="45" t="s">
        <v>8</v>
      </c>
      <c r="B62" s="46">
        <f>1.6*$H62</f>
        <v>0</v>
      </c>
      <c r="C62" s="46">
        <f>0.3*$H62</f>
        <v>0</v>
      </c>
      <c r="D62" s="46">
        <f>0*$H62</f>
        <v>0</v>
      </c>
      <c r="E62" s="46">
        <f>0.2*$H62</f>
        <v>0</v>
      </c>
      <c r="F62" s="46">
        <f>0.3*$H62</f>
        <v>0</v>
      </c>
      <c r="G62" s="46">
        <f>0*$H62</f>
        <v>0</v>
      </c>
      <c r="H62" s="47"/>
      <c r="J62" s="2" t="b">
        <f>NOT(ISERROR(MATCH(A62,Spice[Spice],0)))</f>
        <v>1</v>
      </c>
    </row>
    <row r="63" spans="1:10" x14ac:dyDescent="0.3">
      <c r="A63" s="45" t="s">
        <v>9</v>
      </c>
      <c r="B63" s="46">
        <f>5.8*$H63</f>
        <v>5.8</v>
      </c>
      <c r="C63" s="46">
        <f>1.5*$H63</f>
        <v>1.5</v>
      </c>
      <c r="D63" s="46">
        <f>0.1*$H63</f>
        <v>0.1</v>
      </c>
      <c r="E63" s="46">
        <f>0.2*$H63</f>
        <v>0.2</v>
      </c>
      <c r="F63" s="46">
        <f>0.6*$H63</f>
        <v>0.6</v>
      </c>
      <c r="G63" s="46">
        <f>0*$H63</f>
        <v>0</v>
      </c>
      <c r="H63" s="47">
        <v>1</v>
      </c>
      <c r="J63" s="2" t="b">
        <f>NOT(ISERROR(MATCH(A63,Spice[Spice],0)))</f>
        <v>1</v>
      </c>
    </row>
    <row r="64" spans="1:10" x14ac:dyDescent="0.3">
      <c r="A64" s="41" t="s">
        <v>10</v>
      </c>
      <c r="B64" s="32">
        <f>7.6*$H64</f>
        <v>0</v>
      </c>
      <c r="C64" s="32">
        <f>1.3*$H64</f>
        <v>0</v>
      </c>
      <c r="D64" s="32">
        <f>0.4*$H64</f>
        <v>0</v>
      </c>
      <c r="E64" s="32">
        <f>0.4*$H64</f>
        <v>0</v>
      </c>
      <c r="F64" s="32">
        <f>0.9*$H64</f>
        <v>0</v>
      </c>
      <c r="G64" s="32">
        <f>0.2*$H64</f>
        <v>0</v>
      </c>
      <c r="H64" s="42"/>
      <c r="J64" s="2" t="b">
        <f>NOT(ISERROR(MATCH(A64,Spice[Spice],0)))</f>
        <v>1</v>
      </c>
    </row>
    <row r="65" spans="1:10" x14ac:dyDescent="0.3">
      <c r="A65" s="45" t="s">
        <v>11</v>
      </c>
      <c r="B65" s="46">
        <f>48*$H65</f>
        <v>48</v>
      </c>
      <c r="C65" s="46">
        <f>8*$H65</f>
        <v>8</v>
      </c>
      <c r="D65" s="46">
        <f>0*$H65</f>
        <v>0</v>
      </c>
      <c r="E65" s="46">
        <f>0*$H65</f>
        <v>0</v>
      </c>
      <c r="F65" s="46">
        <f>0*$H65</f>
        <v>0</v>
      </c>
      <c r="G65" s="46">
        <f>0*$H65</f>
        <v>0</v>
      </c>
      <c r="H65" s="47">
        <v>1</v>
      </c>
      <c r="J65" s="2" t="b">
        <f>NOT(ISERROR(MATCH(A65,Spice[Spice],0)))</f>
        <v>1</v>
      </c>
    </row>
    <row r="66" spans="1:10" x14ac:dyDescent="0.3">
      <c r="A66" s="41" t="s">
        <v>12</v>
      </c>
      <c r="B66" s="32">
        <f>6.4*$H66</f>
        <v>0</v>
      </c>
      <c r="C66" s="32">
        <f>2.1*$H66</f>
        <v>0</v>
      </c>
      <c r="D66" s="32">
        <f>0*$H65</f>
        <v>0</v>
      </c>
      <c r="E66" s="32">
        <f>0.1*$H66</f>
        <v>0</v>
      </c>
      <c r="F66" s="32">
        <f>1.4*$H66</f>
        <v>0</v>
      </c>
      <c r="G66" s="32">
        <f>0.1*$H66</f>
        <v>0</v>
      </c>
      <c r="H66" s="42"/>
      <c r="J66" s="2" t="b">
        <f>NOT(ISERROR(MATCH(A66,Spice[Spice],0)))</f>
        <v>1</v>
      </c>
    </row>
    <row r="67" spans="1:10" x14ac:dyDescent="0.3">
      <c r="A67" s="45" t="s">
        <v>13</v>
      </c>
      <c r="B67" s="46">
        <f>1.7*$H67</f>
        <v>0</v>
      </c>
      <c r="C67" s="46">
        <f>0.3*$H67</f>
        <v>0</v>
      </c>
      <c r="D67" s="46">
        <f>0*$H67</f>
        <v>0</v>
      </c>
      <c r="E67" s="46">
        <f>0.1*$H67</f>
        <v>0</v>
      </c>
      <c r="F67" s="46">
        <f>0.1*$H67</f>
        <v>0</v>
      </c>
      <c r="G67" s="46">
        <f>0*$H67</f>
        <v>0</v>
      </c>
      <c r="H67" s="47"/>
      <c r="J67" s="2" t="b">
        <f>NOT(ISERROR(MATCH(A67,Spice[Spice],0)))</f>
        <v>1</v>
      </c>
    </row>
    <row r="68" spans="1:10" ht="37.5" x14ac:dyDescent="0.3">
      <c r="A68" s="41" t="s">
        <v>14</v>
      </c>
      <c r="B68" s="32">
        <f>5.7*$H68</f>
        <v>0</v>
      </c>
      <c r="C68" s="32">
        <f>1*$H68</f>
        <v>0</v>
      </c>
      <c r="D68" s="32">
        <f>0*$H68</f>
        <v>0</v>
      </c>
      <c r="E68" s="32">
        <f>0.2*$H68</f>
        <v>0</v>
      </c>
      <c r="F68" s="32">
        <f>0.5*$H68</f>
        <v>0</v>
      </c>
      <c r="G68" s="32">
        <f>0.2*$H68</f>
        <v>0</v>
      </c>
      <c r="H68" s="42"/>
      <c r="J68" s="2" t="b">
        <f>NOT(ISERROR(MATCH(A68,Spice[Spice],0)))</f>
        <v>1</v>
      </c>
    </row>
    <row r="69" spans="1:10" x14ac:dyDescent="0.3">
      <c r="A69" s="45" t="s">
        <v>15</v>
      </c>
      <c r="B69" s="46">
        <f>7.6*$H69</f>
        <v>0</v>
      </c>
      <c r="C69" s="46">
        <f>0.9*$H69</f>
        <v>0</v>
      </c>
      <c r="D69" s="46">
        <f>0.5*$H69</f>
        <v>0</v>
      </c>
      <c r="E69" s="46">
        <f>0.4*$H69</f>
        <v>0</v>
      </c>
      <c r="F69" s="46">
        <f>0.2*$H69</f>
        <v>0</v>
      </c>
      <c r="G69" s="46">
        <f>0.1*$H69</f>
        <v>0</v>
      </c>
      <c r="H69" s="47"/>
      <c r="J69" s="2" t="b">
        <f>NOT(ISERROR(MATCH(A69,Spice[Spice],0)))</f>
        <v>1</v>
      </c>
    </row>
    <row r="70" spans="1:10" x14ac:dyDescent="0.3">
      <c r="A70" s="41" t="s">
        <v>16</v>
      </c>
      <c r="B70" s="32">
        <f>(36/5)*$H70</f>
        <v>0</v>
      </c>
      <c r="C70" s="32">
        <f>(5/5)*$H70</f>
        <v>0</v>
      </c>
      <c r="D70" s="32">
        <f>(1.2/5)*$H70</f>
        <v>0</v>
      </c>
      <c r="E70" s="32">
        <f>(1.3/5)*$H70</f>
        <v>0</v>
      </c>
      <c r="F70" s="32">
        <f>(3/5)*$H70</f>
        <v>0</v>
      </c>
      <c r="G70" s="32">
        <f>(0.2/5)*$H70</f>
        <v>0</v>
      </c>
      <c r="H70" s="42"/>
      <c r="J70" s="2" t="b">
        <f>NOT(ISERROR(MATCH(A70,Spice[Spice],0)))</f>
        <v>1</v>
      </c>
    </row>
    <row r="71" spans="1:10" x14ac:dyDescent="0.3">
      <c r="A71" s="45" t="s">
        <v>17</v>
      </c>
      <c r="B71" s="46">
        <f>5*$H71</f>
        <v>5</v>
      </c>
      <c r="C71" s="46">
        <f>1*$H71</f>
        <v>1</v>
      </c>
      <c r="D71" s="46">
        <f>0*$H71</f>
        <v>0</v>
      </c>
      <c r="E71" s="46">
        <f>0*$H71</f>
        <v>0</v>
      </c>
      <c r="F71" s="46">
        <f>0*$H71</f>
        <v>0</v>
      </c>
      <c r="G71" s="46">
        <f>0*$H71</f>
        <v>0</v>
      </c>
      <c r="H71" s="47">
        <v>1</v>
      </c>
      <c r="J71" s="2" t="b">
        <f>NOT(ISERROR(MATCH(A71,Spice[Spice],0)))</f>
        <v>1</v>
      </c>
    </row>
    <row r="72" spans="1:10" x14ac:dyDescent="0.3">
      <c r="A72" s="41" t="s">
        <v>18</v>
      </c>
      <c r="B72" s="32">
        <f>10*$H72</f>
        <v>10</v>
      </c>
      <c r="C72" s="32">
        <f>2.3*$H72</f>
        <v>2.2999999999999998</v>
      </c>
      <c r="D72" s="32">
        <f>0*$H72</f>
        <v>0</v>
      </c>
      <c r="E72" s="32">
        <f>0.5*$H72</f>
        <v>0.5</v>
      </c>
      <c r="F72" s="32">
        <f>0.3*$H72</f>
        <v>0.3</v>
      </c>
      <c r="G72" s="32">
        <f>0.1*$H72</f>
        <v>0.1</v>
      </c>
      <c r="H72" s="42">
        <v>1</v>
      </c>
      <c r="J72" s="2" t="b">
        <f>NOT(ISERROR(MATCH(A72,Spice[Spice],0)))</f>
        <v>1</v>
      </c>
    </row>
    <row r="73" spans="1:10" x14ac:dyDescent="0.3">
      <c r="A73" s="45" t="s">
        <v>19</v>
      </c>
      <c r="B73" s="46">
        <f>1.2*$H73</f>
        <v>0</v>
      </c>
      <c r="C73" s="46">
        <f>0.3*$H73</f>
        <v>0</v>
      </c>
      <c r="D73" s="46">
        <f>0*$H73</f>
        <v>0</v>
      </c>
      <c r="E73" s="46">
        <f>1*$H73</f>
        <v>0</v>
      </c>
      <c r="F73" s="46">
        <f>0*$H73</f>
        <v>0</v>
      </c>
      <c r="G73" s="46">
        <f>0*$H73</f>
        <v>0</v>
      </c>
      <c r="H73" s="47"/>
      <c r="J73" s="2" t="b">
        <f>NOT(ISERROR(MATCH(A73,Spice[Spice],0)))</f>
        <v>1</v>
      </c>
    </row>
    <row r="74" spans="1:10" x14ac:dyDescent="0.3">
      <c r="A74" s="45" t="s">
        <v>20</v>
      </c>
      <c r="B74" s="46">
        <f>6*$H74</f>
        <v>0</v>
      </c>
      <c r="C74" s="46">
        <f>1.3*$H74</f>
        <v>0</v>
      </c>
      <c r="D74" s="46">
        <f>0.1*$H74</f>
        <v>0</v>
      </c>
      <c r="E74" s="46">
        <f>0.2*$H74</f>
        <v>0</v>
      </c>
      <c r="F74" s="46">
        <f>0.3*$H74</f>
        <v>0</v>
      </c>
      <c r="G74" s="46">
        <f>0.1*$H74</f>
        <v>0</v>
      </c>
      <c r="H74" s="47"/>
      <c r="J74" s="2" t="b">
        <f>NOT(ISERROR(MATCH(A74,Spice[Spice],0)))</f>
        <v>1</v>
      </c>
    </row>
    <row r="75" spans="1:10" x14ac:dyDescent="0.3">
      <c r="A75" s="41" t="s">
        <v>21</v>
      </c>
      <c r="B75" s="32">
        <f>2.2*$H75</f>
        <v>0</v>
      </c>
      <c r="C75" s="32">
        <f>0.5*$H75</f>
        <v>0</v>
      </c>
      <c r="D75" s="32">
        <f>0.1*$H75</f>
        <v>0</v>
      </c>
      <c r="E75" s="32">
        <f>0.1*$H75</f>
        <v>0</v>
      </c>
      <c r="F75" s="32">
        <f>0.3*$H75</f>
        <v>0</v>
      </c>
      <c r="G75" s="32">
        <f>0*$H75</f>
        <v>0</v>
      </c>
      <c r="H75" s="42"/>
      <c r="J75" s="2" t="b">
        <f>NOT(ISERROR(MATCH(A75,Spice[Spice],0)))</f>
        <v>1</v>
      </c>
    </row>
    <row r="76" spans="1:10" x14ac:dyDescent="0.3">
      <c r="A76" s="45" t="s">
        <v>22</v>
      </c>
      <c r="B76" s="46">
        <f>0*$H76</f>
        <v>0</v>
      </c>
      <c r="C76" s="46">
        <f>0*$H76</f>
        <v>0</v>
      </c>
      <c r="D76" s="46">
        <f>0*$H76</f>
        <v>0</v>
      </c>
      <c r="E76" s="46">
        <f>0*$H76</f>
        <v>0</v>
      </c>
      <c r="F76" s="46">
        <f>0*$H76</f>
        <v>0</v>
      </c>
      <c r="G76" s="46">
        <f>0*$H76</f>
        <v>0</v>
      </c>
      <c r="H76" s="47"/>
      <c r="J76" s="2" t="b">
        <f>NOT(ISERROR(MATCH(A76,Spice[Spice],0)))</f>
        <v>1</v>
      </c>
    </row>
    <row r="77" spans="1:10" x14ac:dyDescent="0.3">
      <c r="A77" s="41" t="s">
        <v>23</v>
      </c>
      <c r="B77" s="32">
        <f>8.2*$H77</f>
        <v>0</v>
      </c>
      <c r="C77" s="32">
        <f>1.9*$H77</f>
        <v>0</v>
      </c>
      <c r="D77" s="32">
        <f>0*$H77</f>
        <v>0</v>
      </c>
      <c r="E77" s="32">
        <f>0.3*$H77</f>
        <v>0</v>
      </c>
      <c r="F77" s="32">
        <f>0.4*$H77</f>
        <v>0</v>
      </c>
      <c r="G77" s="32">
        <f>0.2*$H77</f>
        <v>0</v>
      </c>
      <c r="H77" s="42"/>
      <c r="J77" s="2" t="b">
        <f>NOT(ISERROR(MATCH(A77,Spice[Spice],0)))</f>
        <v>1</v>
      </c>
    </row>
    <row r="78" spans="1:10" x14ac:dyDescent="0.3">
      <c r="A78" s="45" t="s">
        <v>24</v>
      </c>
      <c r="B78" s="46">
        <f>2.7*$H78</f>
        <v>0</v>
      </c>
      <c r="C78" s="46">
        <f>0.7*$H78</f>
        <v>0</v>
      </c>
      <c r="D78" s="46">
        <f>0*$H78</f>
        <v>0</v>
      </c>
      <c r="E78" s="46">
        <f>0.1*$H78</f>
        <v>0</v>
      </c>
      <c r="F78" s="46">
        <f>0.4*$H78</f>
        <v>0</v>
      </c>
      <c r="G78" s="46">
        <f>0*$H78</f>
        <v>0</v>
      </c>
      <c r="H78" s="47"/>
      <c r="J78" s="2" t="b">
        <f>NOT(ISERROR(MATCH(A78,Spice[Spice],0)))</f>
        <v>1</v>
      </c>
    </row>
    <row r="79" spans="1:10" x14ac:dyDescent="0.3">
      <c r="A79" s="41" t="s">
        <v>25</v>
      </c>
      <c r="B79" s="32">
        <f>6.5*$H79</f>
        <v>13</v>
      </c>
      <c r="C79" s="32">
        <f>1.2*$H79</f>
        <v>2.4</v>
      </c>
      <c r="D79" s="32">
        <f>0.3*$H79</f>
        <v>0.6</v>
      </c>
      <c r="E79" s="32">
        <f>0.3*$H79</f>
        <v>0.6</v>
      </c>
      <c r="F79" s="32">
        <f>0.8*$H79</f>
        <v>1.6</v>
      </c>
      <c r="G79" s="32">
        <f>0.2*$H79</f>
        <v>0.4</v>
      </c>
      <c r="H79" s="42">
        <v>2</v>
      </c>
      <c r="J79" s="2" t="b">
        <f>NOT(ISERROR(MATCH(A79,Spice[Spice],0)))</f>
        <v>1</v>
      </c>
    </row>
    <row r="80" spans="1:10" x14ac:dyDescent="0.3">
      <c r="A80" s="45" t="s">
        <v>26</v>
      </c>
      <c r="B80" s="46">
        <f>1.5*$H80</f>
        <v>0</v>
      </c>
      <c r="C80" s="46">
        <f>0.3*$H80</f>
        <v>0</v>
      </c>
      <c r="D80" s="46">
        <f>0*$H80</f>
        <v>0</v>
      </c>
      <c r="E80" s="46">
        <f>0.1*$H80</f>
        <v>0</v>
      </c>
      <c r="F80" s="46">
        <f>0.1*$H80</f>
        <v>0</v>
      </c>
      <c r="G80" s="46">
        <f>0*$H80</f>
        <v>0</v>
      </c>
      <c r="H80" s="47"/>
      <c r="J80" s="2" t="b">
        <f>NOT(ISERROR(MATCH(A80,Spice[Spice],0)))</f>
        <v>1</v>
      </c>
    </row>
    <row r="81" spans="1:10" x14ac:dyDescent="0.3">
      <c r="A81" s="41" t="s">
        <v>27</v>
      </c>
      <c r="B81" s="32">
        <f>5.7*$H81</f>
        <v>0</v>
      </c>
      <c r="C81" s="32">
        <f>1*$H81</f>
        <v>0</v>
      </c>
      <c r="D81" s="32">
        <f>0.3*$H81</f>
        <v>0</v>
      </c>
      <c r="E81" s="32">
        <f>0.2*$H81</f>
        <v>0</v>
      </c>
      <c r="F81" s="32">
        <f>0.5*$H81</f>
        <v>0</v>
      </c>
      <c r="G81" s="32">
        <f>0.2*$H81</f>
        <v>0</v>
      </c>
      <c r="H81" s="42"/>
      <c r="J81" s="2" t="b">
        <f>NOT(ISERROR(MATCH(A81,Spice[Spice],0)))</f>
        <v>1</v>
      </c>
    </row>
    <row r="82" spans="1:10" x14ac:dyDescent="0.3">
      <c r="A82" s="45" t="s">
        <v>28</v>
      </c>
      <c r="B82" s="46">
        <f t="shared" ref="B82:G82" si="13">0*$H82</f>
        <v>0</v>
      </c>
      <c r="C82" s="46">
        <f t="shared" si="13"/>
        <v>0</v>
      </c>
      <c r="D82" s="46">
        <f t="shared" si="13"/>
        <v>0</v>
      </c>
      <c r="E82" s="46">
        <f t="shared" si="13"/>
        <v>0</v>
      </c>
      <c r="F82" s="46">
        <f t="shared" si="13"/>
        <v>0</v>
      </c>
      <c r="G82" s="46">
        <f t="shared" si="13"/>
        <v>0</v>
      </c>
      <c r="H82" s="47">
        <v>1</v>
      </c>
      <c r="J82" s="2" t="b">
        <f>NOT(ISERROR(MATCH(A82,Spice[Spice],0)))</f>
        <v>1</v>
      </c>
    </row>
    <row r="83" spans="1:10" x14ac:dyDescent="0.3">
      <c r="A83" s="41" t="s">
        <v>29</v>
      </c>
      <c r="B83" s="32">
        <f>2.5*$H83</f>
        <v>0</v>
      </c>
      <c r="C83" s="32">
        <f>0.6*$H83</f>
        <v>0</v>
      </c>
      <c r="D83" s="32">
        <f>0.1*$H83</f>
        <v>0</v>
      </c>
      <c r="E83" s="32">
        <f>0.1*$H83</f>
        <v>0</v>
      </c>
      <c r="F83" s="32">
        <f>0.3*$H83</f>
        <v>0</v>
      </c>
      <c r="G83" s="32">
        <f>0*$H83</f>
        <v>0</v>
      </c>
      <c r="H83" s="42"/>
      <c r="J83" s="2" t="b">
        <f>NOT(ISERROR(MATCH(A83,Spice[Spice],0)))</f>
        <v>1</v>
      </c>
    </row>
    <row r="84" spans="1:10" x14ac:dyDescent="0.3">
      <c r="A84" s="41" t="s">
        <v>30</v>
      </c>
      <c r="B84" s="32">
        <f>4*$H84</f>
        <v>0</v>
      </c>
      <c r="C84" s="32">
        <f>1*$H84</f>
        <v>0</v>
      </c>
      <c r="D84" s="32">
        <f t="shared" ref="D84:F85" si="14">0*$H84</f>
        <v>0</v>
      </c>
      <c r="E84" s="32">
        <f t="shared" si="14"/>
        <v>0</v>
      </c>
      <c r="F84" s="32">
        <f t="shared" si="14"/>
        <v>0</v>
      </c>
      <c r="G84" s="32">
        <f>0*$H84</f>
        <v>0</v>
      </c>
      <c r="H84" s="42"/>
      <c r="J84" s="2" t="b">
        <f>NOT(ISERROR(MATCH(A84,Spice[Spice],0)))</f>
        <v>1</v>
      </c>
    </row>
    <row r="85" spans="1:10" x14ac:dyDescent="0.3">
      <c r="A85" s="41" t="s">
        <v>31</v>
      </c>
      <c r="B85" s="32">
        <f>0*$H85</f>
        <v>0</v>
      </c>
      <c r="C85" s="32">
        <f>0*$H85</f>
        <v>0</v>
      </c>
      <c r="D85" s="32">
        <f t="shared" si="14"/>
        <v>0</v>
      </c>
      <c r="E85" s="32">
        <f t="shared" si="14"/>
        <v>0</v>
      </c>
      <c r="F85" s="32">
        <f t="shared" si="14"/>
        <v>0</v>
      </c>
      <c r="G85" s="32">
        <f>0*$H85</f>
        <v>0</v>
      </c>
      <c r="H85" s="42"/>
      <c r="J85" s="2" t="b">
        <f>NOT(ISERROR(MATCH(A85,Spice[Spice],0)))</f>
        <v>1</v>
      </c>
    </row>
    <row r="86" spans="1:10" x14ac:dyDescent="0.3">
      <c r="A86" s="41" t="s">
        <v>32</v>
      </c>
      <c r="B86" s="32">
        <f>8*$H86</f>
        <v>0</v>
      </c>
      <c r="C86" s="32">
        <f>1.43*$H86</f>
        <v>0</v>
      </c>
      <c r="D86" s="32">
        <f>0.22*$H86</f>
        <v>0</v>
      </c>
      <c r="E86" s="32">
        <f>0.17*$H86</f>
        <v>0</v>
      </c>
      <c r="F86" s="32">
        <f>0.5*$H86</f>
        <v>0</v>
      </c>
      <c r="G86" s="32">
        <f>0*$H86</f>
        <v>0</v>
      </c>
      <c r="H86" s="42"/>
      <c r="J86" s="2" t="b">
        <f>NOT(ISERROR(MATCH(A86,Spice[Spice],0)))</f>
        <v>1</v>
      </c>
    </row>
    <row r="87" spans="1:10" x14ac:dyDescent="0.3">
      <c r="A87" s="41" t="s">
        <v>33</v>
      </c>
      <c r="B87" s="32">
        <f>7.1*$H87</f>
        <v>0</v>
      </c>
      <c r="C87" s="32">
        <f>1.6*$H87</f>
        <v>0</v>
      </c>
      <c r="D87" s="32">
        <f>0.1*$H87</f>
        <v>0</v>
      </c>
      <c r="E87" s="32">
        <f>0.3*$H87</f>
        <v>0</v>
      </c>
      <c r="F87" s="32">
        <f>0.6*$H87</f>
        <v>0</v>
      </c>
      <c r="G87" s="32">
        <f>0*$H87</f>
        <v>0</v>
      </c>
      <c r="H87" s="42"/>
      <c r="J87" s="2" t="b">
        <f>NOT(ISERROR(MATCH(A87,Spice[Spice],0)))</f>
        <v>1</v>
      </c>
    </row>
    <row r="88" spans="1:10" x14ac:dyDescent="0.3">
      <c r="A88" s="41" t="s">
        <v>34</v>
      </c>
      <c r="B88" s="32">
        <f>SUBTOTAL(109,Table2734353640[Calories])</f>
        <v>81.8</v>
      </c>
      <c r="C88" s="32">
        <f>SUBTOTAL(109,Table2734353640[Carbs])</f>
        <v>15.200000000000001</v>
      </c>
      <c r="D88" s="32">
        <f>SUBTOTAL(109,Table2734353640[Fat])</f>
        <v>0.7</v>
      </c>
      <c r="E88" s="32">
        <f>SUBTOTAL(109,Table2734353640[Protein])</f>
        <v>1.2999999999999998</v>
      </c>
      <c r="F88" s="32">
        <f>SUBTOTAL(109,Table2734353640[Fiber])</f>
        <v>2.5</v>
      </c>
      <c r="G88" s="32">
        <f>SUBTOTAL(109,Table2734353640[Sugar])</f>
        <v>0.5</v>
      </c>
      <c r="H88" s="42">
        <f>SUBTOTAL(109,Table2734353640[Serving by TSP])</f>
        <v>7</v>
      </c>
    </row>
  </sheetData>
  <phoneticPr fontId="4" type="noConversion"/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8CDA-1189-4D71-B4BB-97DBE2186186}">
  <sheetPr codeName="Sheet11"/>
  <dimension ref="A1:J64"/>
  <sheetViews>
    <sheetView zoomScaleNormal="100" workbookViewId="0"/>
  </sheetViews>
  <sheetFormatPr defaultColWidth="15.7109375" defaultRowHeight="18.75" x14ac:dyDescent="0.3"/>
  <cols>
    <col min="1" max="1" width="34" style="2" customWidth="1"/>
    <col min="2" max="2" width="18.85546875" style="2" customWidth="1"/>
    <col min="3" max="7" width="9.140625" style="2"/>
    <col min="8" max="8" width="21.140625" style="2" customWidth="1"/>
    <col min="9" max="9" width="21.85546875" style="2" customWidth="1"/>
    <col min="10" max="10" width="10.28515625" style="2" customWidth="1"/>
    <col min="11" max="16384" width="15.7109375" style="2"/>
  </cols>
  <sheetData>
    <row r="1" spans="1:10" ht="20.100000000000001" customHeight="1" x14ac:dyDescent="0.3">
      <c r="A1" s="2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ht="20.100000000000001" customHeight="1" x14ac:dyDescent="0.3">
      <c r="A2" s="42" t="s">
        <v>209</v>
      </c>
      <c r="B2" s="32">
        <f>140*H2</f>
        <v>0</v>
      </c>
      <c r="C2" s="32">
        <f>0*H2</f>
        <v>0</v>
      </c>
      <c r="D2" s="32">
        <f>7*H2</f>
        <v>0</v>
      </c>
      <c r="E2" s="32">
        <f>17.5*H2</f>
        <v>0</v>
      </c>
      <c r="F2" s="32">
        <f>0*H2</f>
        <v>0</v>
      </c>
      <c r="G2" s="32">
        <f>0*H2</f>
        <v>0</v>
      </c>
      <c r="H2" s="32"/>
      <c r="I2" s="69" t="s">
        <v>210</v>
      </c>
      <c r="J2" s="72" t="b">
        <f>NOT(ISERROR(MATCH(A2,Index[Item],0)))</f>
        <v>1</v>
      </c>
    </row>
    <row r="3" spans="1:10" ht="34.5" customHeight="1" x14ac:dyDescent="0.3">
      <c r="A3" s="42" t="s">
        <v>211</v>
      </c>
      <c r="B3" s="32">
        <f>61.7*H3</f>
        <v>0</v>
      </c>
      <c r="C3" s="32">
        <f>0*H3</f>
        <v>0</v>
      </c>
      <c r="D3" s="32">
        <f>3.3*H3</f>
        <v>0</v>
      </c>
      <c r="E3" s="32">
        <f>7.3*H3</f>
        <v>0</v>
      </c>
      <c r="F3" s="32">
        <f>0*H3</f>
        <v>0</v>
      </c>
      <c r="G3" s="32">
        <f>0*H3</f>
        <v>0</v>
      </c>
      <c r="H3" s="32"/>
      <c r="I3" s="69" t="s">
        <v>212</v>
      </c>
      <c r="J3" s="32" t="b">
        <f>NOT(ISERROR(MATCH(A3,Index[Item],0)))</f>
        <v>1</v>
      </c>
    </row>
    <row r="4" spans="1:10" ht="34.5" customHeight="1" x14ac:dyDescent="0.3">
      <c r="A4" s="42" t="s">
        <v>558</v>
      </c>
      <c r="B4" s="32">
        <f>220*H4</f>
        <v>3080</v>
      </c>
      <c r="C4" s="32">
        <f>0*H4</f>
        <v>0</v>
      </c>
      <c r="D4" s="32">
        <f>14*H4</f>
        <v>196</v>
      </c>
      <c r="E4" s="32">
        <f>22*H4</f>
        <v>308</v>
      </c>
      <c r="F4" s="32">
        <f>0*H4</f>
        <v>0</v>
      </c>
      <c r="G4" s="32">
        <f>0*H4</f>
        <v>0</v>
      </c>
      <c r="H4" s="32">
        <f>(3.5*16)/4</f>
        <v>14</v>
      </c>
      <c r="I4" s="69" t="s">
        <v>559</v>
      </c>
      <c r="J4" s="32" t="b">
        <f>NOT(ISERROR(MATCH(A4,Index[Item],0)))</f>
        <v>1</v>
      </c>
    </row>
    <row r="5" spans="1:10" ht="20.100000000000001" customHeight="1" x14ac:dyDescent="0.3">
      <c r="A5" s="41" t="s">
        <v>235</v>
      </c>
      <c r="B5" s="32">
        <f>160*$H5</f>
        <v>0</v>
      </c>
      <c r="C5" s="32">
        <f>36*$H5</f>
        <v>0</v>
      </c>
      <c r="D5" s="32">
        <f>0*$H5</f>
        <v>0</v>
      </c>
      <c r="E5" s="32">
        <f>3*$H5</f>
        <v>0</v>
      </c>
      <c r="F5" s="32">
        <f>1*$H5</f>
        <v>0</v>
      </c>
      <c r="G5" s="32">
        <f>1*$H5</f>
        <v>0</v>
      </c>
      <c r="H5" s="32"/>
      <c r="I5" s="69" t="s">
        <v>236</v>
      </c>
      <c r="J5" s="32" t="b">
        <f>NOT(ISERROR(MATCH(A5,Index[Item],0)))</f>
        <v>1</v>
      </c>
    </row>
    <row r="6" spans="1:10" ht="20.100000000000001" customHeight="1" x14ac:dyDescent="0.3">
      <c r="A6" s="41" t="s">
        <v>237</v>
      </c>
      <c r="B6" s="32">
        <f>160*$H6</f>
        <v>0</v>
      </c>
      <c r="C6" s="32">
        <f>35*$H6</f>
        <v>0</v>
      </c>
      <c r="D6" s="32">
        <f>0*$H6</f>
        <v>0</v>
      </c>
      <c r="E6" s="32">
        <f>3*$H6</f>
        <v>0</v>
      </c>
      <c r="F6" s="32">
        <f>0*$H6</f>
        <v>0</v>
      </c>
      <c r="G6" s="32">
        <f>0*$H6</f>
        <v>0</v>
      </c>
      <c r="H6" s="32"/>
      <c r="I6" s="69" t="s">
        <v>236</v>
      </c>
      <c r="J6" s="32" t="b">
        <f>NOT(ISERROR(MATCH(A6,Index[Item],0)))</f>
        <v>1</v>
      </c>
    </row>
    <row r="7" spans="1:10" x14ac:dyDescent="0.3">
      <c r="A7" s="41" t="s">
        <v>239</v>
      </c>
      <c r="B7" s="32">
        <f>160*$H7</f>
        <v>0</v>
      </c>
      <c r="C7" s="32">
        <f>34*$H7</f>
        <v>0</v>
      </c>
      <c r="D7" s="32">
        <f>1*$H7</f>
        <v>0</v>
      </c>
      <c r="E7" s="32">
        <f>3*$H7</f>
        <v>0</v>
      </c>
      <c r="F7" s="32">
        <f>1*$H7</f>
        <v>0</v>
      </c>
      <c r="G7" s="32">
        <f>0*$H7</f>
        <v>0</v>
      </c>
      <c r="H7" s="32"/>
      <c r="I7" s="69" t="s">
        <v>236</v>
      </c>
      <c r="J7" s="32" t="b">
        <f>NOT(ISERROR(MATCH(A7,Index[Item],0)))</f>
        <v>1</v>
      </c>
    </row>
    <row r="8" spans="1:10" x14ac:dyDescent="0.3">
      <c r="A8" s="41" t="s">
        <v>238</v>
      </c>
      <c r="B8" s="32">
        <f>160*$H8</f>
        <v>0</v>
      </c>
      <c r="C8" s="32">
        <f>36*$H8</f>
        <v>0</v>
      </c>
      <c r="D8" s="32">
        <f>0*$H8</f>
        <v>0</v>
      </c>
      <c r="E8" s="32">
        <f>3*$H8</f>
        <v>0</v>
      </c>
      <c r="F8" s="32">
        <f>0*$H8</f>
        <v>0</v>
      </c>
      <c r="G8" s="32">
        <f>0*$H8</f>
        <v>0</v>
      </c>
      <c r="H8" s="32"/>
      <c r="I8" s="69" t="s">
        <v>236</v>
      </c>
      <c r="J8" s="32" t="b">
        <f>NOT(ISERROR(MATCH(A8,Index[Item],0)))</f>
        <v>1</v>
      </c>
    </row>
    <row r="9" spans="1:10" ht="20.100000000000001" customHeight="1" x14ac:dyDescent="0.3">
      <c r="A9" s="41" t="s">
        <v>240</v>
      </c>
      <c r="B9" s="32">
        <f>160*$H9</f>
        <v>0</v>
      </c>
      <c r="C9" s="32">
        <f>36*$H9</f>
        <v>0</v>
      </c>
      <c r="D9" s="32">
        <f>0*$H9</f>
        <v>0</v>
      </c>
      <c r="E9" s="32">
        <f>3*$H9</f>
        <v>0</v>
      </c>
      <c r="F9" s="32">
        <f>1*$H9</f>
        <v>0</v>
      </c>
      <c r="G9" s="32">
        <f>0*$H9</f>
        <v>0</v>
      </c>
      <c r="H9" s="32"/>
      <c r="I9" s="69" t="s">
        <v>236</v>
      </c>
      <c r="J9" s="32" t="b">
        <f>NOT(ISERROR(MATCH(A9,Index[Item],0)))</f>
        <v>1</v>
      </c>
    </row>
    <row r="10" spans="1:10" ht="19.5" customHeight="1" x14ac:dyDescent="0.3">
      <c r="A10" s="41" t="s">
        <v>543</v>
      </c>
      <c r="B10" s="32">
        <f>28*$H10</f>
        <v>0</v>
      </c>
      <c r="C10" s="32">
        <f>6.7*$H10</f>
        <v>0</v>
      </c>
      <c r="D10" s="32">
        <f t="shared" ref="D10:D15" si="0">0.2*$H10</f>
        <v>0</v>
      </c>
      <c r="E10" s="32">
        <f>1.9*$H10</f>
        <v>0</v>
      </c>
      <c r="F10" s="32">
        <f>1.2*$H10</f>
        <v>0</v>
      </c>
      <c r="G10" s="32">
        <f>3.2*$H10</f>
        <v>0</v>
      </c>
      <c r="H10" s="32"/>
      <c r="I10" s="69" t="s">
        <v>96</v>
      </c>
      <c r="J10" s="32" t="b">
        <f>NOT(ISERROR(MATCH(A10,Index[Item],0)))</f>
        <v>1</v>
      </c>
    </row>
    <row r="11" spans="1:10" ht="19.5" customHeight="1" x14ac:dyDescent="0.3">
      <c r="A11" s="41" t="s">
        <v>99</v>
      </c>
      <c r="B11" s="32">
        <f>27*$H11</f>
        <v>0</v>
      </c>
      <c r="C11" s="32">
        <f>6.3*$H11</f>
        <v>0</v>
      </c>
      <c r="D11" s="32">
        <f t="shared" si="0"/>
        <v>0</v>
      </c>
      <c r="E11" s="32">
        <f>1*$H11</f>
        <v>0</v>
      </c>
      <c r="F11" s="32">
        <f>0.9*$H11</f>
        <v>0</v>
      </c>
      <c r="G11" s="32">
        <f>0*$H11</f>
        <v>0</v>
      </c>
      <c r="H11" s="32"/>
      <c r="I11" s="69" t="s">
        <v>96</v>
      </c>
      <c r="J11" s="32" t="b">
        <f>NOT(ISERROR(MATCH(A11,Index[Item],0)))</f>
        <v>1</v>
      </c>
    </row>
    <row r="12" spans="1:10" ht="19.5" customHeight="1" x14ac:dyDescent="0.3">
      <c r="A12" s="41" t="s">
        <v>27</v>
      </c>
      <c r="B12" s="32">
        <f>28*$H12</f>
        <v>0</v>
      </c>
      <c r="C12" s="32">
        <f>6.7*$H12</f>
        <v>0</v>
      </c>
      <c r="D12" s="32">
        <f t="shared" si="0"/>
        <v>0</v>
      </c>
      <c r="E12" s="32">
        <f>0.9*$H12</f>
        <v>0</v>
      </c>
      <c r="F12" s="32">
        <f>1.2*$H12</f>
        <v>0</v>
      </c>
      <c r="G12" s="32">
        <f>4.4*$H12</f>
        <v>0</v>
      </c>
      <c r="H12" s="32"/>
      <c r="I12" s="69" t="s">
        <v>96</v>
      </c>
      <c r="J12" s="32" t="b">
        <f>NOT(ISERROR(MATCH(A12,Index[Item],0)))</f>
        <v>1</v>
      </c>
    </row>
    <row r="13" spans="1:10" ht="20.100000000000001" customHeight="1" x14ac:dyDescent="0.3">
      <c r="A13" s="41" t="s">
        <v>98</v>
      </c>
      <c r="B13" s="32">
        <f>28*$H13</f>
        <v>0</v>
      </c>
      <c r="C13" s="32">
        <f>6.7*$H13</f>
        <v>0</v>
      </c>
      <c r="D13" s="32">
        <f t="shared" si="0"/>
        <v>0</v>
      </c>
      <c r="E13" s="32">
        <f>0.9*$H13</f>
        <v>0</v>
      </c>
      <c r="F13" s="32">
        <f>1.2*$H13</f>
        <v>0</v>
      </c>
      <c r="G13" s="32">
        <f>4.4*$H13</f>
        <v>0</v>
      </c>
      <c r="H13" s="32"/>
      <c r="I13" s="69" t="s">
        <v>96</v>
      </c>
      <c r="J13" s="32" t="b">
        <f>NOT(ISERROR(MATCH(A13,Index[Item],0)))</f>
        <v>1</v>
      </c>
    </row>
    <row r="14" spans="1:10" ht="20.100000000000001" customHeight="1" x14ac:dyDescent="0.3">
      <c r="A14" s="41" t="s">
        <v>102</v>
      </c>
      <c r="B14" s="32">
        <f>44*$H14</f>
        <v>0</v>
      </c>
      <c r="C14" s="32">
        <f>10*$H14</f>
        <v>0</v>
      </c>
      <c r="D14" s="32">
        <f t="shared" si="0"/>
        <v>0</v>
      </c>
      <c r="E14" s="32">
        <f>1.4*$H14</f>
        <v>0</v>
      </c>
      <c r="F14" s="32">
        <f>1.4*$H14</f>
        <v>0</v>
      </c>
      <c r="G14" s="32">
        <f>4.7*$H14</f>
        <v>0</v>
      </c>
      <c r="H14" s="32"/>
      <c r="I14" s="69" t="s">
        <v>96</v>
      </c>
      <c r="J14" s="32" t="b">
        <f>NOT(ISERROR(MATCH(A14,Index[Item],0)))</f>
        <v>1</v>
      </c>
    </row>
    <row r="15" spans="1:10" ht="20.100000000000001" customHeight="1" x14ac:dyDescent="0.3">
      <c r="A15" s="41" t="s">
        <v>95</v>
      </c>
      <c r="B15" s="32">
        <f>32*$H15</f>
        <v>0</v>
      </c>
      <c r="C15" s="32">
        <f>7.3*$H15</f>
        <v>0</v>
      </c>
      <c r="D15" s="32">
        <f t="shared" si="0"/>
        <v>0</v>
      </c>
      <c r="E15" s="32">
        <f>1.8*$H15</f>
        <v>0</v>
      </c>
      <c r="F15" s="32">
        <f>2.7*$H15</f>
        <v>0</v>
      </c>
      <c r="G15" s="32">
        <f>2.3*$H15</f>
        <v>0</v>
      </c>
      <c r="H15" s="32"/>
      <c r="I15" s="69" t="s">
        <v>96</v>
      </c>
      <c r="J15" s="32" t="b">
        <f>NOT(ISERROR(MATCH(A15,Index[Item],0)))</f>
        <v>1</v>
      </c>
    </row>
    <row r="16" spans="1:10" ht="20.100000000000001" customHeight="1" x14ac:dyDescent="0.3">
      <c r="A16" s="41" t="s">
        <v>100</v>
      </c>
      <c r="B16" s="32">
        <f>27*$H16</f>
        <v>0</v>
      </c>
      <c r="C16" s="32">
        <f>5.4*$H16</f>
        <v>0</v>
      </c>
      <c r="D16" s="32">
        <f>0.5*$H16</f>
        <v>0</v>
      </c>
      <c r="E16" s="32">
        <f>1.7*$H16</f>
        <v>0</v>
      </c>
      <c r="F16" s="32">
        <f>3.4*$H16</f>
        <v>0</v>
      </c>
      <c r="G16" s="32">
        <f>2*$H16</f>
        <v>0</v>
      </c>
      <c r="H16" s="32"/>
      <c r="I16" s="69" t="s">
        <v>96</v>
      </c>
      <c r="J16" s="32" t="b">
        <f>NOT(ISERROR(MATCH(A16,Index[Item],0)))</f>
        <v>1</v>
      </c>
    </row>
    <row r="17" spans="1:10" ht="20.100000000000001" customHeight="1" x14ac:dyDescent="0.3">
      <c r="A17" s="41" t="s">
        <v>101</v>
      </c>
      <c r="B17" s="32">
        <f>29*$H17</f>
        <v>0</v>
      </c>
      <c r="C17" s="32">
        <f>6.5*$H17</f>
        <v>0</v>
      </c>
      <c r="D17" s="32">
        <f>0.4*$H17</f>
        <v>0</v>
      </c>
      <c r="E17" s="32">
        <f>0.9*$H17</f>
        <v>0</v>
      </c>
      <c r="F17" s="32">
        <f>2.8*$H17</f>
        <v>0</v>
      </c>
      <c r="G17" s="32">
        <f>4.1*$H17</f>
        <v>0</v>
      </c>
      <c r="H17" s="32"/>
      <c r="I17" s="69" t="s">
        <v>96</v>
      </c>
      <c r="J17" s="32" t="b">
        <f>NOT(ISERROR(MATCH(A17,Index[Item],0)))</f>
        <v>1</v>
      </c>
    </row>
    <row r="18" spans="1:10" ht="20.100000000000001" customHeight="1" x14ac:dyDescent="0.3">
      <c r="A18" s="41" t="s">
        <v>110</v>
      </c>
      <c r="B18" s="32">
        <f>18*$H18</f>
        <v>0</v>
      </c>
      <c r="C18" s="32">
        <f>4*$H18</f>
        <v>0</v>
      </c>
      <c r="D18" s="32">
        <f>0.2*$H18</f>
        <v>0</v>
      </c>
      <c r="E18" s="32">
        <f>0.8*$H18</f>
        <v>0</v>
      </c>
      <c r="F18" s="32">
        <f>1.6*$H18</f>
        <v>0</v>
      </c>
      <c r="G18" s="32">
        <f>2.4*$H18</f>
        <v>0</v>
      </c>
      <c r="H18" s="32"/>
      <c r="I18" s="69" t="s">
        <v>96</v>
      </c>
      <c r="J18" s="32" t="b">
        <f>NOT(ISERROR(MATCH(A18,Index[Item],0)))</f>
        <v>1</v>
      </c>
    </row>
    <row r="19" spans="1:10" ht="20.100000000000001" customHeight="1" x14ac:dyDescent="0.3">
      <c r="A19" s="41" t="s">
        <v>108</v>
      </c>
      <c r="B19" s="32">
        <f>34*$H19</f>
        <v>0</v>
      </c>
      <c r="C19" s="32">
        <f>6.6*$H19</f>
        <v>0</v>
      </c>
      <c r="D19" s="32">
        <f>0.4*$H19</f>
        <v>0</v>
      </c>
      <c r="E19" s="32">
        <f>2.8*$H19</f>
        <v>0</v>
      </c>
      <c r="F19" s="32">
        <f>2.6*$H19</f>
        <v>0</v>
      </c>
      <c r="G19" s="32">
        <f>1.7*$H19</f>
        <v>0</v>
      </c>
      <c r="H19" s="32"/>
      <c r="I19" s="69" t="s">
        <v>96</v>
      </c>
      <c r="J19" s="32" t="b">
        <f>NOT(ISERROR(MATCH(A19,Index[Item],0)))</f>
        <v>1</v>
      </c>
    </row>
    <row r="20" spans="1:10" ht="20.100000000000001" customHeight="1" x14ac:dyDescent="0.3">
      <c r="A20" s="41" t="s">
        <v>109</v>
      </c>
      <c r="B20" s="32">
        <f>35*$H20</f>
        <v>0</v>
      </c>
      <c r="C20" s="32">
        <f>7.9*$H20</f>
        <v>0</v>
      </c>
      <c r="D20" s="32">
        <f>0.3*$H20</f>
        <v>0</v>
      </c>
      <c r="E20" s="32">
        <f>1.9*$H20</f>
        <v>0</v>
      </c>
      <c r="F20" s="32">
        <f>3.2*$H20</f>
        <v>0</v>
      </c>
      <c r="G20" s="32">
        <f>3.6*$H20</f>
        <v>0</v>
      </c>
      <c r="H20" s="32"/>
      <c r="I20" s="69" t="s">
        <v>96</v>
      </c>
      <c r="J20" s="32" t="b">
        <f>NOT(ISERROR(MATCH(A20,Index[Item],0)))</f>
        <v>1</v>
      </c>
    </row>
    <row r="21" spans="1:10" ht="20.100000000000001" customHeight="1" x14ac:dyDescent="0.3">
      <c r="A21" s="41" t="s">
        <v>119</v>
      </c>
      <c r="B21" s="32">
        <f>60*$H21</f>
        <v>0</v>
      </c>
      <c r="C21" s="32">
        <f>11*$H21</f>
        <v>0</v>
      </c>
      <c r="D21" s="32">
        <f>0*$H21</f>
        <v>0</v>
      </c>
      <c r="E21" s="32">
        <f>2*$H21</f>
        <v>0</v>
      </c>
      <c r="F21" s="32">
        <f>3*$H21</f>
        <v>0</v>
      </c>
      <c r="G21" s="32">
        <f>4*$H21</f>
        <v>0</v>
      </c>
      <c r="H21" s="32"/>
      <c r="I21" s="69" t="s">
        <v>118</v>
      </c>
      <c r="J21" s="32" t="b">
        <f>NOT(ISERROR(MATCH(A21,Index[Item],0)))</f>
        <v>1</v>
      </c>
    </row>
    <row r="22" spans="1:10" ht="20.100000000000001" customHeight="1" x14ac:dyDescent="0.3">
      <c r="A22" s="41" t="s">
        <v>117</v>
      </c>
      <c r="B22" s="32">
        <f>50*$H22</f>
        <v>0</v>
      </c>
      <c r="C22" s="32">
        <f>10*$H22</f>
        <v>0</v>
      </c>
      <c r="D22" s="32">
        <f>0*$H22</f>
        <v>0</v>
      </c>
      <c r="E22" s="32">
        <f>3*$H22</f>
        <v>0</v>
      </c>
      <c r="F22" s="32">
        <f>3*$H22</f>
        <v>0</v>
      </c>
      <c r="G22" s="32">
        <f>4*$H22</f>
        <v>0</v>
      </c>
      <c r="H22" s="32"/>
      <c r="I22" s="69" t="s">
        <v>118</v>
      </c>
      <c r="J22" s="32" t="b">
        <f>NOT(ISERROR(MATCH(A22,Index[Item],0)))</f>
        <v>1</v>
      </c>
    </row>
    <row r="23" spans="1:10" ht="37.5" customHeight="1" x14ac:dyDescent="0.3">
      <c r="A23" s="41" t="s">
        <v>122</v>
      </c>
      <c r="B23" s="32">
        <f>40*$H23</f>
        <v>0</v>
      </c>
      <c r="C23" s="32">
        <f>8*$H23</f>
        <v>0</v>
      </c>
      <c r="D23" s="32">
        <f>0*$H23</f>
        <v>0</v>
      </c>
      <c r="E23" s="32">
        <f>1*$H23</f>
        <v>0</v>
      </c>
      <c r="F23" s="32">
        <f>2*$H23</f>
        <v>0</v>
      </c>
      <c r="G23" s="32">
        <f>3*$H23</f>
        <v>0</v>
      </c>
      <c r="H23" s="32"/>
      <c r="I23" s="69" t="s">
        <v>123</v>
      </c>
      <c r="J23" s="32" t="b">
        <f>NOT(ISERROR(MATCH(A23,Index[Item],0)))</f>
        <v>1</v>
      </c>
    </row>
    <row r="24" spans="1:10" ht="36" customHeight="1" x14ac:dyDescent="0.3">
      <c r="A24" s="41" t="s">
        <v>120</v>
      </c>
      <c r="B24" s="32">
        <f>35*$H24</f>
        <v>0</v>
      </c>
      <c r="C24" s="32">
        <f>5*$H24</f>
        <v>0</v>
      </c>
      <c r="D24" s="32">
        <f>0*$H24</f>
        <v>0</v>
      </c>
      <c r="E24" s="32">
        <f>1*$H24</f>
        <v>0</v>
      </c>
      <c r="F24" s="32">
        <f>2*$H24</f>
        <v>0</v>
      </c>
      <c r="G24" s="32">
        <f>3*$H24</f>
        <v>0</v>
      </c>
      <c r="H24" s="32"/>
      <c r="I24" s="69" t="s">
        <v>121</v>
      </c>
      <c r="J24" s="32" t="b">
        <f>NOT(ISERROR(MATCH(A24,Index[Item],0)))</f>
        <v>1</v>
      </c>
    </row>
    <row r="25" spans="1:10" ht="20.100000000000001" customHeight="1" x14ac:dyDescent="0.3">
      <c r="A25" s="41" t="s">
        <v>308</v>
      </c>
      <c r="B25" s="32">
        <f>60*$H25</f>
        <v>120</v>
      </c>
      <c r="C25" s="32">
        <f>17*$H25</f>
        <v>34</v>
      </c>
      <c r="D25" s="32">
        <f>0*$H25</f>
        <v>0</v>
      </c>
      <c r="E25" s="32">
        <f>0*$H25</f>
        <v>0</v>
      </c>
      <c r="F25" s="32">
        <f>0*$H25</f>
        <v>0</v>
      </c>
      <c r="G25" s="32">
        <f>17*$H25</f>
        <v>34</v>
      </c>
      <c r="H25" s="32">
        <v>2</v>
      </c>
      <c r="I25" s="69" t="s">
        <v>309</v>
      </c>
      <c r="J25" s="32" t="b">
        <f>NOT(ISERROR(MATCH(A25,Index[Item],0)))</f>
        <v>1</v>
      </c>
    </row>
    <row r="26" spans="1:10" ht="20.100000000000001" customHeight="1" x14ac:dyDescent="0.3">
      <c r="A26" s="41" t="s">
        <v>232</v>
      </c>
      <c r="B26" s="32">
        <f>72*$H26</f>
        <v>0</v>
      </c>
      <c r="C26" s="32">
        <f>0.4*$H26</f>
        <v>0</v>
      </c>
      <c r="D26" s="32">
        <f>4.8*$H26</f>
        <v>0</v>
      </c>
      <c r="E26" s="32">
        <f>6.3*$H26</f>
        <v>0</v>
      </c>
      <c r="F26" s="32">
        <f>0*$H26</f>
        <v>0</v>
      </c>
      <c r="G26" s="32">
        <f>0.2*$H26</f>
        <v>0</v>
      </c>
      <c r="H26" s="32"/>
      <c r="I26" s="69"/>
      <c r="J26" s="32" t="b">
        <f>NOT(ISERROR(MATCH(A26,Index[Item],0)))</f>
        <v>1</v>
      </c>
    </row>
    <row r="27" spans="1:10" ht="20.100000000000001" customHeight="1" x14ac:dyDescent="0.3">
      <c r="A27" s="41" t="s">
        <v>306</v>
      </c>
      <c r="B27" s="32">
        <f>60*$H27</f>
        <v>40.200000000000003</v>
      </c>
      <c r="C27" s="32">
        <f>16*$H27</f>
        <v>10.72</v>
      </c>
      <c r="D27" s="32">
        <f>0*$H27</f>
        <v>0</v>
      </c>
      <c r="E27" s="32">
        <f>0*$H27</f>
        <v>0</v>
      </c>
      <c r="F27" s="32">
        <f>1*$H27</f>
        <v>0.67</v>
      </c>
      <c r="G27" s="32">
        <f>15*$H27</f>
        <v>10.050000000000001</v>
      </c>
      <c r="H27" s="32">
        <v>0.67</v>
      </c>
      <c r="I27" s="69" t="s">
        <v>307</v>
      </c>
      <c r="J27" s="32" t="b">
        <f>NOT(ISERROR(MATCH(A27,Index[Item],0)))</f>
        <v>1</v>
      </c>
    </row>
    <row r="28" spans="1:10" ht="20.100000000000001" customHeight="1" x14ac:dyDescent="0.3">
      <c r="A28" s="41" t="s">
        <v>303</v>
      </c>
      <c r="B28" s="32">
        <f>30*$H28</f>
        <v>180</v>
      </c>
      <c r="C28" s="32">
        <f>0*$H28</f>
        <v>0</v>
      </c>
      <c r="D28" s="32">
        <f>0*$H28</f>
        <v>0</v>
      </c>
      <c r="E28" s="32">
        <f>0*$H28</f>
        <v>0</v>
      </c>
      <c r="F28" s="32">
        <f t="shared" ref="F28:F35" si="1">0*$H28</f>
        <v>0</v>
      </c>
      <c r="G28" s="32">
        <f>8*$H28</f>
        <v>48</v>
      </c>
      <c r="H28" s="32">
        <v>6</v>
      </c>
      <c r="I28" s="69" t="s">
        <v>304</v>
      </c>
      <c r="J28" s="32" t="b">
        <f>NOT(ISERROR(MATCH(A28,Index[Item],0)))</f>
        <v>1</v>
      </c>
    </row>
    <row r="29" spans="1:10" ht="20.100000000000001" customHeight="1" x14ac:dyDescent="0.3">
      <c r="A29" s="41" t="s">
        <v>318</v>
      </c>
      <c r="B29" s="32">
        <f>10*$H29</f>
        <v>3.3000000000000003</v>
      </c>
      <c r="C29" s="32">
        <f>1*$H29</f>
        <v>0.33</v>
      </c>
      <c r="D29" s="32">
        <f>0*$H29</f>
        <v>0</v>
      </c>
      <c r="E29" s="32">
        <f>1*$H29</f>
        <v>0.33</v>
      </c>
      <c r="F29" s="32">
        <f t="shared" si="1"/>
        <v>0</v>
      </c>
      <c r="G29" s="32">
        <f>0*$H29</f>
        <v>0</v>
      </c>
      <c r="H29" s="32">
        <v>0.33</v>
      </c>
      <c r="I29" s="69" t="s">
        <v>307</v>
      </c>
      <c r="J29" s="32" t="b">
        <f>NOT(ISERROR(MATCH(A29,Index[Item],0)))</f>
        <v>1</v>
      </c>
    </row>
    <row r="30" spans="1:10" ht="20.100000000000001" customHeight="1" x14ac:dyDescent="0.3">
      <c r="A30" s="41" t="s">
        <v>310</v>
      </c>
      <c r="B30" s="32">
        <f>25*$H30</f>
        <v>0</v>
      </c>
      <c r="C30" s="32">
        <f>5*$H30</f>
        <v>0</v>
      </c>
      <c r="D30" s="32">
        <f>0*$H30</f>
        <v>0</v>
      </c>
      <c r="E30" s="32">
        <f>0.5*$H30</f>
        <v>0</v>
      </c>
      <c r="F30" s="32">
        <f t="shared" si="1"/>
        <v>0</v>
      </c>
      <c r="G30" s="32">
        <f>3*$H30</f>
        <v>0</v>
      </c>
      <c r="H30" s="32"/>
      <c r="I30" s="69" t="s">
        <v>307</v>
      </c>
      <c r="J30" s="32" t="b">
        <f>NOT(ISERROR(MATCH(A30,Index[Item],0)))</f>
        <v>1</v>
      </c>
    </row>
    <row r="31" spans="1:10" ht="20.100000000000001" customHeight="1" x14ac:dyDescent="0.3">
      <c r="A31" s="41" t="s">
        <v>314</v>
      </c>
      <c r="B31" s="32">
        <f>90*$H31</f>
        <v>45</v>
      </c>
      <c r="C31" s="32">
        <f>20*$H31</f>
        <v>10</v>
      </c>
      <c r="D31" s="32">
        <f>1*$H31</f>
        <v>0.5</v>
      </c>
      <c r="E31" s="32">
        <f>0*$H31</f>
        <v>0</v>
      </c>
      <c r="F31" s="32">
        <f>0*$H31</f>
        <v>0</v>
      </c>
      <c r="G31" s="32">
        <f>18*$H31</f>
        <v>9</v>
      </c>
      <c r="H31" s="32">
        <v>0.5</v>
      </c>
      <c r="I31" s="69" t="s">
        <v>315</v>
      </c>
      <c r="J31" s="32" t="b">
        <f>NOT(ISERROR(MATCH(A31,Index[Item],0)))</f>
        <v>1</v>
      </c>
    </row>
    <row r="32" spans="1:10" ht="20.100000000000001" customHeight="1" x14ac:dyDescent="0.3">
      <c r="A32" s="42" t="s">
        <v>289</v>
      </c>
      <c r="B32" s="32">
        <f>40*$H32</f>
        <v>0</v>
      </c>
      <c r="C32" s="32">
        <f>11*$H32</f>
        <v>0</v>
      </c>
      <c r="D32" s="32">
        <f>0*$H32</f>
        <v>0</v>
      </c>
      <c r="E32" s="32">
        <f>0*$H32</f>
        <v>0</v>
      </c>
      <c r="F32" s="32">
        <f t="shared" si="1"/>
        <v>0</v>
      </c>
      <c r="G32" s="32">
        <f>11*$H32</f>
        <v>0</v>
      </c>
      <c r="H32" s="32"/>
      <c r="I32" s="42" t="s">
        <v>290</v>
      </c>
      <c r="J32" s="32" t="b">
        <f>NOT(ISERROR(MATCH(A32,Index[Item],0)))</f>
        <v>1</v>
      </c>
    </row>
    <row r="33" spans="1:10" ht="20.100000000000001" customHeight="1" x14ac:dyDescent="0.3">
      <c r="A33" s="42" t="s">
        <v>311</v>
      </c>
      <c r="B33" s="32">
        <f>32*$H33</f>
        <v>16</v>
      </c>
      <c r="C33" s="32">
        <f>0*$H33</f>
        <v>0</v>
      </c>
      <c r="D33" s="32">
        <f>0*$H33</f>
        <v>0</v>
      </c>
      <c r="E33" s="32">
        <f>0*$H33</f>
        <v>0</v>
      </c>
      <c r="F33" s="32">
        <f t="shared" si="1"/>
        <v>0</v>
      </c>
      <c r="G33" s="32">
        <f>0*$H33</f>
        <v>0</v>
      </c>
      <c r="H33" s="32">
        <v>0.5</v>
      </c>
      <c r="I33" s="69" t="s">
        <v>312</v>
      </c>
      <c r="J33" s="32" t="b">
        <f>NOT(ISERROR(MATCH(A33,Index[Item],0)))</f>
        <v>1</v>
      </c>
    </row>
    <row r="34" spans="1:10" ht="20.100000000000001" customHeight="1" x14ac:dyDescent="0.3">
      <c r="A34" s="41" t="s">
        <v>338</v>
      </c>
      <c r="B34" s="32">
        <f>120*$H34</f>
        <v>39.6</v>
      </c>
      <c r="C34" s="32">
        <f>0*$H34</f>
        <v>0</v>
      </c>
      <c r="D34" s="32">
        <f>14*$H34</f>
        <v>4.62</v>
      </c>
      <c r="E34" s="32">
        <f>0*$H34</f>
        <v>0</v>
      </c>
      <c r="F34" s="32">
        <f t="shared" si="1"/>
        <v>0</v>
      </c>
      <c r="G34" s="32">
        <f>0*$H34</f>
        <v>0</v>
      </c>
      <c r="H34" s="32">
        <v>0.33</v>
      </c>
      <c r="I34" s="69" t="s">
        <v>307</v>
      </c>
      <c r="J34" s="32" t="b">
        <f>NOT(ISERROR(MATCH(A34,Index[Item],0)))</f>
        <v>1</v>
      </c>
    </row>
    <row r="35" spans="1:10" ht="39" customHeight="1" x14ac:dyDescent="0.3">
      <c r="A35" s="41" t="s">
        <v>317</v>
      </c>
      <c r="B35" s="32">
        <f>120*$H35</f>
        <v>0</v>
      </c>
      <c r="C35" s="32">
        <f>0*$H35</f>
        <v>0</v>
      </c>
      <c r="D35" s="32">
        <f>14*$H35</f>
        <v>0</v>
      </c>
      <c r="E35" s="32">
        <f>0*$H35</f>
        <v>0</v>
      </c>
      <c r="F35" s="32">
        <f t="shared" si="1"/>
        <v>0</v>
      </c>
      <c r="G35" s="32">
        <f>0*$H35</f>
        <v>0</v>
      </c>
      <c r="H35" s="32"/>
      <c r="I35" s="69" t="s">
        <v>307</v>
      </c>
      <c r="J35" s="32" t="b">
        <f>NOT(ISERROR(MATCH(A35,Index[Item],0)))</f>
        <v>1</v>
      </c>
    </row>
    <row r="36" spans="1:10" ht="20.100000000000001" customHeight="1" x14ac:dyDescent="0.3">
      <c r="A36" s="42" t="s">
        <v>481</v>
      </c>
      <c r="B36" s="32">
        <f>Table2819[[#Totals],[Calories]]</f>
        <v>70.099999999999994</v>
      </c>
      <c r="C36" s="32">
        <f>Table2819[[#Totals],[Carbs]]</f>
        <v>12.6</v>
      </c>
      <c r="D36" s="32">
        <f>Table2819[[#Totals],[Fat]]</f>
        <v>0.1</v>
      </c>
      <c r="E36" s="32">
        <f>Table2819[[#Totals],[Protein]]</f>
        <v>0.3</v>
      </c>
      <c r="F36" s="32">
        <f>Table2819[[#Totals],[Fiber]]</f>
        <v>0.6</v>
      </c>
      <c r="G36" s="32">
        <f>Table2819[[#Totals],[Sugar]]</f>
        <v>0</v>
      </c>
      <c r="H36" s="32">
        <f>Table2819[[#Totals],[Serving by TSP]]</f>
        <v>7</v>
      </c>
      <c r="I36" s="70"/>
      <c r="J36" s="73" t="b">
        <f>NOT(ISERROR(MATCH(A36,Index[Item],0)))</f>
        <v>1</v>
      </c>
    </row>
    <row r="37" spans="1:10" x14ac:dyDescent="0.3">
      <c r="A37" s="20" t="s">
        <v>544</v>
      </c>
      <c r="B37" s="21">
        <f>SUBTOTAL(109,CharSiu[Calories])/CharSiu[[#Totals],[Measurement]]</f>
        <v>599.0333333333333</v>
      </c>
      <c r="C37" s="21">
        <f>SUBTOTAL(109,CharSiu[Carbs])/CharSiu[[#Totals],[Measurement]]</f>
        <v>11.274999999999999</v>
      </c>
      <c r="D37" s="21">
        <f>SUBTOTAL(109,CharSiu[[Fat ]])/CharSiu[[#Totals],[Measurement]]</f>
        <v>33.536666666666669</v>
      </c>
      <c r="E37" s="21">
        <f>SUBTOTAL(109,CharSiu[Protein])/CharSiu[[#Totals],[Measurement]]</f>
        <v>51.438333333333333</v>
      </c>
      <c r="F37" s="21">
        <f>SUBTOTAL(109,CharSiu[Fiber])/CharSiu[[#Totals],[Measurement]]</f>
        <v>0.21166666666666667</v>
      </c>
      <c r="G37" s="21">
        <f>SUBTOTAL(109,CharSiu[Sugar])/CharSiu[[#Totals],[Measurement]]</f>
        <v>16.841666666666665</v>
      </c>
      <c r="H37" s="21">
        <f>SUBTOTAL(109,CharSiu[Servings])/CharSiu[[#Totals],[Measurement]]</f>
        <v>5.2216666666666667</v>
      </c>
      <c r="I37" s="22" t="s">
        <v>545</v>
      </c>
      <c r="J37"/>
    </row>
    <row r="39" spans="1:10" x14ac:dyDescent="0.3">
      <c r="A39" s="10" t="s">
        <v>0</v>
      </c>
      <c r="B39" s="11" t="s">
        <v>1</v>
      </c>
      <c r="C39" s="11" t="s">
        <v>2</v>
      </c>
      <c r="D39" s="11" t="s">
        <v>3</v>
      </c>
      <c r="E39" s="11" t="s">
        <v>4</v>
      </c>
      <c r="F39" s="11" t="s">
        <v>5</v>
      </c>
      <c r="G39" s="11" t="s">
        <v>6</v>
      </c>
      <c r="H39" s="11" t="s">
        <v>7</v>
      </c>
    </row>
    <row r="40" spans="1:10" x14ac:dyDescent="0.3">
      <c r="A40" s="3" t="s">
        <v>8</v>
      </c>
      <c r="B40" s="6">
        <f>1.6*$H40</f>
        <v>0</v>
      </c>
      <c r="C40" s="6">
        <f>0.3*$H40</f>
        <v>0</v>
      </c>
      <c r="D40" s="6">
        <f>0*$H40</f>
        <v>0</v>
      </c>
      <c r="E40" s="6">
        <f>0.2*$H40</f>
        <v>0</v>
      </c>
      <c r="F40" s="6">
        <f>0.3*$H40</f>
        <v>0</v>
      </c>
      <c r="G40" s="6">
        <f>0*$H40</f>
        <v>0</v>
      </c>
      <c r="H40" s="3"/>
    </row>
    <row r="41" spans="1:10" x14ac:dyDescent="0.3">
      <c r="A41" s="3" t="s">
        <v>9</v>
      </c>
      <c r="B41" s="6">
        <f>5.8*$H41</f>
        <v>0</v>
      </c>
      <c r="C41" s="6">
        <f>1.5*$H41</f>
        <v>0</v>
      </c>
      <c r="D41" s="6">
        <f>0.1*$H41</f>
        <v>0</v>
      </c>
      <c r="E41" s="6">
        <f>0.2*$H41</f>
        <v>0</v>
      </c>
      <c r="F41" s="6">
        <f>0.6*$H41</f>
        <v>0</v>
      </c>
      <c r="G41" s="6">
        <f>0*$H41</f>
        <v>0</v>
      </c>
      <c r="H41" s="3"/>
    </row>
    <row r="42" spans="1:10" x14ac:dyDescent="0.3">
      <c r="A42" s="4" t="s">
        <v>10</v>
      </c>
      <c r="B42" s="7">
        <f>7.6*$H42</f>
        <v>0</v>
      </c>
      <c r="C42" s="7">
        <f>1.3*$H42</f>
        <v>0</v>
      </c>
      <c r="D42" s="7">
        <f>0.4*$H42</f>
        <v>0</v>
      </c>
      <c r="E42" s="7">
        <f>0.4*$H42</f>
        <v>0</v>
      </c>
      <c r="F42" s="7">
        <f>0.9*$H42</f>
        <v>0</v>
      </c>
      <c r="G42" s="7">
        <f>0.2*$H42</f>
        <v>0</v>
      </c>
      <c r="H42" s="4"/>
    </row>
    <row r="43" spans="1:10" x14ac:dyDescent="0.3">
      <c r="A43" s="3" t="s">
        <v>11</v>
      </c>
      <c r="B43" s="6">
        <f>48*$H43</f>
        <v>48</v>
      </c>
      <c r="C43" s="6">
        <f>8*$H43</f>
        <v>8</v>
      </c>
      <c r="D43" s="6">
        <f>0*$H43</f>
        <v>0</v>
      </c>
      <c r="E43" s="6">
        <f>0*$H43</f>
        <v>0</v>
      </c>
      <c r="F43" s="6">
        <f>0*$H43</f>
        <v>0</v>
      </c>
      <c r="G43" s="6">
        <f>0*$H43</f>
        <v>0</v>
      </c>
      <c r="H43" s="3">
        <v>1</v>
      </c>
    </row>
    <row r="44" spans="1:10" x14ac:dyDescent="0.3">
      <c r="A44" s="4" t="s">
        <v>12</v>
      </c>
      <c r="B44" s="7">
        <f>6.4*$H44</f>
        <v>0</v>
      </c>
      <c r="C44" s="7">
        <f>2.1*$H44</f>
        <v>0</v>
      </c>
      <c r="D44" s="7">
        <f>0*$H43</f>
        <v>0</v>
      </c>
      <c r="E44" s="7">
        <f>0.1*$H44</f>
        <v>0</v>
      </c>
      <c r="F44" s="7">
        <f>1.4*$H44</f>
        <v>0</v>
      </c>
      <c r="G44" s="7">
        <f>0.1*$H44</f>
        <v>0</v>
      </c>
      <c r="H44" s="4"/>
    </row>
    <row r="45" spans="1:10" x14ac:dyDescent="0.3">
      <c r="A45" s="4" t="s">
        <v>13</v>
      </c>
      <c r="B45" s="7">
        <f>1.7*$H45</f>
        <v>0</v>
      </c>
      <c r="C45" s="7">
        <f>0.3*$H45</f>
        <v>0</v>
      </c>
      <c r="D45" s="7">
        <f>0*$H45</f>
        <v>0</v>
      </c>
      <c r="E45" s="7">
        <f>0.1*$H45</f>
        <v>0</v>
      </c>
      <c r="F45" s="7">
        <f>0.1*$H45</f>
        <v>0</v>
      </c>
      <c r="G45" s="7">
        <f>0*$H45</f>
        <v>0</v>
      </c>
      <c r="H45" s="4"/>
    </row>
    <row r="46" spans="1:10" x14ac:dyDescent="0.3">
      <c r="A46" s="3" t="s">
        <v>14</v>
      </c>
      <c r="B46" s="6">
        <f>5.7*$H46</f>
        <v>0</v>
      </c>
      <c r="C46" s="6">
        <f>1*$H46</f>
        <v>0</v>
      </c>
      <c r="D46" s="6">
        <f>0*$H46</f>
        <v>0</v>
      </c>
      <c r="E46" s="6">
        <f>0.2*$H46</f>
        <v>0</v>
      </c>
      <c r="F46" s="6">
        <f>0.5*$H46</f>
        <v>0</v>
      </c>
      <c r="G46" s="6">
        <f>0.2*$H46</f>
        <v>0</v>
      </c>
      <c r="H46" s="3"/>
    </row>
    <row r="47" spans="1:10" x14ac:dyDescent="0.3">
      <c r="A47" s="3" t="s">
        <v>15</v>
      </c>
      <c r="B47" s="6">
        <f>7.6*$H47</f>
        <v>0</v>
      </c>
      <c r="C47" s="6">
        <f>0.9*$H47</f>
        <v>0</v>
      </c>
      <c r="D47" s="6">
        <f>0.5*$H47</f>
        <v>0</v>
      </c>
      <c r="E47" s="6">
        <f>0.4*$H47</f>
        <v>0</v>
      </c>
      <c r="F47" s="6">
        <f>0.2*$H47</f>
        <v>0</v>
      </c>
      <c r="G47" s="6">
        <f>0.1*$H47</f>
        <v>0</v>
      </c>
      <c r="H47" s="3"/>
    </row>
    <row r="48" spans="1:10" x14ac:dyDescent="0.3">
      <c r="A48" s="4" t="s">
        <v>16</v>
      </c>
      <c r="B48" s="7">
        <f>(36/5)*$H48</f>
        <v>0</v>
      </c>
      <c r="C48" s="7">
        <f>(5/5)*$H48</f>
        <v>0</v>
      </c>
      <c r="D48" s="7">
        <f>(1.2/5)*$H48</f>
        <v>0</v>
      </c>
      <c r="E48" s="7">
        <f>(1.3/5)*$H48</f>
        <v>0</v>
      </c>
      <c r="F48" s="7">
        <f>(3/5)*$H48</f>
        <v>0</v>
      </c>
      <c r="G48" s="7">
        <f>(0.2/5)*$H48</f>
        <v>0</v>
      </c>
      <c r="H48" s="4"/>
    </row>
    <row r="49" spans="1:8" x14ac:dyDescent="0.3">
      <c r="A49" s="3" t="s">
        <v>17</v>
      </c>
      <c r="B49" s="6">
        <f>5*$H49</f>
        <v>15</v>
      </c>
      <c r="C49" s="6">
        <f>1*$H49</f>
        <v>3</v>
      </c>
      <c r="D49" s="6">
        <f>0*$H49</f>
        <v>0</v>
      </c>
      <c r="E49" s="6">
        <f>0*$H49</f>
        <v>0</v>
      </c>
      <c r="F49" s="6">
        <f>0*$H49</f>
        <v>0</v>
      </c>
      <c r="G49" s="6">
        <f>0*$H49</f>
        <v>0</v>
      </c>
      <c r="H49" s="3">
        <v>3</v>
      </c>
    </row>
    <row r="50" spans="1:8" x14ac:dyDescent="0.3">
      <c r="A50" s="3" t="s">
        <v>18</v>
      </c>
      <c r="B50" s="6">
        <f>10*$H50</f>
        <v>0</v>
      </c>
      <c r="C50" s="6">
        <f>2.3*$H50</f>
        <v>0</v>
      </c>
      <c r="D50" s="6">
        <f>0*$H50</f>
        <v>0</v>
      </c>
      <c r="E50" s="6">
        <f>0.5*$H50</f>
        <v>0</v>
      </c>
      <c r="F50" s="6">
        <f>0.3*$H50</f>
        <v>0</v>
      </c>
      <c r="G50" s="6">
        <f>0.1*$H50</f>
        <v>0</v>
      </c>
      <c r="H50" s="3"/>
    </row>
    <row r="51" spans="1:8" x14ac:dyDescent="0.3">
      <c r="A51" s="4" t="s">
        <v>19</v>
      </c>
      <c r="B51" s="7">
        <f>1.2*$H51</f>
        <v>0</v>
      </c>
      <c r="C51" s="7">
        <f>0.3*$H51</f>
        <v>0</v>
      </c>
      <c r="D51" s="7">
        <f>0*$H51</f>
        <v>0</v>
      </c>
      <c r="E51" s="7">
        <f>1*$H51</f>
        <v>0</v>
      </c>
      <c r="F51" s="7">
        <f>0*$H51</f>
        <v>0</v>
      </c>
      <c r="G51" s="7">
        <f>0*$H51</f>
        <v>0</v>
      </c>
      <c r="H51" s="4"/>
    </row>
    <row r="52" spans="1:8" x14ac:dyDescent="0.3">
      <c r="A52" s="3" t="s">
        <v>20</v>
      </c>
      <c r="B52" s="6">
        <f>6*$H52</f>
        <v>0</v>
      </c>
      <c r="C52" s="6">
        <f>1.3*$H52</f>
        <v>0</v>
      </c>
      <c r="D52" s="6">
        <f>0.1*$H52</f>
        <v>0</v>
      </c>
      <c r="E52" s="6">
        <f>0.2*$H52</f>
        <v>0</v>
      </c>
      <c r="F52" s="6">
        <f>0.3*$H52</f>
        <v>0</v>
      </c>
      <c r="G52" s="6">
        <f>0.1*$H52</f>
        <v>0</v>
      </c>
      <c r="H52" s="3"/>
    </row>
    <row r="53" spans="1:8" x14ac:dyDescent="0.3">
      <c r="A53" s="3" t="s">
        <v>21</v>
      </c>
      <c r="B53" s="6">
        <f>2.2*$H53</f>
        <v>0</v>
      </c>
      <c r="C53" s="6">
        <f>0.5*$H53</f>
        <v>0</v>
      </c>
      <c r="D53" s="6">
        <f>0.1*$H53</f>
        <v>0</v>
      </c>
      <c r="E53" s="6">
        <f>0.1*$H53</f>
        <v>0</v>
      </c>
      <c r="F53" s="6">
        <f>0.3*$H53</f>
        <v>0</v>
      </c>
      <c r="G53" s="6">
        <f>0*$H53</f>
        <v>0</v>
      </c>
      <c r="H53" s="3"/>
    </row>
    <row r="54" spans="1:8" x14ac:dyDescent="0.3">
      <c r="A54" s="4" t="s">
        <v>22</v>
      </c>
      <c r="B54" s="7">
        <f>0*$H54</f>
        <v>0</v>
      </c>
      <c r="C54" s="7">
        <f>0*$H54</f>
        <v>0</v>
      </c>
      <c r="D54" s="7">
        <f>0*$H54</f>
        <v>0</v>
      </c>
      <c r="E54" s="7">
        <f>0*$H54</f>
        <v>0</v>
      </c>
      <c r="F54" s="7">
        <f>0*$H54</f>
        <v>0</v>
      </c>
      <c r="G54" s="7">
        <f>0*$H54</f>
        <v>0</v>
      </c>
      <c r="H54" s="4"/>
    </row>
    <row r="55" spans="1:8" x14ac:dyDescent="0.3">
      <c r="A55" s="3" t="s">
        <v>23</v>
      </c>
      <c r="B55" s="6">
        <f>8.2*$H55</f>
        <v>0</v>
      </c>
      <c r="C55" s="6">
        <f>1.9*$H55</f>
        <v>0</v>
      </c>
      <c r="D55" s="6">
        <f>0*$H55</f>
        <v>0</v>
      </c>
      <c r="E55" s="6">
        <f>0.3*$H55</f>
        <v>0</v>
      </c>
      <c r="F55" s="6">
        <f>0.4*$H55</f>
        <v>0</v>
      </c>
      <c r="G55" s="6">
        <f>0.2*$H55</f>
        <v>0</v>
      </c>
      <c r="H55" s="3"/>
    </row>
    <row r="56" spans="1:8" x14ac:dyDescent="0.3">
      <c r="A56" s="4" t="s">
        <v>24</v>
      </c>
      <c r="B56" s="7">
        <f>2.7*$H56</f>
        <v>0</v>
      </c>
      <c r="C56" s="7">
        <f>0.7*$H56</f>
        <v>0</v>
      </c>
      <c r="D56" s="7">
        <f>0*$H56</f>
        <v>0</v>
      </c>
      <c r="E56" s="7">
        <f>0.1*$H56</f>
        <v>0</v>
      </c>
      <c r="F56" s="7">
        <f>0.4*$H56</f>
        <v>0</v>
      </c>
      <c r="G56" s="7">
        <f>0*$H56</f>
        <v>0</v>
      </c>
      <c r="H56" s="4"/>
    </row>
    <row r="57" spans="1:8" x14ac:dyDescent="0.3">
      <c r="A57" s="4" t="s">
        <v>25</v>
      </c>
      <c r="B57" s="7">
        <f>6.5*$H57</f>
        <v>0</v>
      </c>
      <c r="C57" s="7">
        <f>1.2*$H57</f>
        <v>0</v>
      </c>
      <c r="D57" s="7">
        <f>0.3*$H57</f>
        <v>0</v>
      </c>
      <c r="E57" s="7">
        <f>0.3*$H57</f>
        <v>0</v>
      </c>
      <c r="F57" s="7">
        <f>0.8*$H57</f>
        <v>0</v>
      </c>
      <c r="G57" s="7">
        <f>0.2*$H57</f>
        <v>0</v>
      </c>
      <c r="H57" s="4"/>
    </row>
    <row r="58" spans="1:8" x14ac:dyDescent="0.3">
      <c r="A58" s="3" t="s">
        <v>26</v>
      </c>
      <c r="B58" s="6">
        <f>1.5*$H58</f>
        <v>0</v>
      </c>
      <c r="C58" s="6">
        <f>0.3*$H58</f>
        <v>0</v>
      </c>
      <c r="D58" s="6">
        <f>0*$H58</f>
        <v>0</v>
      </c>
      <c r="E58" s="6">
        <f>0.1*$H58</f>
        <v>0</v>
      </c>
      <c r="F58" s="6">
        <f>0.1*$H58</f>
        <v>0</v>
      </c>
      <c r="G58" s="6">
        <f>0*$H58</f>
        <v>0</v>
      </c>
      <c r="H58" s="3"/>
    </row>
    <row r="59" spans="1:8" x14ac:dyDescent="0.3">
      <c r="A59" s="3" t="s">
        <v>27</v>
      </c>
      <c r="B59" s="6">
        <f>5.7*$H59</f>
        <v>0</v>
      </c>
      <c r="C59" s="6">
        <f>1*$H59</f>
        <v>0</v>
      </c>
      <c r="D59" s="6">
        <f>0.3*$H59</f>
        <v>0</v>
      </c>
      <c r="E59" s="6">
        <f>0.2*$H59</f>
        <v>0</v>
      </c>
      <c r="F59" s="6">
        <f>0.5*$H59</f>
        <v>0</v>
      </c>
      <c r="G59" s="6">
        <f>0.2*$H59</f>
        <v>0</v>
      </c>
      <c r="H59" s="3"/>
    </row>
    <row r="60" spans="1:8" x14ac:dyDescent="0.3">
      <c r="A60" s="4" t="s">
        <v>28</v>
      </c>
      <c r="B60" s="7">
        <f t="shared" ref="B60:G60" si="2">0*$H60</f>
        <v>0</v>
      </c>
      <c r="C60" s="7">
        <f t="shared" si="2"/>
        <v>0</v>
      </c>
      <c r="D60" s="7">
        <f t="shared" si="2"/>
        <v>0</v>
      </c>
      <c r="E60" s="7">
        <f t="shared" si="2"/>
        <v>0</v>
      </c>
      <c r="F60" s="7">
        <f t="shared" si="2"/>
        <v>0</v>
      </c>
      <c r="G60" s="7">
        <f t="shared" si="2"/>
        <v>0</v>
      </c>
      <c r="H60" s="4">
        <v>2</v>
      </c>
    </row>
    <row r="61" spans="1:8" x14ac:dyDescent="0.3">
      <c r="A61" s="3" t="s">
        <v>29</v>
      </c>
      <c r="B61" s="6">
        <f>2.5*$H61</f>
        <v>0</v>
      </c>
      <c r="C61" s="6">
        <f>0.6*$H61</f>
        <v>0</v>
      </c>
      <c r="D61" s="6">
        <f>0.1*$H61</f>
        <v>0</v>
      </c>
      <c r="E61" s="6">
        <f>0.1*$H61</f>
        <v>0</v>
      </c>
      <c r="F61" s="6">
        <f>0.3*$H61</f>
        <v>0</v>
      </c>
      <c r="G61" s="6">
        <f>0*$H61</f>
        <v>0</v>
      </c>
      <c r="H61" s="3"/>
    </row>
    <row r="62" spans="1:8" x14ac:dyDescent="0.3">
      <c r="A62" s="3" t="s">
        <v>31</v>
      </c>
      <c r="B62" s="6">
        <f>0*$H62</f>
        <v>0</v>
      </c>
      <c r="C62" s="6">
        <f>0*$H62</f>
        <v>0</v>
      </c>
      <c r="D62" s="6">
        <f>0*$H62</f>
        <v>0</v>
      </c>
      <c r="E62" s="6">
        <f>0*$H62</f>
        <v>0</v>
      </c>
      <c r="F62" s="6">
        <f>0*$H62</f>
        <v>0</v>
      </c>
      <c r="G62" s="6">
        <f>0*$H62</f>
        <v>0</v>
      </c>
      <c r="H62" s="3"/>
    </row>
    <row r="63" spans="1:8" x14ac:dyDescent="0.3">
      <c r="A63" s="58" t="s">
        <v>33</v>
      </c>
      <c r="B63" s="59">
        <f>7.1*$H63</f>
        <v>7.1</v>
      </c>
      <c r="C63" s="59">
        <f>1.6*$H63</f>
        <v>1.6</v>
      </c>
      <c r="D63" s="59">
        <f>0.1*$H63</f>
        <v>0.1</v>
      </c>
      <c r="E63" s="59">
        <f>0.3*$H63</f>
        <v>0.3</v>
      </c>
      <c r="F63" s="59">
        <f>0.6*$H63</f>
        <v>0.6</v>
      </c>
      <c r="G63" s="59">
        <f>0*$H63</f>
        <v>0</v>
      </c>
      <c r="H63" s="58">
        <v>1</v>
      </c>
    </row>
    <row r="64" spans="1:8" x14ac:dyDescent="0.3">
      <c r="A64" s="58" t="s">
        <v>34</v>
      </c>
      <c r="B64" s="59">
        <f>SUBTOTAL(109,Table2819[Calories])</f>
        <v>70.099999999999994</v>
      </c>
      <c r="C64" s="59">
        <f>SUBTOTAL(109,Table2819[Carbs])</f>
        <v>12.6</v>
      </c>
      <c r="D64" s="59">
        <f>SUBTOTAL(109,Table2819[Fat])</f>
        <v>0.1</v>
      </c>
      <c r="E64" s="59">
        <f>SUBTOTAL(109,Table2819[Protein])</f>
        <v>0.3</v>
      </c>
      <c r="F64" s="59">
        <f>SUBTOTAL(109,Table2819[Fiber])</f>
        <v>0.6</v>
      </c>
      <c r="G64" s="59">
        <f>SUBTOTAL(109,Table2819[Sugar])</f>
        <v>0</v>
      </c>
      <c r="H64" s="58">
        <f>SUBTOTAL(109,Table2819[Serving by TSP])</f>
        <v>7</v>
      </c>
    </row>
  </sheetData>
  <phoneticPr fontId="4" type="noConversion"/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C96C-F9AA-47F4-936A-E69EF1E35FAB}">
  <sheetPr codeName="Sheet25"/>
  <dimension ref="A1:J77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s="68" customFormat="1" x14ac:dyDescent="0.3">
      <c r="A2" s="1" t="s">
        <v>229</v>
      </c>
      <c r="B2" s="5">
        <f>110*$H2</f>
        <v>0</v>
      </c>
      <c r="C2" s="5">
        <f>0*$H2</f>
        <v>0</v>
      </c>
      <c r="D2" s="5">
        <f>3*$H2</f>
        <v>0</v>
      </c>
      <c r="E2" s="5">
        <f>22*$H2</f>
        <v>0</v>
      </c>
      <c r="F2" s="5">
        <f>0*$H2</f>
        <v>0</v>
      </c>
      <c r="G2" s="5">
        <f>0*$H2</f>
        <v>0</v>
      </c>
      <c r="H2" s="5"/>
      <c r="I2" s="22" t="s">
        <v>204</v>
      </c>
      <c r="J2" s="68" t="b">
        <f>NOT(ISERROR(MATCH(A2,Index[Item],0)))</f>
        <v>1</v>
      </c>
    </row>
    <row r="3" spans="1:10" s="68" customFormat="1" x14ac:dyDescent="0.3">
      <c r="A3" s="1" t="s">
        <v>230</v>
      </c>
      <c r="B3" s="5">
        <f>140*$H3</f>
        <v>1120</v>
      </c>
      <c r="C3" s="5">
        <f>0*$H3</f>
        <v>0</v>
      </c>
      <c r="D3" s="5">
        <f>9*$H3</f>
        <v>72</v>
      </c>
      <c r="E3" s="5">
        <f>18*$H3</f>
        <v>144</v>
      </c>
      <c r="F3" s="5">
        <f>0*$H3</f>
        <v>0</v>
      </c>
      <c r="G3" s="5">
        <f>0*$H3</f>
        <v>0</v>
      </c>
      <c r="H3" s="5">
        <v>8</v>
      </c>
      <c r="I3" s="22" t="s">
        <v>204</v>
      </c>
      <c r="J3" s="68" t="b">
        <f>NOT(ISERROR(MATCH(A3,Index[Item],0)))</f>
        <v>1</v>
      </c>
    </row>
    <row r="4" spans="1:10" s="68" customFormat="1" ht="37.5" x14ac:dyDescent="0.3">
      <c r="A4" s="1" t="s">
        <v>247</v>
      </c>
      <c r="B4" s="5">
        <f>130*$H4</f>
        <v>0</v>
      </c>
      <c r="C4" s="5">
        <f>18*$H4</f>
        <v>0</v>
      </c>
      <c r="D4" s="5">
        <f>5*$H4</f>
        <v>0</v>
      </c>
      <c r="E4" s="5">
        <f>3*$H4</f>
        <v>0</v>
      </c>
      <c r="F4" s="5">
        <f>1*$H4</f>
        <v>0</v>
      </c>
      <c r="G4" s="5">
        <f>0*$H4</f>
        <v>0</v>
      </c>
      <c r="H4" s="5"/>
      <c r="I4" s="22" t="s">
        <v>248</v>
      </c>
      <c r="J4" s="68" t="b">
        <f>NOT(ISERROR(MATCH(A4,Index[Item],0)))</f>
        <v>1</v>
      </c>
    </row>
    <row r="5" spans="1:10" s="68" customFormat="1" x14ac:dyDescent="0.3">
      <c r="A5" s="1" t="s">
        <v>249</v>
      </c>
      <c r="B5" s="5">
        <f>180*$H5</f>
        <v>0</v>
      </c>
      <c r="C5" s="5">
        <f>40*$H5</f>
        <v>0</v>
      </c>
      <c r="D5" s="5">
        <f>0.5*$H5</f>
        <v>0</v>
      </c>
      <c r="E5" s="5">
        <f>4*$H5</f>
        <v>0</v>
      </c>
      <c r="F5" s="5">
        <f>0.5*$H5</f>
        <v>0</v>
      </c>
      <c r="G5" s="5">
        <f>0*$H5</f>
        <v>0</v>
      </c>
      <c r="H5" s="5"/>
      <c r="I5" s="22" t="s">
        <v>250</v>
      </c>
      <c r="J5" s="68" t="b">
        <f>NOT(ISERROR(MATCH(A5,Index[Item],0)))</f>
        <v>1</v>
      </c>
    </row>
    <row r="6" spans="1:10" s="68" customFormat="1" ht="37.5" x14ac:dyDescent="0.3">
      <c r="A6" s="1" t="s">
        <v>251</v>
      </c>
      <c r="B6" s="5">
        <f>190*$H6</f>
        <v>760</v>
      </c>
      <c r="C6" s="5">
        <f>42*$H6</f>
        <v>168</v>
      </c>
      <c r="D6" s="5">
        <f>0*$H6</f>
        <v>0</v>
      </c>
      <c r="E6" s="5">
        <f>5*$H6</f>
        <v>20</v>
      </c>
      <c r="F6" s="5">
        <f>0*$H6</f>
        <v>0</v>
      </c>
      <c r="G6" s="5">
        <f>0*$H6</f>
        <v>0</v>
      </c>
      <c r="H6" s="5">
        <v>4</v>
      </c>
      <c r="I6" s="22" t="s">
        <v>252</v>
      </c>
      <c r="J6" s="68" t="b">
        <f>NOT(ISERROR(MATCH(A6,Index[Item],0)))</f>
        <v>1</v>
      </c>
    </row>
    <row r="7" spans="1:10" s="68" customFormat="1" ht="37.5" x14ac:dyDescent="0.3">
      <c r="A7" s="1" t="s">
        <v>310</v>
      </c>
      <c r="B7" s="5">
        <f>25*$H7</f>
        <v>0</v>
      </c>
      <c r="C7" s="5">
        <f>5*$H7</f>
        <v>0</v>
      </c>
      <c r="D7" s="5">
        <f>0*$H7</f>
        <v>0</v>
      </c>
      <c r="E7" s="5">
        <f>0.5*$H7</f>
        <v>0</v>
      </c>
      <c r="F7" s="5">
        <f>0*$H7</f>
        <v>0</v>
      </c>
      <c r="G7" s="5">
        <f>3*$H7</f>
        <v>0</v>
      </c>
      <c r="H7" s="5"/>
      <c r="I7" s="22" t="s">
        <v>307</v>
      </c>
      <c r="J7" s="68" t="b">
        <f>NOT(ISERROR(MATCH(A7,Index[Item],0)))</f>
        <v>1</v>
      </c>
    </row>
    <row r="8" spans="1:10" s="68" customFormat="1" x14ac:dyDescent="0.3">
      <c r="A8" s="1" t="s">
        <v>318</v>
      </c>
      <c r="B8" s="5">
        <f>10*$H8</f>
        <v>90</v>
      </c>
      <c r="C8" s="5">
        <f>1*$H8</f>
        <v>9</v>
      </c>
      <c r="D8" s="5">
        <f>0*$H8</f>
        <v>0</v>
      </c>
      <c r="E8" s="5">
        <f>1*$H8</f>
        <v>9</v>
      </c>
      <c r="F8" s="5">
        <f>0*$H8</f>
        <v>0</v>
      </c>
      <c r="G8" s="5">
        <f>0*$H8</f>
        <v>0</v>
      </c>
      <c r="H8" s="5">
        <v>9</v>
      </c>
      <c r="I8" s="22" t="s">
        <v>307</v>
      </c>
      <c r="J8" s="68" t="b">
        <f>NOT(ISERROR(MATCH(A8,Index[Item],0)))</f>
        <v>1</v>
      </c>
    </row>
    <row r="9" spans="1:10" s="68" customFormat="1" x14ac:dyDescent="0.3">
      <c r="A9" s="1" t="s">
        <v>308</v>
      </c>
      <c r="B9" s="5">
        <f>60*$H9</f>
        <v>240</v>
      </c>
      <c r="C9" s="5">
        <f>17*$H9</f>
        <v>68</v>
      </c>
      <c r="D9" s="5">
        <f>0*$H9</f>
        <v>0</v>
      </c>
      <c r="E9" s="5">
        <f>0*$H9</f>
        <v>0</v>
      </c>
      <c r="F9" s="5">
        <f>0*$H9</f>
        <v>0</v>
      </c>
      <c r="G9" s="5">
        <f>17*$H9</f>
        <v>68</v>
      </c>
      <c r="H9" s="5">
        <v>4</v>
      </c>
      <c r="I9" s="22" t="s">
        <v>309</v>
      </c>
      <c r="J9" s="68" t="b">
        <f>NOT(ISERROR(MATCH(A9,Index[Item],0)))</f>
        <v>1</v>
      </c>
    </row>
    <row r="10" spans="1:10" s="68" customFormat="1" x14ac:dyDescent="0.3">
      <c r="A10" s="1" t="s">
        <v>306</v>
      </c>
      <c r="B10" s="5">
        <f>60*$H10</f>
        <v>0</v>
      </c>
      <c r="C10" s="5">
        <f>16*$H10</f>
        <v>0</v>
      </c>
      <c r="D10" s="5">
        <f t="shared" ref="D10:F16" si="0">0*$H10</f>
        <v>0</v>
      </c>
      <c r="E10" s="5">
        <f>0*$H10</f>
        <v>0</v>
      </c>
      <c r="F10" s="5">
        <f>1*$H10</f>
        <v>0</v>
      </c>
      <c r="G10" s="5">
        <f>15*$H10</f>
        <v>0</v>
      </c>
      <c r="H10" s="5"/>
      <c r="I10" s="22" t="s">
        <v>307</v>
      </c>
      <c r="J10" s="68" t="b">
        <f>NOT(ISERROR(MATCH(A10,Index[Item],0)))</f>
        <v>1</v>
      </c>
    </row>
    <row r="11" spans="1:10" s="68" customFormat="1" x14ac:dyDescent="0.3">
      <c r="A11" s="1" t="s">
        <v>303</v>
      </c>
      <c r="B11" s="5">
        <f>30*$H11</f>
        <v>0</v>
      </c>
      <c r="C11" s="5">
        <f>0*$H11</f>
        <v>0</v>
      </c>
      <c r="D11" s="5">
        <f t="shared" si="0"/>
        <v>0</v>
      </c>
      <c r="E11" s="5">
        <f t="shared" si="0"/>
        <v>0</v>
      </c>
      <c r="F11" s="5">
        <f t="shared" si="0"/>
        <v>0</v>
      </c>
      <c r="G11" s="5">
        <f>8*$H11</f>
        <v>0</v>
      </c>
      <c r="H11" s="5"/>
      <c r="I11" s="22" t="s">
        <v>304</v>
      </c>
      <c r="J11" s="68" t="b">
        <f>NOT(ISERROR(MATCH(A11,Index[Item],0)))</f>
        <v>1</v>
      </c>
    </row>
    <row r="12" spans="1:10" s="68" customFormat="1" x14ac:dyDescent="0.3">
      <c r="A12" s="1" t="s">
        <v>305</v>
      </c>
      <c r="B12" s="5">
        <f>30*$H12</f>
        <v>180</v>
      </c>
      <c r="C12" s="5">
        <f>8*$H12</f>
        <v>48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>8*$H12</f>
        <v>48</v>
      </c>
      <c r="H12" s="5">
        <v>6</v>
      </c>
      <c r="I12" s="22" t="s">
        <v>304</v>
      </c>
      <c r="J12" s="68" t="b">
        <f>NOT(ISERROR(MATCH(A12,Index[Item],0)))</f>
        <v>1</v>
      </c>
    </row>
    <row r="13" spans="1:10" s="68" customFormat="1" ht="37.5" x14ac:dyDescent="0.3">
      <c r="A13" s="1" t="s">
        <v>311</v>
      </c>
      <c r="B13" s="5">
        <f>32*$H13</f>
        <v>0</v>
      </c>
      <c r="C13" s="5">
        <f>0*$H13</f>
        <v>0</v>
      </c>
      <c r="D13" s="5">
        <f t="shared" si="0"/>
        <v>0</v>
      </c>
      <c r="E13" s="5">
        <f>0*$H13</f>
        <v>0</v>
      </c>
      <c r="F13" s="5">
        <f t="shared" si="0"/>
        <v>0</v>
      </c>
      <c r="G13" s="5">
        <f>0*$H13</f>
        <v>0</v>
      </c>
      <c r="H13" s="5"/>
      <c r="I13" s="22" t="s">
        <v>312</v>
      </c>
      <c r="J13" s="68" t="b">
        <f>NOT(ISERROR(MATCH(A13,Index[Item],0)))</f>
        <v>1</v>
      </c>
    </row>
    <row r="14" spans="1:10" s="68" customFormat="1" ht="37.5" x14ac:dyDescent="0.3">
      <c r="A14" s="1" t="s">
        <v>317</v>
      </c>
      <c r="B14" s="5">
        <f>120*$H14</f>
        <v>0</v>
      </c>
      <c r="C14" s="5">
        <f>0*$H14</f>
        <v>0</v>
      </c>
      <c r="D14" s="5">
        <f>14*$H14</f>
        <v>0</v>
      </c>
      <c r="E14" s="5">
        <f>0*$H14</f>
        <v>0</v>
      </c>
      <c r="F14" s="5">
        <f t="shared" si="0"/>
        <v>0</v>
      </c>
      <c r="G14" s="5">
        <f>0*$H14</f>
        <v>0</v>
      </c>
      <c r="H14" s="5"/>
      <c r="I14" s="22" t="s">
        <v>307</v>
      </c>
      <c r="J14" s="68" t="b">
        <f>NOT(ISERROR(MATCH(A14,Index[Item],0)))</f>
        <v>1</v>
      </c>
    </row>
    <row r="15" spans="1:10" s="68" customFormat="1" x14ac:dyDescent="0.3">
      <c r="A15" s="1" t="s">
        <v>338</v>
      </c>
      <c r="B15" s="5">
        <f>120*$H15</f>
        <v>120</v>
      </c>
      <c r="C15" s="5">
        <f>0*$H15</f>
        <v>0</v>
      </c>
      <c r="D15" s="5">
        <f>14*$H15</f>
        <v>14</v>
      </c>
      <c r="E15" s="5">
        <f>0*$H15</f>
        <v>0</v>
      </c>
      <c r="F15" s="5">
        <f t="shared" si="0"/>
        <v>0</v>
      </c>
      <c r="G15" s="5">
        <f>0*$H15</f>
        <v>0</v>
      </c>
      <c r="H15" s="5">
        <v>1</v>
      </c>
      <c r="I15" s="22" t="s">
        <v>307</v>
      </c>
      <c r="J15" s="68" t="b">
        <f>NOT(ISERROR(MATCH(A15,Index[Item],0)))</f>
        <v>1</v>
      </c>
    </row>
    <row r="16" spans="1:10" s="68" customFormat="1" x14ac:dyDescent="0.3">
      <c r="A16" s="1" t="s">
        <v>337</v>
      </c>
      <c r="B16" s="5">
        <f>120*$H16</f>
        <v>0</v>
      </c>
      <c r="C16" s="5">
        <f>0*$H16</f>
        <v>0</v>
      </c>
      <c r="D16" s="5">
        <f>14*$H16</f>
        <v>0</v>
      </c>
      <c r="E16" s="5">
        <f>0*$H16</f>
        <v>0</v>
      </c>
      <c r="F16" s="5">
        <f t="shared" si="0"/>
        <v>0</v>
      </c>
      <c r="G16" s="5">
        <f>0*$H16</f>
        <v>0</v>
      </c>
      <c r="H16" s="5"/>
      <c r="I16" s="22" t="s">
        <v>307</v>
      </c>
      <c r="J16" s="68" t="b">
        <f>NOT(ISERROR(MATCH(A16,Index[Item],0)))</f>
        <v>1</v>
      </c>
    </row>
    <row r="17" spans="1:10" s="68" customFormat="1" ht="37.5" x14ac:dyDescent="0.3">
      <c r="A17" s="1" t="s">
        <v>341</v>
      </c>
      <c r="B17" s="5">
        <f>10*$H17</f>
        <v>0</v>
      </c>
      <c r="C17" s="5">
        <f>2*$H17</f>
        <v>0</v>
      </c>
      <c r="D17" s="5">
        <f>0*$H17</f>
        <v>0</v>
      </c>
      <c r="E17" s="5">
        <f t="shared" ref="E17:G18" si="1">0*$H17</f>
        <v>0</v>
      </c>
      <c r="F17" s="5">
        <f t="shared" si="1"/>
        <v>0</v>
      </c>
      <c r="G17" s="5">
        <f>2*$H17</f>
        <v>0</v>
      </c>
      <c r="H17" s="5"/>
      <c r="I17" s="22" t="s">
        <v>307</v>
      </c>
      <c r="J17" s="68" t="b">
        <f>NOT(ISERROR(MATCH(A17,Index[Item],0)))</f>
        <v>1</v>
      </c>
    </row>
    <row r="18" spans="1:10" s="68" customFormat="1" x14ac:dyDescent="0.3">
      <c r="A18" s="1" t="s">
        <v>313</v>
      </c>
      <c r="B18" s="5">
        <f>0*$H18</f>
        <v>0</v>
      </c>
      <c r="C18" s="5">
        <f t="shared" ref="C18:E18" si="2">0*$H18</f>
        <v>0</v>
      </c>
      <c r="D18" s="5">
        <f t="shared" si="2"/>
        <v>0</v>
      </c>
      <c r="E18" s="5">
        <f t="shared" si="2"/>
        <v>0</v>
      </c>
      <c r="F18" s="5">
        <f t="shared" si="1"/>
        <v>0</v>
      </c>
      <c r="G18" s="5">
        <f t="shared" si="1"/>
        <v>0</v>
      </c>
      <c r="H18" s="5">
        <v>2</v>
      </c>
      <c r="I18" s="22" t="s">
        <v>307</v>
      </c>
      <c r="J18" s="68" t="b">
        <f>NOT(ISERROR(MATCH(A18,Index[Item],0)))</f>
        <v>1</v>
      </c>
    </row>
    <row r="19" spans="1:10" s="68" customFormat="1" ht="37.5" x14ac:dyDescent="0.3">
      <c r="A19" s="1" t="s">
        <v>314</v>
      </c>
      <c r="B19" s="5">
        <f>90*$H19</f>
        <v>0</v>
      </c>
      <c r="C19" s="5">
        <f>20*$H19</f>
        <v>0</v>
      </c>
      <c r="D19" s="5">
        <f>1*$H19</f>
        <v>0</v>
      </c>
      <c r="E19" s="5">
        <f>0*$H19</f>
        <v>0</v>
      </c>
      <c r="F19" s="5">
        <f>0*$H19</f>
        <v>0</v>
      </c>
      <c r="G19" s="5">
        <f>18*$H19</f>
        <v>0</v>
      </c>
      <c r="H19" s="5"/>
      <c r="I19" s="22" t="s">
        <v>315</v>
      </c>
      <c r="J19" s="68" t="b">
        <f>NOT(ISERROR(MATCH(A19,Index[Item],0)))</f>
        <v>1</v>
      </c>
    </row>
    <row r="20" spans="1:10" s="68" customFormat="1" ht="37.5" x14ac:dyDescent="0.3">
      <c r="A20" s="1" t="s">
        <v>316</v>
      </c>
      <c r="B20" s="5">
        <f>20*$H20</f>
        <v>60</v>
      </c>
      <c r="C20" s="5">
        <f>5*$H20</f>
        <v>15</v>
      </c>
      <c r="D20" s="5">
        <f>0*$H20</f>
        <v>0</v>
      </c>
      <c r="E20" s="5">
        <f>0*$H20</f>
        <v>0</v>
      </c>
      <c r="F20" s="5">
        <f>0*$H20</f>
        <v>0</v>
      </c>
      <c r="G20" s="5">
        <f>4*$H20</f>
        <v>12</v>
      </c>
      <c r="H20" s="5">
        <v>3</v>
      </c>
      <c r="I20" s="22" t="s">
        <v>302</v>
      </c>
      <c r="J20" s="68" t="b">
        <f>NOT(ISERROR(MATCH(A20,Index[Item],0)))</f>
        <v>1</v>
      </c>
    </row>
    <row r="21" spans="1:10" s="68" customFormat="1" x14ac:dyDescent="0.3">
      <c r="A21" s="1" t="s">
        <v>301</v>
      </c>
      <c r="B21" s="5">
        <f>30*$H21</f>
        <v>120</v>
      </c>
      <c r="C21" s="5">
        <f>8*$H21</f>
        <v>32</v>
      </c>
      <c r="D21" s="5">
        <f t="shared" ref="D21:G21" si="3">0*$H21</f>
        <v>0</v>
      </c>
      <c r="E21" s="5">
        <f t="shared" si="3"/>
        <v>0</v>
      </c>
      <c r="F21" s="5">
        <f t="shared" si="3"/>
        <v>0</v>
      </c>
      <c r="G21" s="5">
        <f t="shared" si="3"/>
        <v>0</v>
      </c>
      <c r="H21" s="5">
        <v>4</v>
      </c>
      <c r="I21" s="22" t="s">
        <v>302</v>
      </c>
      <c r="J21" s="68" t="b">
        <f>NOT(ISERROR(MATCH(A21,Index[Item],0)))</f>
        <v>1</v>
      </c>
    </row>
    <row r="22" spans="1:10" s="68" customFormat="1" x14ac:dyDescent="0.3">
      <c r="A22" s="1" t="s">
        <v>164</v>
      </c>
      <c r="B22" s="5">
        <f>100*$H22</f>
        <v>0</v>
      </c>
      <c r="C22" s="5">
        <f>22*$H22</f>
        <v>0</v>
      </c>
      <c r="D22" s="5">
        <f>0*$H22</f>
        <v>0</v>
      </c>
      <c r="E22" s="5">
        <f>4*$H22</f>
        <v>0</v>
      </c>
      <c r="F22" s="5">
        <f>0*$H22</f>
        <v>0</v>
      </c>
      <c r="G22" s="5">
        <f>0*$H22</f>
        <v>0</v>
      </c>
      <c r="H22" s="5"/>
      <c r="I22" s="22" t="s">
        <v>163</v>
      </c>
      <c r="J22" s="68" t="b">
        <f>NOT(ISERROR(MATCH(A22,Index[Item],0)))</f>
        <v>1</v>
      </c>
    </row>
    <row r="23" spans="1:10" s="68" customFormat="1" x14ac:dyDescent="0.3">
      <c r="A23" s="1" t="s">
        <v>165</v>
      </c>
      <c r="B23" s="5">
        <f>110*$H23</f>
        <v>0</v>
      </c>
      <c r="C23" s="5">
        <f>23*$H23</f>
        <v>0</v>
      </c>
      <c r="D23" s="5">
        <f>0*$H23</f>
        <v>0</v>
      </c>
      <c r="E23" s="5">
        <f>3*$H23</f>
        <v>0</v>
      </c>
      <c r="F23" s="5">
        <f>0.5*$H23</f>
        <v>0</v>
      </c>
      <c r="G23" s="5">
        <f>0*$H23</f>
        <v>0</v>
      </c>
      <c r="H23" s="5"/>
      <c r="I23" s="22" t="s">
        <v>163</v>
      </c>
      <c r="J23" s="68" t="b">
        <f>NOT(ISERROR(MATCH(A23,Index[Item],0)))</f>
        <v>1</v>
      </c>
    </row>
    <row r="24" spans="1:10" s="68" customFormat="1" ht="37.5" x14ac:dyDescent="0.3">
      <c r="A24" s="1" t="s">
        <v>162</v>
      </c>
      <c r="B24" s="5">
        <f>100*$H24</f>
        <v>0</v>
      </c>
      <c r="C24" s="5">
        <f>22*$H24</f>
        <v>0</v>
      </c>
      <c r="D24" s="5">
        <f>0*$H24</f>
        <v>0</v>
      </c>
      <c r="E24" s="5">
        <f>2*$H24</f>
        <v>0</v>
      </c>
      <c r="F24" s="5">
        <f>0*$H24</f>
        <v>0</v>
      </c>
      <c r="G24" s="5">
        <f>0*$H24</f>
        <v>0</v>
      </c>
      <c r="H24" s="5"/>
      <c r="I24" s="22" t="s">
        <v>163</v>
      </c>
      <c r="J24" s="68" t="b">
        <f>NOT(ISERROR(MATCH(A24,Index[Item],0)))</f>
        <v>1</v>
      </c>
    </row>
    <row r="25" spans="1:10" s="68" customFormat="1" x14ac:dyDescent="0.3">
      <c r="A25" s="1" t="s">
        <v>67</v>
      </c>
      <c r="B25" s="5">
        <f>10*$H25</f>
        <v>50</v>
      </c>
      <c r="C25" s="5">
        <f>1*$H25</f>
        <v>5</v>
      </c>
      <c r="D25" s="5">
        <f>0*$H25</f>
        <v>0</v>
      </c>
      <c r="E25" s="5">
        <f>0*$H25</f>
        <v>0</v>
      </c>
      <c r="F25" s="5">
        <f>0*$H25</f>
        <v>0</v>
      </c>
      <c r="G25" s="5">
        <f>0.5*$H25</f>
        <v>2.5</v>
      </c>
      <c r="H25" s="5">
        <v>5</v>
      </c>
      <c r="I25" s="22"/>
      <c r="J25" s="68" t="b">
        <f>NOT(ISERROR(MATCH(A25,Index[Item],0)))</f>
        <v>1</v>
      </c>
    </row>
    <row r="26" spans="1:10" s="68" customFormat="1" x14ac:dyDescent="0.3">
      <c r="A26" s="1" t="s">
        <v>300</v>
      </c>
      <c r="B26" s="5">
        <f>0*$H26</f>
        <v>0</v>
      </c>
      <c r="C26" s="5">
        <f t="shared" ref="C26:G26" si="4">0*$H26</f>
        <v>0</v>
      </c>
      <c r="D26" s="5">
        <f t="shared" si="4"/>
        <v>0</v>
      </c>
      <c r="E26" s="5">
        <f t="shared" si="4"/>
        <v>0</v>
      </c>
      <c r="F26" s="5">
        <f t="shared" si="4"/>
        <v>0</v>
      </c>
      <c r="G26" s="5">
        <f t="shared" si="4"/>
        <v>0</v>
      </c>
      <c r="H26" s="5"/>
      <c r="I26" s="22" t="s">
        <v>299</v>
      </c>
      <c r="J26" s="68" t="b">
        <f>NOT(ISERROR(MATCH(A26,Index[Item],0)))</f>
        <v>1</v>
      </c>
    </row>
    <row r="27" spans="1:10" s="68" customFormat="1" x14ac:dyDescent="0.3">
      <c r="A27" s="1" t="s">
        <v>543</v>
      </c>
      <c r="B27" s="5">
        <f>28*$H27</f>
        <v>56</v>
      </c>
      <c r="C27" s="5">
        <f>6.7*$H27</f>
        <v>13.4</v>
      </c>
      <c r="D27" s="5">
        <f t="shared" ref="D27:D32" si="5">0.2*$H27</f>
        <v>0.4</v>
      </c>
      <c r="E27" s="5">
        <f>1.9*$H27</f>
        <v>3.8</v>
      </c>
      <c r="F27" s="5">
        <f>1.2*$H27</f>
        <v>2.4</v>
      </c>
      <c r="G27" s="5">
        <f>3.2*$H27</f>
        <v>6.4</v>
      </c>
      <c r="H27" s="5">
        <v>2</v>
      </c>
      <c r="I27" s="22" t="s">
        <v>96</v>
      </c>
      <c r="J27" s="68" t="b">
        <f>NOT(ISERROR(MATCH(A27,Index[Item],0)))</f>
        <v>1</v>
      </c>
    </row>
    <row r="28" spans="1:10" s="68" customFormat="1" x14ac:dyDescent="0.3">
      <c r="A28" s="1" t="s">
        <v>27</v>
      </c>
      <c r="B28" s="5">
        <f>28*$H28</f>
        <v>0</v>
      </c>
      <c r="C28" s="5">
        <f>6.7*$H28</f>
        <v>0</v>
      </c>
      <c r="D28" s="5">
        <f t="shared" si="5"/>
        <v>0</v>
      </c>
      <c r="E28" s="5">
        <f>0.9*$H28</f>
        <v>0</v>
      </c>
      <c r="F28" s="5">
        <f>1.2*$H28</f>
        <v>0</v>
      </c>
      <c r="G28" s="5">
        <f>4.4*$H28</f>
        <v>0</v>
      </c>
      <c r="H28" s="5"/>
      <c r="I28" s="22" t="s">
        <v>96</v>
      </c>
      <c r="J28" s="68" t="b">
        <f>NOT(ISERROR(MATCH(A28,Index[Item],0)))</f>
        <v>1</v>
      </c>
    </row>
    <row r="29" spans="1:10" s="68" customFormat="1" x14ac:dyDescent="0.3">
      <c r="A29" s="1" t="s">
        <v>98</v>
      </c>
      <c r="B29" s="5">
        <f>28*$H29</f>
        <v>0</v>
      </c>
      <c r="C29" s="5">
        <f>6.7*$H29</f>
        <v>0</v>
      </c>
      <c r="D29" s="5">
        <f t="shared" si="5"/>
        <v>0</v>
      </c>
      <c r="E29" s="5">
        <f>0.9*$H29</f>
        <v>0</v>
      </c>
      <c r="F29" s="5">
        <f>1.2*$H29</f>
        <v>0</v>
      </c>
      <c r="G29" s="5">
        <f>4.4*$H29</f>
        <v>0</v>
      </c>
      <c r="H29" s="5"/>
      <c r="I29" s="22" t="s">
        <v>96</v>
      </c>
      <c r="J29" s="68" t="b">
        <f>NOT(ISERROR(MATCH(A29,Index[Item],0)))</f>
        <v>1</v>
      </c>
    </row>
    <row r="30" spans="1:10" s="68" customFormat="1" x14ac:dyDescent="0.3">
      <c r="A30" s="1" t="s">
        <v>99</v>
      </c>
      <c r="B30" s="5">
        <f>27*$H30</f>
        <v>0</v>
      </c>
      <c r="C30" s="5">
        <f>6.3*$H30</f>
        <v>0</v>
      </c>
      <c r="D30" s="5">
        <f t="shared" si="5"/>
        <v>0</v>
      </c>
      <c r="E30" s="5">
        <f>1*$H30</f>
        <v>0</v>
      </c>
      <c r="F30" s="5">
        <f>0.9*$H30</f>
        <v>0</v>
      </c>
      <c r="G30" s="5">
        <f>0*$H30</f>
        <v>0</v>
      </c>
      <c r="H30" s="5"/>
      <c r="I30" s="22" t="s">
        <v>96</v>
      </c>
      <c r="J30" s="68" t="b">
        <f>NOT(ISERROR(MATCH(A30,Index[Item],0)))</f>
        <v>1</v>
      </c>
    </row>
    <row r="31" spans="1:10" s="68" customFormat="1" x14ac:dyDescent="0.3">
      <c r="A31" s="1" t="s">
        <v>102</v>
      </c>
      <c r="B31" s="5">
        <f>44*$H31</f>
        <v>88</v>
      </c>
      <c r="C31" s="5">
        <f>10*$H31</f>
        <v>20</v>
      </c>
      <c r="D31" s="5">
        <f t="shared" si="5"/>
        <v>0.4</v>
      </c>
      <c r="E31" s="5">
        <f>1.4*$H31</f>
        <v>2.8</v>
      </c>
      <c r="F31" s="5">
        <f>1.4*$H31</f>
        <v>2.8</v>
      </c>
      <c r="G31" s="5">
        <f>4.7*$H31</f>
        <v>9.4</v>
      </c>
      <c r="H31" s="5">
        <v>2</v>
      </c>
      <c r="I31" s="22" t="s">
        <v>96</v>
      </c>
      <c r="J31" s="68" t="b">
        <f>NOT(ISERROR(MATCH(A31,Index[Item],0)))</f>
        <v>1</v>
      </c>
    </row>
    <row r="32" spans="1:10" s="68" customFormat="1" x14ac:dyDescent="0.3">
      <c r="A32" s="1" t="s">
        <v>95</v>
      </c>
      <c r="B32" s="5">
        <f>32*$H32</f>
        <v>0</v>
      </c>
      <c r="C32" s="5">
        <f>7.3*$H32</f>
        <v>0</v>
      </c>
      <c r="D32" s="5">
        <f t="shared" si="5"/>
        <v>0</v>
      </c>
      <c r="E32" s="5">
        <f>1.8*$H32</f>
        <v>0</v>
      </c>
      <c r="F32" s="5">
        <f t="shared" ref="F32" si="6">2.7*$H32</f>
        <v>0</v>
      </c>
      <c r="G32" s="5">
        <f>2.3*$H32</f>
        <v>0</v>
      </c>
      <c r="H32" s="5"/>
      <c r="I32" s="22" t="s">
        <v>96</v>
      </c>
      <c r="J32" s="68" t="b">
        <f>NOT(ISERROR(MATCH(A32,Index[Item],0)))</f>
        <v>1</v>
      </c>
    </row>
    <row r="33" spans="1:10" s="68" customFormat="1" x14ac:dyDescent="0.3">
      <c r="A33" s="1" t="s">
        <v>101</v>
      </c>
      <c r="B33" s="5">
        <f>29*$H33</f>
        <v>58</v>
      </c>
      <c r="C33" s="5">
        <f>6.5*$H33</f>
        <v>13</v>
      </c>
      <c r="D33" s="5">
        <f>0.4*$H33</f>
        <v>0.8</v>
      </c>
      <c r="E33" s="5">
        <f>0.9*$H33</f>
        <v>1.8</v>
      </c>
      <c r="F33" s="5">
        <f>2.8*$H33</f>
        <v>5.6</v>
      </c>
      <c r="G33" s="5">
        <f>4.1*$H33</f>
        <v>8.1999999999999993</v>
      </c>
      <c r="H33" s="5">
        <v>2</v>
      </c>
      <c r="I33" s="22" t="s">
        <v>96</v>
      </c>
      <c r="J33" s="68" t="b">
        <f>NOT(ISERROR(MATCH(A33,Index[Item],0)))</f>
        <v>1</v>
      </c>
    </row>
    <row r="34" spans="1:10" s="68" customFormat="1" x14ac:dyDescent="0.3">
      <c r="A34" s="1" t="s">
        <v>100</v>
      </c>
      <c r="B34" s="5">
        <f>27*$H34</f>
        <v>54</v>
      </c>
      <c r="C34" s="5">
        <f>5.4*$H34</f>
        <v>10.8</v>
      </c>
      <c r="D34" s="5">
        <f>0.5*$H34</f>
        <v>1</v>
      </c>
      <c r="E34" s="5">
        <f>1.7*$H34</f>
        <v>3.4</v>
      </c>
      <c r="F34" s="5">
        <f>3.4*$H34</f>
        <v>6.8</v>
      </c>
      <c r="G34" s="5">
        <f>2*$H34</f>
        <v>4</v>
      </c>
      <c r="H34" s="5">
        <v>2</v>
      </c>
      <c r="I34" s="22" t="s">
        <v>96</v>
      </c>
      <c r="J34" s="68" t="b">
        <f>NOT(ISERROR(MATCH(A34,Index[Item],0)))</f>
        <v>1</v>
      </c>
    </row>
    <row r="35" spans="1:10" s="68" customFormat="1" x14ac:dyDescent="0.3">
      <c r="A35" s="1" t="s">
        <v>108</v>
      </c>
      <c r="B35" s="5">
        <f>34*$H35</f>
        <v>0</v>
      </c>
      <c r="C35" s="5">
        <f>6.6*$H35</f>
        <v>0</v>
      </c>
      <c r="D35" s="5">
        <f>0.4*$H35</f>
        <v>0</v>
      </c>
      <c r="E35" s="5">
        <f>2.8*$H35</f>
        <v>0</v>
      </c>
      <c r="F35" s="5">
        <f>2.6*$H35</f>
        <v>0</v>
      </c>
      <c r="G35" s="5">
        <f>1.7*$H35</f>
        <v>0</v>
      </c>
      <c r="H35" s="5"/>
      <c r="I35" s="22" t="s">
        <v>96</v>
      </c>
      <c r="J35" s="68" t="b">
        <f>NOT(ISERROR(MATCH(A35,Index[Item],0)))</f>
        <v>1</v>
      </c>
    </row>
    <row r="36" spans="1:10" s="68" customFormat="1" x14ac:dyDescent="0.3">
      <c r="A36" s="1" t="s">
        <v>109</v>
      </c>
      <c r="B36" s="5">
        <f>35*$H36</f>
        <v>0</v>
      </c>
      <c r="C36" s="5">
        <f>7.9*$H36</f>
        <v>0</v>
      </c>
      <c r="D36" s="5">
        <f>0.3*$H36</f>
        <v>0</v>
      </c>
      <c r="E36" s="5">
        <f>1.9*$H36</f>
        <v>0</v>
      </c>
      <c r="F36" s="5">
        <f>3.2*$H36</f>
        <v>0</v>
      </c>
      <c r="G36" s="5">
        <f>3.6*$H36</f>
        <v>0</v>
      </c>
      <c r="H36" s="5"/>
      <c r="I36" s="22" t="s">
        <v>96</v>
      </c>
      <c r="J36" s="68" t="b">
        <f>NOT(ISERROR(MATCH(A36,Index[Item],0)))</f>
        <v>1</v>
      </c>
    </row>
    <row r="37" spans="1:10" s="68" customFormat="1" x14ac:dyDescent="0.3">
      <c r="A37" s="1" t="s">
        <v>107</v>
      </c>
      <c r="B37" s="5">
        <f>21*$H37</f>
        <v>0</v>
      </c>
      <c r="C37" s="5">
        <f>4.2*$H37</f>
        <v>0</v>
      </c>
      <c r="D37" s="5">
        <f>0.1*$H37</f>
        <v>0</v>
      </c>
      <c r="E37" s="5">
        <f>2*$H37</f>
        <v>0</v>
      </c>
      <c r="F37" s="5">
        <f>0.8*$H37</f>
        <v>0</v>
      </c>
      <c r="G37" s="5">
        <f>2.8*$H37</f>
        <v>0</v>
      </c>
      <c r="H37" s="5"/>
      <c r="I37" s="22" t="s">
        <v>96</v>
      </c>
      <c r="J37" s="68" t="b">
        <f>NOT(ISERROR(MATCH(A37,Index[Item],0)))</f>
        <v>1</v>
      </c>
    </row>
    <row r="38" spans="1:10" s="68" customFormat="1" x14ac:dyDescent="0.3">
      <c r="A38" s="1" t="s">
        <v>110</v>
      </c>
      <c r="B38" s="5">
        <f>18*$H38</f>
        <v>0</v>
      </c>
      <c r="C38" s="5">
        <f>4*$H38</f>
        <v>0</v>
      </c>
      <c r="D38" s="5">
        <f>0.2*$H38</f>
        <v>0</v>
      </c>
      <c r="E38" s="5">
        <f>0.8*$H38</f>
        <v>0</v>
      </c>
      <c r="F38" s="5">
        <f>1.6*$H38</f>
        <v>0</v>
      </c>
      <c r="G38" s="5">
        <f>2.4*$H38</f>
        <v>0</v>
      </c>
      <c r="H38" s="5"/>
      <c r="I38" s="22" t="s">
        <v>96</v>
      </c>
      <c r="J38" s="68" t="b">
        <f>NOT(ISERROR(MATCH(A38,Index[Item],0)))</f>
        <v>1</v>
      </c>
    </row>
    <row r="39" spans="1:10" s="68" customFormat="1" x14ac:dyDescent="0.3">
      <c r="A39" s="1" t="s">
        <v>113</v>
      </c>
      <c r="B39" s="5">
        <f>23*$H39</f>
        <v>0</v>
      </c>
      <c r="C39" s="5">
        <f>5.5*$H39</f>
        <v>0</v>
      </c>
      <c r="D39" s="5">
        <f>0.1*$H39</f>
        <v>0</v>
      </c>
      <c r="E39" s="5">
        <f>1.3*$H39</f>
        <v>0</v>
      </c>
      <c r="F39" s="5">
        <f>1.9*$H39</f>
        <v>0</v>
      </c>
      <c r="G39" s="5">
        <f>2.8*$H39</f>
        <v>0</v>
      </c>
      <c r="H39" s="5"/>
      <c r="I39" s="22" t="s">
        <v>96</v>
      </c>
      <c r="J39" s="68" t="b">
        <f>NOT(ISERROR(MATCH(A39,Index[Item],0)))</f>
        <v>1</v>
      </c>
    </row>
    <row r="40" spans="1:10" s="68" customFormat="1" x14ac:dyDescent="0.3">
      <c r="A40" s="1" t="s">
        <v>114</v>
      </c>
      <c r="B40" s="5">
        <f>29*$H40</f>
        <v>0</v>
      </c>
      <c r="C40" s="5">
        <f>6.9*$H40</f>
        <v>0</v>
      </c>
      <c r="D40" s="5">
        <f>0.1*$H40</f>
        <v>0</v>
      </c>
      <c r="E40" s="5">
        <f>1.5*$H40</f>
        <v>0</v>
      </c>
      <c r="F40" s="5">
        <f>2.6*$H40</f>
        <v>0</v>
      </c>
      <c r="G40" s="5">
        <f>3.3*$H40</f>
        <v>0</v>
      </c>
      <c r="H40" s="5"/>
      <c r="I40" s="22" t="s">
        <v>96</v>
      </c>
      <c r="J40" s="68" t="b">
        <f>NOT(ISERROR(MATCH(A40,Index[Item],0)))</f>
        <v>1</v>
      </c>
    </row>
    <row r="41" spans="1:10" s="68" customFormat="1" x14ac:dyDescent="0.3">
      <c r="A41" s="1" t="s">
        <v>111</v>
      </c>
      <c r="B41" s="5">
        <f>4.5*$H41</f>
        <v>0</v>
      </c>
      <c r="C41" s="5">
        <f>1*$H41</f>
        <v>0</v>
      </c>
      <c r="D41" s="5">
        <f>0*$H41</f>
        <v>0</v>
      </c>
      <c r="E41" s="5">
        <f>0.2*$H41</f>
        <v>0</v>
      </c>
      <c r="F41" s="5">
        <f>0.1*$H41</f>
        <v>0</v>
      </c>
      <c r="G41" s="5">
        <f>0*$H41</f>
        <v>0</v>
      </c>
      <c r="H41" s="5"/>
      <c r="I41" s="22" t="s">
        <v>112</v>
      </c>
      <c r="J41" s="68" t="b">
        <f>NOT(ISERROR(MATCH(A41,Index[Item],0)))</f>
        <v>1</v>
      </c>
    </row>
    <row r="42" spans="1:10" s="68" customFormat="1" ht="37.5" x14ac:dyDescent="0.3">
      <c r="A42" s="1" t="s">
        <v>117</v>
      </c>
      <c r="B42" s="5">
        <f>50*$H42</f>
        <v>0</v>
      </c>
      <c r="C42" s="5">
        <f>10*$H42</f>
        <v>0</v>
      </c>
      <c r="D42" s="5">
        <f t="shared" ref="D42:D45" si="7">0*$H42</f>
        <v>0</v>
      </c>
      <c r="E42" s="5">
        <f>3*$H42</f>
        <v>0</v>
      </c>
      <c r="F42" s="5">
        <f>3*$H42</f>
        <v>0</v>
      </c>
      <c r="G42" s="5">
        <f>4*$H42</f>
        <v>0</v>
      </c>
      <c r="H42" s="5"/>
      <c r="I42" s="22" t="s">
        <v>118</v>
      </c>
      <c r="J42" s="68" t="b">
        <f>NOT(ISERROR(MATCH(A42,Index[Item],0)))</f>
        <v>1</v>
      </c>
    </row>
    <row r="43" spans="1:10" s="68" customFormat="1" ht="42.75" customHeight="1" x14ac:dyDescent="0.3">
      <c r="A43" s="1" t="s">
        <v>119</v>
      </c>
      <c r="B43" s="5">
        <f>60*$H43</f>
        <v>0</v>
      </c>
      <c r="C43" s="5">
        <f>11*$H43</f>
        <v>0</v>
      </c>
      <c r="D43" s="5">
        <f t="shared" si="7"/>
        <v>0</v>
      </c>
      <c r="E43" s="5">
        <f>2*$H43</f>
        <v>0</v>
      </c>
      <c r="F43" s="5">
        <f>3*$H43</f>
        <v>0</v>
      </c>
      <c r="G43" s="5">
        <f>4*$H43</f>
        <v>0</v>
      </c>
      <c r="H43" s="5"/>
      <c r="I43" s="22" t="s">
        <v>118</v>
      </c>
      <c r="J43" s="68" t="b">
        <f>NOT(ISERROR(MATCH(A43,Index[Item],0)))</f>
        <v>1</v>
      </c>
    </row>
    <row r="44" spans="1:10" s="68" customFormat="1" ht="56.25" x14ac:dyDescent="0.3">
      <c r="A44" s="1" t="s">
        <v>120</v>
      </c>
      <c r="B44" s="5">
        <f>35*$H44</f>
        <v>0</v>
      </c>
      <c r="C44" s="5">
        <f>5*$H44</f>
        <v>0</v>
      </c>
      <c r="D44" s="5">
        <f>0*$H44</f>
        <v>0</v>
      </c>
      <c r="E44" s="5">
        <f>1*$H44</f>
        <v>0</v>
      </c>
      <c r="F44" s="5">
        <f>2*$H44</f>
        <v>0</v>
      </c>
      <c r="G44" s="5">
        <f>3*$H44</f>
        <v>0</v>
      </c>
      <c r="H44" s="5"/>
      <c r="I44" s="22" t="s">
        <v>121</v>
      </c>
      <c r="J44" s="68" t="b">
        <f>NOT(ISERROR(MATCH(A44,Index[Item],0)))</f>
        <v>1</v>
      </c>
    </row>
    <row r="45" spans="1:10" s="68" customFormat="1" ht="56.25" x14ac:dyDescent="0.3">
      <c r="A45" s="1" t="s">
        <v>122</v>
      </c>
      <c r="B45" s="5">
        <f>40*$H45</f>
        <v>0</v>
      </c>
      <c r="C45" s="5">
        <f>8*$H45</f>
        <v>0</v>
      </c>
      <c r="D45" s="5">
        <f t="shared" si="7"/>
        <v>0</v>
      </c>
      <c r="E45" s="5">
        <f>1*$H45</f>
        <v>0</v>
      </c>
      <c r="F45" s="5">
        <f>2*$H45</f>
        <v>0</v>
      </c>
      <c r="G45" s="5">
        <f>3*$H45</f>
        <v>0</v>
      </c>
      <c r="H45" s="5"/>
      <c r="I45" s="22" t="s">
        <v>123</v>
      </c>
      <c r="J45" s="68" t="b">
        <f>NOT(ISERROR(MATCH(A45,Index[Item],0)))</f>
        <v>1</v>
      </c>
    </row>
    <row r="46" spans="1:10" x14ac:dyDescent="0.3">
      <c r="A46" s="1" t="s">
        <v>232</v>
      </c>
      <c r="B46" s="5">
        <f>72*$H46</f>
        <v>0</v>
      </c>
      <c r="C46" s="5">
        <f>0.4*$H46</f>
        <v>0</v>
      </c>
      <c r="D46" s="5">
        <f>4.8*$H46</f>
        <v>0</v>
      </c>
      <c r="E46" s="5">
        <f>6.3*$H46</f>
        <v>0</v>
      </c>
      <c r="F46" s="5">
        <f t="shared" ref="F46" si="8">0*$H46</f>
        <v>0</v>
      </c>
      <c r="G46" s="5">
        <f>0.2*$H46</f>
        <v>0</v>
      </c>
      <c r="H46" s="5"/>
      <c r="J46" s="68" t="b">
        <f>NOT(ISERROR(MATCH(A46,Index[Item],0)))</f>
        <v>1</v>
      </c>
    </row>
    <row r="47" spans="1:10" x14ac:dyDescent="0.3">
      <c r="A47" s="1" t="s">
        <v>481</v>
      </c>
      <c r="B47" s="5">
        <f>Table273479[[#Totals],[Calories]]</f>
        <v>14</v>
      </c>
      <c r="C47" s="5">
        <f>Table273479[[#Totals],[Carbs]]</f>
        <v>3.6</v>
      </c>
      <c r="D47" s="5">
        <f>Table273479[[#Totals],[Fat]]</f>
        <v>0.2</v>
      </c>
      <c r="E47" s="5">
        <f>Table273479[[#Totals],[Protein]]</f>
        <v>2.4</v>
      </c>
      <c r="F47" s="5">
        <f>Table273479[[#Totals],[Fiber]]</f>
        <v>1.2</v>
      </c>
      <c r="G47" s="5">
        <f>Table273479[[#Totals],[Sugar]]</f>
        <v>0</v>
      </c>
      <c r="H47" s="5">
        <f>Table273479[[#Totals],[Serving by TSP]]</f>
        <v>4</v>
      </c>
      <c r="J47" s="68" t="b">
        <f>NOT(ISERROR(MATCH(A47,Index[Item],0)))</f>
        <v>1</v>
      </c>
    </row>
    <row r="48" spans="1:10" x14ac:dyDescent="0.3">
      <c r="A48" s="1" t="s">
        <v>544</v>
      </c>
      <c r="B48" s="5">
        <f>SUBTOTAL(109,FriedRice3358[Calories])/FriedRice3358[[#Totals],[Measurement]]</f>
        <v>376.25</v>
      </c>
      <c r="C48" s="5">
        <f>SUBTOTAL(109,FriedRice3358[Carbs])/FriedRice3358[[#Totals],[Measurement]]</f>
        <v>50.725000000000001</v>
      </c>
      <c r="D48" s="5">
        <f>SUBTOTAL(109,FriedRice3358[[Fat ]])/FriedRice3358[[#Totals],[Measurement]]</f>
        <v>11.100000000000001</v>
      </c>
      <c r="E48" s="5">
        <f>SUBTOTAL(109,FriedRice3358[Protein])/FriedRice3358[[#Totals],[Measurement]]</f>
        <v>23.400000000000006</v>
      </c>
      <c r="F48" s="5">
        <f>SUBTOTAL(109,FriedRice3358[Fiber])/FriedRice3358[[#Totals],[Measurement]]</f>
        <v>2.3499999999999996</v>
      </c>
      <c r="G48" s="5">
        <f>SUBTOTAL(109,FriedRice3358[Sugar])/FriedRice3358[[#Totals],[Measurement]]</f>
        <v>19.8125</v>
      </c>
      <c r="H48" s="5">
        <f>SUBTOTAL(109,FriedRice3358[Servings])/FriedRice3358[[#Totals],[Measurement]]</f>
        <v>7.25</v>
      </c>
      <c r="I48" s="22" t="s">
        <v>552</v>
      </c>
    </row>
    <row r="49" spans="1:10" x14ac:dyDescent="0.3">
      <c r="J49" s="68"/>
    </row>
    <row r="50" spans="1:10" x14ac:dyDescent="0.3">
      <c r="A50" s="43" t="s">
        <v>0</v>
      </c>
      <c r="B50" s="44" t="s">
        <v>1</v>
      </c>
      <c r="C50" s="44" t="s">
        <v>2</v>
      </c>
      <c r="D50" s="44" t="s">
        <v>3</v>
      </c>
      <c r="E50" s="44" t="s">
        <v>4</v>
      </c>
      <c r="F50" s="44" t="s">
        <v>5</v>
      </c>
      <c r="G50" s="44" t="s">
        <v>6</v>
      </c>
      <c r="H50" s="44" t="s">
        <v>7</v>
      </c>
      <c r="J50" s="68"/>
    </row>
    <row r="51" spans="1:10" x14ac:dyDescent="0.3">
      <c r="A51" s="45" t="s">
        <v>8</v>
      </c>
      <c r="B51" s="46">
        <f>1.6*$H51</f>
        <v>0</v>
      </c>
      <c r="C51" s="46">
        <f>0.3*$H51</f>
        <v>0</v>
      </c>
      <c r="D51" s="46">
        <f>0*$H51</f>
        <v>0</v>
      </c>
      <c r="E51" s="46">
        <f>0.2*$H51</f>
        <v>0</v>
      </c>
      <c r="F51" s="46">
        <f>0.3*$H51</f>
        <v>0</v>
      </c>
      <c r="G51" s="46">
        <f>0*$H51</f>
        <v>0</v>
      </c>
      <c r="H51" s="47"/>
      <c r="J51" s="68" t="b">
        <f>NOT(ISERROR(MATCH(A51,Spice[Spice],0)))</f>
        <v>1</v>
      </c>
    </row>
    <row r="52" spans="1:10" x14ac:dyDescent="0.3">
      <c r="A52" s="45" t="s">
        <v>9</v>
      </c>
      <c r="B52" s="46">
        <f>5.8*$H52</f>
        <v>11.6</v>
      </c>
      <c r="C52" s="46">
        <f>1.5*$H52</f>
        <v>3</v>
      </c>
      <c r="D52" s="46">
        <f>0.1*$H52</f>
        <v>0.2</v>
      </c>
      <c r="E52" s="46">
        <f>0.2*$H52</f>
        <v>0.4</v>
      </c>
      <c r="F52" s="46">
        <f>0.6*$H52</f>
        <v>1.2</v>
      </c>
      <c r="G52" s="46">
        <f>0*$H52</f>
        <v>0</v>
      </c>
      <c r="H52" s="47">
        <v>2</v>
      </c>
      <c r="J52" s="68" t="b">
        <f>NOT(ISERROR(MATCH(A52,Spice[Spice],0)))</f>
        <v>1</v>
      </c>
    </row>
    <row r="53" spans="1:10" x14ac:dyDescent="0.3">
      <c r="A53" s="41" t="s">
        <v>10</v>
      </c>
      <c r="B53" s="32">
        <f>7.6*$H53</f>
        <v>0</v>
      </c>
      <c r="C53" s="32">
        <f>1.3*$H53</f>
        <v>0</v>
      </c>
      <c r="D53" s="32">
        <f>0.4*$H53</f>
        <v>0</v>
      </c>
      <c r="E53" s="32">
        <f>0.4*$H53</f>
        <v>0</v>
      </c>
      <c r="F53" s="32">
        <f>0.9*$H53</f>
        <v>0</v>
      </c>
      <c r="G53" s="32">
        <f>0.2*$H53</f>
        <v>0</v>
      </c>
      <c r="H53" s="42"/>
      <c r="J53" s="2" t="b">
        <f>NOT(ISERROR(MATCH(A53,Spice[Spice],0)))</f>
        <v>1</v>
      </c>
    </row>
    <row r="54" spans="1:10" s="22" customFormat="1" x14ac:dyDescent="0.3">
      <c r="A54" s="45" t="s">
        <v>11</v>
      </c>
      <c r="B54" s="46">
        <f>48*$H54</f>
        <v>0</v>
      </c>
      <c r="C54" s="46">
        <f>8*$H54</f>
        <v>0</v>
      </c>
      <c r="D54" s="46">
        <f>0*$H54</f>
        <v>0</v>
      </c>
      <c r="E54" s="46">
        <f>0*$H54</f>
        <v>0</v>
      </c>
      <c r="F54" s="46">
        <f>0*$H54</f>
        <v>0</v>
      </c>
      <c r="G54" s="46">
        <f>0*$H54</f>
        <v>0</v>
      </c>
      <c r="H54" s="47"/>
      <c r="J54" s="2" t="b">
        <f>NOT(ISERROR(MATCH(A54,Spice[Spice],0)))</f>
        <v>1</v>
      </c>
    </row>
    <row r="55" spans="1:10" s="22" customFormat="1" x14ac:dyDescent="0.3">
      <c r="A55" s="41" t="s">
        <v>12</v>
      </c>
      <c r="B55" s="32">
        <f>6.4*$H55</f>
        <v>0</v>
      </c>
      <c r="C55" s="32">
        <f>2.1*$H55</f>
        <v>0</v>
      </c>
      <c r="D55" s="32">
        <f>0*$H54</f>
        <v>0</v>
      </c>
      <c r="E55" s="32">
        <f>0.1*$H55</f>
        <v>0</v>
      </c>
      <c r="F55" s="32">
        <f>1.4*$H55</f>
        <v>0</v>
      </c>
      <c r="G55" s="32">
        <f>0.1*$H55</f>
        <v>0</v>
      </c>
      <c r="H55" s="42"/>
      <c r="J55" s="2" t="b">
        <f>NOT(ISERROR(MATCH(A55,Spice[Spice],0)))</f>
        <v>1</v>
      </c>
    </row>
    <row r="56" spans="1:10" s="22" customFormat="1" x14ac:dyDescent="0.3">
      <c r="A56" s="45" t="s">
        <v>13</v>
      </c>
      <c r="B56" s="46">
        <f>1.7*$H56</f>
        <v>0</v>
      </c>
      <c r="C56" s="46">
        <f>0.3*$H56</f>
        <v>0</v>
      </c>
      <c r="D56" s="46">
        <f>0*$H56</f>
        <v>0</v>
      </c>
      <c r="E56" s="46">
        <f>0.1*$H56</f>
        <v>0</v>
      </c>
      <c r="F56" s="46">
        <f>0.1*$H56</f>
        <v>0</v>
      </c>
      <c r="G56" s="46">
        <f>0*$H56</f>
        <v>0</v>
      </c>
      <c r="H56" s="47"/>
      <c r="J56" s="2" t="b">
        <f>NOT(ISERROR(MATCH(A56,Spice[Spice],0)))</f>
        <v>1</v>
      </c>
    </row>
    <row r="57" spans="1:10" s="22" customFormat="1" ht="37.5" x14ac:dyDescent="0.3">
      <c r="A57" s="41" t="s">
        <v>14</v>
      </c>
      <c r="B57" s="32">
        <f>5.7*$H57</f>
        <v>0</v>
      </c>
      <c r="C57" s="32">
        <f>1*$H57</f>
        <v>0</v>
      </c>
      <c r="D57" s="32">
        <f>0*$H57</f>
        <v>0</v>
      </c>
      <c r="E57" s="32">
        <f>0.2*$H57</f>
        <v>0</v>
      </c>
      <c r="F57" s="32">
        <f>0.5*$H57</f>
        <v>0</v>
      </c>
      <c r="G57" s="32">
        <f>0.2*$H57</f>
        <v>0</v>
      </c>
      <c r="H57" s="42"/>
      <c r="J57" s="2" t="b">
        <f>NOT(ISERROR(MATCH(A57,Spice[Spice],0)))</f>
        <v>1</v>
      </c>
    </row>
    <row r="58" spans="1:10" s="22" customFormat="1" x14ac:dyDescent="0.3">
      <c r="A58" s="45" t="s">
        <v>15</v>
      </c>
      <c r="B58" s="46">
        <f>7.6*$H58</f>
        <v>0</v>
      </c>
      <c r="C58" s="46">
        <f>0.9*$H58</f>
        <v>0</v>
      </c>
      <c r="D58" s="46">
        <f>0.5*$H58</f>
        <v>0</v>
      </c>
      <c r="E58" s="46">
        <f>0.4*$H58</f>
        <v>0</v>
      </c>
      <c r="F58" s="46">
        <f>0.2*$H58</f>
        <v>0</v>
      </c>
      <c r="G58" s="46">
        <f>0.1*$H58</f>
        <v>0</v>
      </c>
      <c r="H58" s="47"/>
      <c r="J58" s="2" t="b">
        <f>NOT(ISERROR(MATCH(A58,Spice[Spice],0)))</f>
        <v>1</v>
      </c>
    </row>
    <row r="59" spans="1:10" s="22" customFormat="1" x14ac:dyDescent="0.3">
      <c r="A59" s="41" t="s">
        <v>16</v>
      </c>
      <c r="B59" s="32">
        <f>(36/5)*$H59</f>
        <v>0</v>
      </c>
      <c r="C59" s="32">
        <f>(5/5)*$H59</f>
        <v>0</v>
      </c>
      <c r="D59" s="32">
        <f>(1.2/5)*$H59</f>
        <v>0</v>
      </c>
      <c r="E59" s="32">
        <f>(1.3/5)*$H59</f>
        <v>0</v>
      </c>
      <c r="F59" s="32">
        <f>(3/5)*$H59</f>
        <v>0</v>
      </c>
      <c r="G59" s="32">
        <f>(0.2/5)*$H59</f>
        <v>0</v>
      </c>
      <c r="H59" s="42"/>
      <c r="J59" s="2" t="b">
        <f>NOT(ISERROR(MATCH(A59,Spice[Spice],0)))</f>
        <v>1</v>
      </c>
    </row>
    <row r="60" spans="1:10" s="22" customFormat="1" x14ac:dyDescent="0.3">
      <c r="A60" s="45" t="s">
        <v>17</v>
      </c>
      <c r="B60" s="46">
        <f>5*$H60</f>
        <v>0</v>
      </c>
      <c r="C60" s="46">
        <f>1*$H60</f>
        <v>0</v>
      </c>
      <c r="D60" s="46">
        <f>0*$H60</f>
        <v>0</v>
      </c>
      <c r="E60" s="46">
        <f>0*$H60</f>
        <v>0</v>
      </c>
      <c r="F60" s="46">
        <f>0*$H60</f>
        <v>0</v>
      </c>
      <c r="G60" s="46">
        <f>0*$H60</f>
        <v>0</v>
      </c>
      <c r="H60" s="47"/>
      <c r="J60" s="2" t="b">
        <f>NOT(ISERROR(MATCH(A60,Spice[Spice],0)))</f>
        <v>1</v>
      </c>
    </row>
    <row r="61" spans="1:10" s="22" customFormat="1" x14ac:dyDescent="0.3">
      <c r="A61" s="41" t="s">
        <v>18</v>
      </c>
      <c r="B61" s="32">
        <f>10*$H61</f>
        <v>0</v>
      </c>
      <c r="C61" s="32">
        <f>2.3*$H61</f>
        <v>0</v>
      </c>
      <c r="D61" s="32">
        <f>0*$H61</f>
        <v>0</v>
      </c>
      <c r="E61" s="32">
        <f>0.5*$H61</f>
        <v>0</v>
      </c>
      <c r="F61" s="32">
        <f>0.3*$H61</f>
        <v>0</v>
      </c>
      <c r="G61" s="32">
        <f>0.1*$H61</f>
        <v>0</v>
      </c>
      <c r="H61" s="42"/>
      <c r="J61" s="22" t="b">
        <f>NOT(ISERROR(MATCH(A61,Spice[Spice],0)))</f>
        <v>1</v>
      </c>
    </row>
    <row r="62" spans="1:10" s="22" customFormat="1" x14ac:dyDescent="0.3">
      <c r="A62" s="45" t="s">
        <v>19</v>
      </c>
      <c r="B62" s="46">
        <f>1.2*$H62</f>
        <v>2.4</v>
      </c>
      <c r="C62" s="46">
        <f>0.3*$H62</f>
        <v>0.6</v>
      </c>
      <c r="D62" s="46">
        <f>0*$H62</f>
        <v>0</v>
      </c>
      <c r="E62" s="46">
        <f>1*$H62</f>
        <v>2</v>
      </c>
      <c r="F62" s="46">
        <f>0*$H62</f>
        <v>0</v>
      </c>
      <c r="G62" s="46">
        <f>0*$H62</f>
        <v>0</v>
      </c>
      <c r="H62" s="47">
        <v>2</v>
      </c>
      <c r="J62" s="22" t="b">
        <f>NOT(ISERROR(MATCH(A62,Spice[Spice],0)))</f>
        <v>1</v>
      </c>
    </row>
    <row r="63" spans="1:10" s="22" customFormat="1" x14ac:dyDescent="0.3">
      <c r="A63" s="45" t="s">
        <v>20</v>
      </c>
      <c r="B63" s="46">
        <f>6*$H63</f>
        <v>0</v>
      </c>
      <c r="C63" s="46">
        <f>1.3*$H63</f>
        <v>0</v>
      </c>
      <c r="D63" s="46">
        <f>0.1*$H63</f>
        <v>0</v>
      </c>
      <c r="E63" s="46">
        <f>0.2*$H63</f>
        <v>0</v>
      </c>
      <c r="F63" s="46">
        <f>0.3*$H63</f>
        <v>0</v>
      </c>
      <c r="G63" s="46">
        <f>0.1*$H63</f>
        <v>0</v>
      </c>
      <c r="H63" s="47"/>
      <c r="J63" s="22" t="b">
        <f>NOT(ISERROR(MATCH(A63,Spice[Spice],0)))</f>
        <v>1</v>
      </c>
    </row>
    <row r="64" spans="1:10" s="22" customFormat="1" x14ac:dyDescent="0.3">
      <c r="A64" s="41" t="s">
        <v>21</v>
      </c>
      <c r="B64" s="32">
        <f>2.2*$H64</f>
        <v>0</v>
      </c>
      <c r="C64" s="32">
        <f>0.5*$H64</f>
        <v>0</v>
      </c>
      <c r="D64" s="32">
        <f>0.1*$H64</f>
        <v>0</v>
      </c>
      <c r="E64" s="32">
        <f>0.1*$H64</f>
        <v>0</v>
      </c>
      <c r="F64" s="32">
        <f>0.3*$H64</f>
        <v>0</v>
      </c>
      <c r="G64" s="32">
        <f>0*$H64</f>
        <v>0</v>
      </c>
      <c r="H64" s="42"/>
      <c r="J64" s="22" t="b">
        <f>NOT(ISERROR(MATCH(A64,Spice[Spice],0)))</f>
        <v>1</v>
      </c>
    </row>
    <row r="65" spans="1:10" s="22" customFormat="1" x14ac:dyDescent="0.3">
      <c r="A65" s="45" t="s">
        <v>22</v>
      </c>
      <c r="B65" s="46">
        <f>0*$H65</f>
        <v>0</v>
      </c>
      <c r="C65" s="46">
        <f>0*$H65</f>
        <v>0</v>
      </c>
      <c r="D65" s="46">
        <f>0*$H65</f>
        <v>0</v>
      </c>
      <c r="E65" s="46">
        <f>0*$H65</f>
        <v>0</v>
      </c>
      <c r="F65" s="46">
        <f>0*$H65</f>
        <v>0</v>
      </c>
      <c r="G65" s="46">
        <f>0*$H65</f>
        <v>0</v>
      </c>
      <c r="H65" s="47"/>
      <c r="J65" s="22" t="b">
        <f>NOT(ISERROR(MATCH(A65,Spice[Spice],0)))</f>
        <v>1</v>
      </c>
    </row>
    <row r="66" spans="1:10" s="22" customFormat="1" x14ac:dyDescent="0.3">
      <c r="A66" s="41" t="s">
        <v>23</v>
      </c>
      <c r="B66" s="32">
        <f>8.2*$H66</f>
        <v>0</v>
      </c>
      <c r="C66" s="32">
        <f>1.9*$H66</f>
        <v>0</v>
      </c>
      <c r="D66" s="32">
        <f>0*$H66</f>
        <v>0</v>
      </c>
      <c r="E66" s="32">
        <f>0.3*$H66</f>
        <v>0</v>
      </c>
      <c r="F66" s="32">
        <f>0.4*$H66</f>
        <v>0</v>
      </c>
      <c r="G66" s="32">
        <f>0.2*$H66</f>
        <v>0</v>
      </c>
      <c r="H66" s="42"/>
      <c r="J66" s="22" t="b">
        <f>NOT(ISERROR(MATCH(A66,Spice[Spice],0)))</f>
        <v>1</v>
      </c>
    </row>
    <row r="67" spans="1:10" s="22" customFormat="1" x14ac:dyDescent="0.3">
      <c r="A67" s="45" t="s">
        <v>24</v>
      </c>
      <c r="B67" s="46">
        <f>2.7*$H67</f>
        <v>0</v>
      </c>
      <c r="C67" s="46">
        <f>0.7*$H67</f>
        <v>0</v>
      </c>
      <c r="D67" s="46">
        <f>0*$H67</f>
        <v>0</v>
      </c>
      <c r="E67" s="46">
        <f>0.1*$H67</f>
        <v>0</v>
      </c>
      <c r="F67" s="46">
        <f>0.4*$H67</f>
        <v>0</v>
      </c>
      <c r="G67" s="46">
        <f>0*$H67</f>
        <v>0</v>
      </c>
      <c r="H67" s="47"/>
      <c r="J67" s="22" t="b">
        <f>NOT(ISERROR(MATCH(A67,Spice[Spice],0)))</f>
        <v>1</v>
      </c>
    </row>
    <row r="68" spans="1:10" s="22" customFormat="1" x14ac:dyDescent="0.3">
      <c r="A68" s="41" t="s">
        <v>25</v>
      </c>
      <c r="B68" s="32">
        <f>6.5*$H68</f>
        <v>0</v>
      </c>
      <c r="C68" s="32">
        <f>1.2*$H68</f>
        <v>0</v>
      </c>
      <c r="D68" s="32">
        <f>0.3*$H68</f>
        <v>0</v>
      </c>
      <c r="E68" s="32">
        <f>0.3*$H68</f>
        <v>0</v>
      </c>
      <c r="F68" s="32">
        <f>0.8*$H68</f>
        <v>0</v>
      </c>
      <c r="G68" s="32">
        <f>0.2*$H68</f>
        <v>0</v>
      </c>
      <c r="H68" s="42"/>
      <c r="J68" s="22" t="b">
        <f>NOT(ISERROR(MATCH(A68,Spice[Spice],0)))</f>
        <v>1</v>
      </c>
    </row>
    <row r="69" spans="1:10" s="22" customFormat="1" x14ac:dyDescent="0.3">
      <c r="A69" s="45" t="s">
        <v>26</v>
      </c>
      <c r="B69" s="46">
        <f>1.5*$H69</f>
        <v>0</v>
      </c>
      <c r="C69" s="46">
        <f>0.3*$H69</f>
        <v>0</v>
      </c>
      <c r="D69" s="46">
        <f>0*$H69</f>
        <v>0</v>
      </c>
      <c r="E69" s="46">
        <f>0.1*$H69</f>
        <v>0</v>
      </c>
      <c r="F69" s="46">
        <f>0.1*$H69</f>
        <v>0</v>
      </c>
      <c r="G69" s="46">
        <f>0*$H69</f>
        <v>0</v>
      </c>
      <c r="H69" s="47"/>
      <c r="J69" s="22" t="b">
        <f>NOT(ISERROR(MATCH(A69,Spice[Spice],0)))</f>
        <v>1</v>
      </c>
    </row>
    <row r="70" spans="1:10" s="22" customFormat="1" x14ac:dyDescent="0.3">
      <c r="A70" s="41" t="s">
        <v>27</v>
      </c>
      <c r="B70" s="32">
        <f>5.7*$H70</f>
        <v>0</v>
      </c>
      <c r="C70" s="32">
        <f>1*$H70</f>
        <v>0</v>
      </c>
      <c r="D70" s="32">
        <f>0.3*$H70</f>
        <v>0</v>
      </c>
      <c r="E70" s="32">
        <f>0.2*$H70</f>
        <v>0</v>
      </c>
      <c r="F70" s="32">
        <f>0.5*$H70</f>
        <v>0</v>
      </c>
      <c r="G70" s="32">
        <f>0.2*$H70</f>
        <v>0</v>
      </c>
      <c r="H70" s="42"/>
      <c r="J70" s="22" t="b">
        <f>NOT(ISERROR(MATCH(A70,Spice[Spice],0)))</f>
        <v>1</v>
      </c>
    </row>
    <row r="71" spans="1:10" s="22" customFormat="1" x14ac:dyDescent="0.3">
      <c r="A71" s="45" t="s">
        <v>28</v>
      </c>
      <c r="B71" s="46">
        <f t="shared" ref="B71:G71" si="9">0*$H71</f>
        <v>0</v>
      </c>
      <c r="C71" s="46">
        <f t="shared" si="9"/>
        <v>0</v>
      </c>
      <c r="D71" s="46">
        <f t="shared" si="9"/>
        <v>0</v>
      </c>
      <c r="E71" s="46">
        <f t="shared" si="9"/>
        <v>0</v>
      </c>
      <c r="F71" s="46">
        <f t="shared" si="9"/>
        <v>0</v>
      </c>
      <c r="G71" s="46">
        <f t="shared" si="9"/>
        <v>0</v>
      </c>
      <c r="H71" s="47"/>
      <c r="J71" s="22" t="b">
        <f>NOT(ISERROR(MATCH(A71,Spice[Spice],0)))</f>
        <v>1</v>
      </c>
    </row>
    <row r="72" spans="1:10" s="22" customFormat="1" x14ac:dyDescent="0.3">
      <c r="A72" s="41" t="s">
        <v>29</v>
      </c>
      <c r="B72" s="32">
        <f>2.5*$H72</f>
        <v>0</v>
      </c>
      <c r="C72" s="32">
        <f>0.6*$H72</f>
        <v>0</v>
      </c>
      <c r="D72" s="32">
        <f>0.1*$H72</f>
        <v>0</v>
      </c>
      <c r="E72" s="32">
        <f>0.1*$H72</f>
        <v>0</v>
      </c>
      <c r="F72" s="32">
        <f>0.3*$H72</f>
        <v>0</v>
      </c>
      <c r="G72" s="32">
        <f>0*$H72</f>
        <v>0</v>
      </c>
      <c r="H72" s="42"/>
      <c r="J72" s="22" t="b">
        <f>NOT(ISERROR(MATCH(A72,Spice[Spice],0)))</f>
        <v>1</v>
      </c>
    </row>
    <row r="73" spans="1:10" s="22" customFormat="1" x14ac:dyDescent="0.3">
      <c r="A73" s="41" t="s">
        <v>30</v>
      </c>
      <c r="B73" s="32">
        <f>4*$H73</f>
        <v>0</v>
      </c>
      <c r="C73" s="32">
        <f>1*$H73</f>
        <v>0</v>
      </c>
      <c r="D73" s="32">
        <f t="shared" ref="D73:F74" si="10">0*$H73</f>
        <v>0</v>
      </c>
      <c r="E73" s="32">
        <f t="shared" si="10"/>
        <v>0</v>
      </c>
      <c r="F73" s="32">
        <f t="shared" si="10"/>
        <v>0</v>
      </c>
      <c r="G73" s="32">
        <f>0*$H73</f>
        <v>0</v>
      </c>
      <c r="H73" s="42"/>
      <c r="J73" s="22" t="b">
        <f>NOT(ISERROR(MATCH(A73,Spice[Spice],0)))</f>
        <v>1</v>
      </c>
    </row>
    <row r="74" spans="1:10" x14ac:dyDescent="0.3">
      <c r="A74" s="41" t="s">
        <v>31</v>
      </c>
      <c r="B74" s="32">
        <f>0*$H74</f>
        <v>0</v>
      </c>
      <c r="C74" s="32">
        <f>0*$H74</f>
        <v>0</v>
      </c>
      <c r="D74" s="32">
        <f t="shared" si="10"/>
        <v>0</v>
      </c>
      <c r="E74" s="32">
        <f t="shared" si="10"/>
        <v>0</v>
      </c>
      <c r="F74" s="32">
        <f t="shared" si="10"/>
        <v>0</v>
      </c>
      <c r="G74" s="32">
        <f>0*$H74</f>
        <v>0</v>
      </c>
      <c r="H74" s="42"/>
      <c r="J74" s="22" t="b">
        <f>NOT(ISERROR(MATCH(A74,Spice[Spice],0)))</f>
        <v>1</v>
      </c>
    </row>
    <row r="75" spans="1:10" x14ac:dyDescent="0.3">
      <c r="A75" s="41" t="s">
        <v>32</v>
      </c>
      <c r="B75" s="32">
        <f>8*$H75</f>
        <v>0</v>
      </c>
      <c r="C75" s="32">
        <f>1.43*$H75</f>
        <v>0</v>
      </c>
      <c r="D75" s="32">
        <f>0.22*$H75</f>
        <v>0</v>
      </c>
      <c r="E75" s="32">
        <f>0.17*$H75</f>
        <v>0</v>
      </c>
      <c r="F75" s="32">
        <f>0.5*$H75</f>
        <v>0</v>
      </c>
      <c r="G75" s="32">
        <f>0*$H75</f>
        <v>0</v>
      </c>
      <c r="H75" s="42"/>
      <c r="J75" s="22" t="b">
        <f>NOT(ISERROR(MATCH(A75,Spice[Spice],0)))</f>
        <v>1</v>
      </c>
    </row>
    <row r="76" spans="1:10" x14ac:dyDescent="0.3">
      <c r="A76" s="41" t="s">
        <v>33</v>
      </c>
      <c r="B76" s="32">
        <f>7.1*$H76</f>
        <v>0</v>
      </c>
      <c r="C76" s="32">
        <f>1.6*$H76</f>
        <v>0</v>
      </c>
      <c r="D76" s="32">
        <f>0.1*$H76</f>
        <v>0</v>
      </c>
      <c r="E76" s="32">
        <f>0.3*$H76</f>
        <v>0</v>
      </c>
      <c r="F76" s="32">
        <f>0.6*$H76</f>
        <v>0</v>
      </c>
      <c r="G76" s="32">
        <f>0*$H76</f>
        <v>0</v>
      </c>
      <c r="H76" s="42"/>
      <c r="J76" s="22" t="b">
        <f>NOT(ISERROR(MATCH(A76,Spice[Spice],0)))</f>
        <v>1</v>
      </c>
    </row>
    <row r="77" spans="1:10" x14ac:dyDescent="0.3">
      <c r="A77" s="41" t="s">
        <v>34</v>
      </c>
      <c r="B77" s="32">
        <f>SUBTOTAL(109,Table273479[Calories])</f>
        <v>14</v>
      </c>
      <c r="C77" s="32">
        <f>SUBTOTAL(109,Table273479[Carbs])</f>
        <v>3.6</v>
      </c>
      <c r="D77" s="32">
        <f>SUBTOTAL(109,Table273479[Fat])</f>
        <v>0.2</v>
      </c>
      <c r="E77" s="32">
        <f>SUBTOTAL(109,Table273479[Protein])</f>
        <v>2.4</v>
      </c>
      <c r="F77" s="32">
        <f>SUBTOTAL(109,Table273479[Fiber])</f>
        <v>1.2</v>
      </c>
      <c r="G77" s="32">
        <f>SUBTOTAL(109,Table273479[Sugar])</f>
        <v>0</v>
      </c>
      <c r="H77" s="42">
        <f>SUBTOTAL(109,Table273479[Serving by TSP])</f>
        <v>4</v>
      </c>
      <c r="J77" s="22"/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521DB-1B2E-425F-BB08-0C0A2A15675C}">
  <sheetPr codeName="Sheet29"/>
  <dimension ref="A1:J84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s="68" customFormat="1" x14ac:dyDescent="0.3">
      <c r="A2" s="1" t="s">
        <v>229</v>
      </c>
      <c r="B2" s="5">
        <f>110*$H2</f>
        <v>880</v>
      </c>
      <c r="C2" s="5">
        <f>0*$H2</f>
        <v>0</v>
      </c>
      <c r="D2" s="5">
        <f>3*$H2</f>
        <v>24</v>
      </c>
      <c r="E2" s="5">
        <f>22*$H2</f>
        <v>176</v>
      </c>
      <c r="F2" s="5">
        <f t="shared" ref="F2:G4" si="0">0*$H2</f>
        <v>0</v>
      </c>
      <c r="G2" s="5">
        <f t="shared" si="0"/>
        <v>0</v>
      </c>
      <c r="H2" s="5">
        <v>8</v>
      </c>
      <c r="I2" s="22" t="s">
        <v>204</v>
      </c>
      <c r="J2" s="68" t="b">
        <f>NOT(ISERROR(MATCH(A2,Index[Item],0)))</f>
        <v>1</v>
      </c>
    </row>
    <row r="3" spans="1:10" s="68" customFormat="1" x14ac:dyDescent="0.3">
      <c r="A3" s="1" t="s">
        <v>231</v>
      </c>
      <c r="B3" s="5">
        <f>200*$H3</f>
        <v>0</v>
      </c>
      <c r="C3" s="5">
        <f>0*$H3</f>
        <v>0</v>
      </c>
      <c r="D3" s="5">
        <f>14*$H3</f>
        <v>0</v>
      </c>
      <c r="E3" s="5">
        <f>16*$H3</f>
        <v>0</v>
      </c>
      <c r="F3" s="5">
        <f t="shared" si="0"/>
        <v>0</v>
      </c>
      <c r="G3" s="5">
        <f t="shared" si="0"/>
        <v>0</v>
      </c>
      <c r="H3" s="5"/>
      <c r="I3" s="22" t="s">
        <v>204</v>
      </c>
      <c r="J3" s="68" t="b">
        <f>NOT(ISERROR(MATCH(A3,Index[Item],0)))</f>
        <v>1</v>
      </c>
    </row>
    <row r="4" spans="1:10" s="68" customFormat="1" x14ac:dyDescent="0.3">
      <c r="A4" s="1" t="s">
        <v>228</v>
      </c>
      <c r="B4" s="5">
        <f>170*$H4</f>
        <v>0</v>
      </c>
      <c r="C4" s="5">
        <f>0*$H4</f>
        <v>0</v>
      </c>
      <c r="D4" s="5">
        <f>10*$H4</f>
        <v>0</v>
      </c>
      <c r="E4" s="5">
        <f>20*$H4</f>
        <v>0</v>
      </c>
      <c r="F4" s="5">
        <f t="shared" si="0"/>
        <v>0</v>
      </c>
      <c r="G4" s="5">
        <f t="shared" si="0"/>
        <v>0</v>
      </c>
      <c r="H4" s="5"/>
      <c r="I4" s="22" t="s">
        <v>204</v>
      </c>
      <c r="J4" s="68" t="b">
        <f>NOT(ISERROR(MATCH(A4,Index[Item],0)))</f>
        <v>1</v>
      </c>
    </row>
    <row r="5" spans="1:10" s="68" customFormat="1" x14ac:dyDescent="0.3">
      <c r="A5" s="1" t="s">
        <v>235</v>
      </c>
      <c r="B5" s="5">
        <f>160*$H5</f>
        <v>0</v>
      </c>
      <c r="C5" s="5">
        <f>36*$H5</f>
        <v>0</v>
      </c>
      <c r="D5" s="5">
        <f>0*$H5</f>
        <v>0</v>
      </c>
      <c r="E5" s="5">
        <f>3*$H5</f>
        <v>0</v>
      </c>
      <c r="F5" s="5">
        <f>1*$H5</f>
        <v>0</v>
      </c>
      <c r="G5" s="5">
        <f>1*$H5</f>
        <v>0</v>
      </c>
      <c r="H5" s="5"/>
      <c r="I5" s="22" t="s">
        <v>236</v>
      </c>
      <c r="J5" s="68" t="b">
        <f>NOT(ISERROR(MATCH(A5,Index[Item],0)))</f>
        <v>1</v>
      </c>
    </row>
    <row r="6" spans="1:10" s="68" customFormat="1" x14ac:dyDescent="0.3">
      <c r="A6" s="1" t="s">
        <v>237</v>
      </c>
      <c r="B6" s="5">
        <f>160*$H6</f>
        <v>0</v>
      </c>
      <c r="C6" s="5">
        <f>35*$H6</f>
        <v>0</v>
      </c>
      <c r="D6" s="5">
        <f>0*$H6</f>
        <v>0</v>
      </c>
      <c r="E6" s="5">
        <f>3*$H6</f>
        <v>0</v>
      </c>
      <c r="F6" s="5">
        <f>0*$H6</f>
        <v>0</v>
      </c>
      <c r="G6" s="5">
        <f>0*$H6</f>
        <v>0</v>
      </c>
      <c r="H6" s="5"/>
      <c r="I6" s="22" t="s">
        <v>236</v>
      </c>
      <c r="J6" s="68" t="b">
        <f>NOT(ISERROR(MATCH(A6,Index[Item],0)))</f>
        <v>1</v>
      </c>
    </row>
    <row r="7" spans="1:10" s="68" customFormat="1" x14ac:dyDescent="0.3">
      <c r="A7" s="1" t="s">
        <v>238</v>
      </c>
      <c r="B7" s="5">
        <f>160*$H7</f>
        <v>0</v>
      </c>
      <c r="C7" s="5">
        <f>36*$H7</f>
        <v>0</v>
      </c>
      <c r="D7" s="5">
        <f>0*$H7</f>
        <v>0</v>
      </c>
      <c r="E7" s="5">
        <f>3*$H7</f>
        <v>0</v>
      </c>
      <c r="F7" s="5">
        <f>0*$H7</f>
        <v>0</v>
      </c>
      <c r="G7" s="5">
        <f>0*$H7</f>
        <v>0</v>
      </c>
      <c r="H7" s="5"/>
      <c r="I7" s="22" t="s">
        <v>236</v>
      </c>
      <c r="J7" s="68" t="b">
        <f>NOT(ISERROR(MATCH(A7,Index[Item],0)))</f>
        <v>1</v>
      </c>
    </row>
    <row r="8" spans="1:10" s="68" customFormat="1" x14ac:dyDescent="0.3">
      <c r="A8" s="1" t="s">
        <v>239</v>
      </c>
      <c r="B8" s="5">
        <f>160*$H8</f>
        <v>0</v>
      </c>
      <c r="C8" s="5">
        <f>34*$H8</f>
        <v>0</v>
      </c>
      <c r="D8" s="5">
        <f>1*$H8</f>
        <v>0</v>
      </c>
      <c r="E8" s="5">
        <f>3*$H8</f>
        <v>0</v>
      </c>
      <c r="F8" s="5">
        <f>1*$H8</f>
        <v>0</v>
      </c>
      <c r="G8" s="5">
        <f>0*$H8</f>
        <v>0</v>
      </c>
      <c r="H8" s="5"/>
      <c r="I8" s="22" t="s">
        <v>236</v>
      </c>
      <c r="J8" s="68" t="b">
        <f>NOT(ISERROR(MATCH(A8,Index[Item],0)))</f>
        <v>1</v>
      </c>
    </row>
    <row r="9" spans="1:10" s="68" customFormat="1" ht="37.5" x14ac:dyDescent="0.3">
      <c r="A9" s="1" t="s">
        <v>240</v>
      </c>
      <c r="B9" s="5">
        <f>160*$H9</f>
        <v>0</v>
      </c>
      <c r="C9" s="5">
        <f>36*$H9</f>
        <v>0</v>
      </c>
      <c r="D9" s="5">
        <f>0*$H9</f>
        <v>0</v>
      </c>
      <c r="E9" s="5">
        <f>3*$H9</f>
        <v>0</v>
      </c>
      <c r="F9" s="5">
        <f>1*$H9</f>
        <v>0</v>
      </c>
      <c r="G9" s="5">
        <f>0*$H9</f>
        <v>0</v>
      </c>
      <c r="H9" s="5"/>
      <c r="I9" s="22" t="s">
        <v>236</v>
      </c>
      <c r="J9" s="68" t="b">
        <f>NOT(ISERROR(MATCH(A9,Index[Item],0)))</f>
        <v>1</v>
      </c>
    </row>
    <row r="10" spans="1:10" s="68" customFormat="1" ht="37.5" x14ac:dyDescent="0.3">
      <c r="A10" s="1" t="s">
        <v>310</v>
      </c>
      <c r="B10" s="5">
        <f>25*$H10</f>
        <v>0</v>
      </c>
      <c r="C10" s="5">
        <f>5*$H10</f>
        <v>0</v>
      </c>
      <c r="D10" s="5">
        <f>0*$H10</f>
        <v>0</v>
      </c>
      <c r="E10" s="5">
        <f>0.5*$H10</f>
        <v>0</v>
      </c>
      <c r="F10" s="5">
        <f>0*$H10</f>
        <v>0</v>
      </c>
      <c r="G10" s="5">
        <f>3*$H10</f>
        <v>0</v>
      </c>
      <c r="H10" s="5"/>
      <c r="I10" s="22" t="s">
        <v>307</v>
      </c>
      <c r="J10" s="68" t="b">
        <f>NOT(ISERROR(MATCH(A10,Index[Item],0)))</f>
        <v>1</v>
      </c>
    </row>
    <row r="11" spans="1:10" s="68" customFormat="1" x14ac:dyDescent="0.3">
      <c r="A11" s="1" t="s">
        <v>318</v>
      </c>
      <c r="B11" s="5">
        <f>10*$H11</f>
        <v>80</v>
      </c>
      <c r="C11" s="5">
        <f>1*$H11</f>
        <v>8</v>
      </c>
      <c r="D11" s="5">
        <f>0*$H11</f>
        <v>0</v>
      </c>
      <c r="E11" s="5">
        <f>1*$H11</f>
        <v>8</v>
      </c>
      <c r="F11" s="5">
        <f>0*$H11</f>
        <v>0</v>
      </c>
      <c r="G11" s="5">
        <f>0*$H11</f>
        <v>0</v>
      </c>
      <c r="H11" s="5">
        <v>8</v>
      </c>
      <c r="I11" s="22" t="s">
        <v>307</v>
      </c>
      <c r="J11" s="68" t="b">
        <f>NOT(ISERROR(MATCH(A11,Index[Item],0)))</f>
        <v>1</v>
      </c>
    </row>
    <row r="12" spans="1:10" s="68" customFormat="1" ht="37.5" x14ac:dyDescent="0.3">
      <c r="A12" s="1" t="s">
        <v>319</v>
      </c>
      <c r="B12" s="5">
        <f>30*$H12</f>
        <v>30</v>
      </c>
      <c r="C12" s="5">
        <f>7*$H12</f>
        <v>7</v>
      </c>
      <c r="D12" s="5">
        <f>0*$H12</f>
        <v>0</v>
      </c>
      <c r="E12" s="5">
        <f>0.5*$H12</f>
        <v>0.5</v>
      </c>
      <c r="F12" s="5">
        <f>0*$H12</f>
        <v>0</v>
      </c>
      <c r="G12" s="5">
        <f>6*$H12</f>
        <v>6</v>
      </c>
      <c r="H12" s="5">
        <v>1</v>
      </c>
      <c r="I12" s="22" t="s">
        <v>307</v>
      </c>
      <c r="J12" s="68" t="b">
        <f>NOT(ISERROR(MATCH(A12,Index[Item],0)))</f>
        <v>1</v>
      </c>
    </row>
    <row r="13" spans="1:10" s="68" customFormat="1" x14ac:dyDescent="0.3">
      <c r="A13" s="1" t="s">
        <v>308</v>
      </c>
      <c r="B13" s="5">
        <f>60*$H13</f>
        <v>60</v>
      </c>
      <c r="C13" s="5">
        <f>17*$H13</f>
        <v>17</v>
      </c>
      <c r="D13" s="5">
        <f>0*$H13</f>
        <v>0</v>
      </c>
      <c r="E13" s="5">
        <f>0*$H13</f>
        <v>0</v>
      </c>
      <c r="F13" s="5">
        <f>0*$H13</f>
        <v>0</v>
      </c>
      <c r="G13" s="5">
        <f>17*$H13</f>
        <v>17</v>
      </c>
      <c r="H13" s="5">
        <v>1</v>
      </c>
      <c r="I13" s="22" t="s">
        <v>309</v>
      </c>
      <c r="J13" s="68" t="b">
        <f>NOT(ISERROR(MATCH(A13,Index[Item],0)))</f>
        <v>1</v>
      </c>
    </row>
    <row r="14" spans="1:10" s="68" customFormat="1" x14ac:dyDescent="0.3">
      <c r="A14" s="1" t="s">
        <v>306</v>
      </c>
      <c r="B14" s="5">
        <f>60*$H14</f>
        <v>0</v>
      </c>
      <c r="C14" s="5">
        <f>16*$H14</f>
        <v>0</v>
      </c>
      <c r="D14" s="5">
        <f t="shared" ref="D14:G23" si="1">0*$H14</f>
        <v>0</v>
      </c>
      <c r="E14" s="5">
        <f>0*$H14</f>
        <v>0</v>
      </c>
      <c r="F14" s="5">
        <f>1*$H14</f>
        <v>0</v>
      </c>
      <c r="G14" s="5">
        <f>15*$H14</f>
        <v>0</v>
      </c>
      <c r="H14" s="5"/>
      <c r="I14" s="22" t="s">
        <v>307</v>
      </c>
      <c r="J14" s="68" t="b">
        <f>NOT(ISERROR(MATCH(A14,Index[Item],0)))</f>
        <v>1</v>
      </c>
    </row>
    <row r="15" spans="1:10" s="68" customFormat="1" x14ac:dyDescent="0.3">
      <c r="A15" s="1" t="s">
        <v>303</v>
      </c>
      <c r="B15" s="5">
        <f>30*$H15</f>
        <v>0</v>
      </c>
      <c r="C15" s="5">
        <f>8*$H15</f>
        <v>0</v>
      </c>
      <c r="D15" s="5">
        <f t="shared" si="1"/>
        <v>0</v>
      </c>
      <c r="E15" s="5">
        <f t="shared" si="1"/>
        <v>0</v>
      </c>
      <c r="F15" s="5">
        <f t="shared" si="1"/>
        <v>0</v>
      </c>
      <c r="G15" s="5">
        <f>8*$H15</f>
        <v>0</v>
      </c>
      <c r="H15" s="5"/>
      <c r="I15" s="22" t="s">
        <v>304</v>
      </c>
      <c r="J15" s="68" t="b">
        <f>NOT(ISERROR(MATCH(A15,Index[Item],0)))</f>
        <v>1</v>
      </c>
    </row>
    <row r="16" spans="1:10" s="68" customFormat="1" x14ac:dyDescent="0.3">
      <c r="A16" s="1" t="s">
        <v>305</v>
      </c>
      <c r="B16" s="5">
        <f>30*$H16</f>
        <v>0</v>
      </c>
      <c r="C16" s="5">
        <f>8*$H16</f>
        <v>0</v>
      </c>
      <c r="D16" s="5">
        <f t="shared" si="1"/>
        <v>0</v>
      </c>
      <c r="E16" s="5">
        <f t="shared" si="1"/>
        <v>0</v>
      </c>
      <c r="F16" s="5">
        <f t="shared" si="1"/>
        <v>0</v>
      </c>
      <c r="G16" s="5">
        <f>8*$H16</f>
        <v>0</v>
      </c>
      <c r="H16" s="5"/>
      <c r="I16" s="22" t="s">
        <v>304</v>
      </c>
      <c r="J16" s="68" t="b">
        <f>NOT(ISERROR(MATCH(A16,Index[Item],0)))</f>
        <v>1</v>
      </c>
    </row>
    <row r="17" spans="1:10" s="68" customFormat="1" ht="37.5" x14ac:dyDescent="0.3">
      <c r="A17" s="1" t="s">
        <v>311</v>
      </c>
      <c r="B17" s="5">
        <f>32*$H17</f>
        <v>0</v>
      </c>
      <c r="C17" s="5">
        <f t="shared" ref="C17:C22" si="2">0*$H17</f>
        <v>0</v>
      </c>
      <c r="D17" s="5">
        <f t="shared" si="1"/>
        <v>0</v>
      </c>
      <c r="E17" s="5">
        <f>0*$H17</f>
        <v>0</v>
      </c>
      <c r="F17" s="5">
        <f t="shared" si="1"/>
        <v>0</v>
      </c>
      <c r="G17" s="5">
        <f>0*$H17</f>
        <v>0</v>
      </c>
      <c r="H17" s="5"/>
      <c r="I17" s="22" t="s">
        <v>312</v>
      </c>
      <c r="J17" s="68" t="b">
        <f>NOT(ISERROR(MATCH(A17,Index[Item],0)))</f>
        <v>1</v>
      </c>
    </row>
    <row r="18" spans="1:10" s="68" customFormat="1" ht="37.5" x14ac:dyDescent="0.3">
      <c r="A18" s="1" t="s">
        <v>317</v>
      </c>
      <c r="B18" s="5">
        <f>120*$H18</f>
        <v>0</v>
      </c>
      <c r="C18" s="5">
        <f t="shared" si="2"/>
        <v>0</v>
      </c>
      <c r="D18" s="5">
        <f>14*$H18</f>
        <v>0</v>
      </c>
      <c r="E18" s="5">
        <f>0*$H18</f>
        <v>0</v>
      </c>
      <c r="F18" s="5">
        <f t="shared" si="1"/>
        <v>0</v>
      </c>
      <c r="G18" s="5">
        <f>0*$H18</f>
        <v>0</v>
      </c>
      <c r="H18" s="5"/>
      <c r="I18" s="22" t="s">
        <v>307</v>
      </c>
      <c r="J18" s="68" t="b">
        <f>NOT(ISERROR(MATCH(A18,Index[Item],0)))</f>
        <v>1</v>
      </c>
    </row>
    <row r="19" spans="1:10" s="68" customFormat="1" x14ac:dyDescent="0.3">
      <c r="A19" s="1" t="s">
        <v>338</v>
      </c>
      <c r="B19" s="5">
        <f>120*$H19</f>
        <v>0</v>
      </c>
      <c r="C19" s="5">
        <f t="shared" si="2"/>
        <v>0</v>
      </c>
      <c r="D19" s="5">
        <f>14*$H19</f>
        <v>0</v>
      </c>
      <c r="E19" s="5">
        <f>0*$H19</f>
        <v>0</v>
      </c>
      <c r="F19" s="5">
        <f t="shared" si="1"/>
        <v>0</v>
      </c>
      <c r="G19" s="5">
        <f>0*$H19</f>
        <v>0</v>
      </c>
      <c r="H19" s="5"/>
      <c r="I19" s="22" t="s">
        <v>307</v>
      </c>
      <c r="J19" s="68" t="b">
        <f>NOT(ISERROR(MATCH(A19,Index[Item],0)))</f>
        <v>1</v>
      </c>
    </row>
    <row r="20" spans="1:10" s="68" customFormat="1" x14ac:dyDescent="0.3">
      <c r="A20" s="1" t="s">
        <v>337</v>
      </c>
      <c r="B20" s="5">
        <f>120*$H20</f>
        <v>480</v>
      </c>
      <c r="C20" s="5">
        <f t="shared" si="2"/>
        <v>0</v>
      </c>
      <c r="D20" s="5">
        <f>14*$H20</f>
        <v>56</v>
      </c>
      <c r="E20" s="5">
        <f>0*$H20</f>
        <v>0</v>
      </c>
      <c r="F20" s="5">
        <f t="shared" si="1"/>
        <v>0</v>
      </c>
      <c r="G20" s="5">
        <f>0*$H20</f>
        <v>0</v>
      </c>
      <c r="H20" s="5">
        <v>4</v>
      </c>
      <c r="I20" s="22" t="s">
        <v>307</v>
      </c>
      <c r="J20" s="68" t="b">
        <f>NOT(ISERROR(MATCH(A20,Index[Item],0)))</f>
        <v>1</v>
      </c>
    </row>
    <row r="21" spans="1:10" s="68" customFormat="1" ht="37.5" x14ac:dyDescent="0.3">
      <c r="A21" s="1" t="s">
        <v>342</v>
      </c>
      <c r="B21" s="5">
        <f>120*$H21</f>
        <v>0</v>
      </c>
      <c r="C21" s="5">
        <f t="shared" si="2"/>
        <v>0</v>
      </c>
      <c r="D21" s="5">
        <f>14*$H21</f>
        <v>0</v>
      </c>
      <c r="E21" s="5">
        <f t="shared" ref="E21:G22" si="3">0*$H21</f>
        <v>0</v>
      </c>
      <c r="F21" s="5">
        <f t="shared" si="3"/>
        <v>0</v>
      </c>
      <c r="G21" s="5">
        <f t="shared" si="3"/>
        <v>0</v>
      </c>
      <c r="H21" s="5"/>
      <c r="I21" s="22" t="s">
        <v>307</v>
      </c>
      <c r="J21" s="68" t="b">
        <f>NOT(ISERROR(MATCH(A21,Index[Item],0)))</f>
        <v>1</v>
      </c>
    </row>
    <row r="22" spans="1:10" s="68" customFormat="1" x14ac:dyDescent="0.3">
      <c r="A22" s="1" t="s">
        <v>343</v>
      </c>
      <c r="B22" s="5">
        <f>120*$H22</f>
        <v>0</v>
      </c>
      <c r="C22" s="5">
        <f t="shared" si="2"/>
        <v>0</v>
      </c>
      <c r="D22" s="5">
        <f>14*$H22</f>
        <v>0</v>
      </c>
      <c r="E22" s="5">
        <f t="shared" si="3"/>
        <v>0</v>
      </c>
      <c r="F22" s="5">
        <f t="shared" si="3"/>
        <v>0</v>
      </c>
      <c r="G22" s="5">
        <f t="shared" si="3"/>
        <v>0</v>
      </c>
      <c r="H22" s="5"/>
      <c r="I22" s="22" t="s">
        <v>307</v>
      </c>
      <c r="J22" s="68" t="b">
        <f>NOT(ISERROR(MATCH(A22,Index[Item],0)))</f>
        <v>1</v>
      </c>
    </row>
    <row r="23" spans="1:10" s="68" customFormat="1" x14ac:dyDescent="0.3">
      <c r="A23" s="1" t="s">
        <v>313</v>
      </c>
      <c r="B23" s="5">
        <f>0*$H23</f>
        <v>0</v>
      </c>
      <c r="C23" s="5">
        <f t="shared" ref="C23:F24" si="4">0*$H23</f>
        <v>0</v>
      </c>
      <c r="D23" s="5">
        <f t="shared" si="4"/>
        <v>0</v>
      </c>
      <c r="E23" s="5">
        <f t="shared" si="4"/>
        <v>0</v>
      </c>
      <c r="F23" s="5">
        <f t="shared" si="1"/>
        <v>0</v>
      </c>
      <c r="G23" s="5">
        <f t="shared" si="1"/>
        <v>0</v>
      </c>
      <c r="H23" s="5"/>
      <c r="I23" s="22" t="s">
        <v>307</v>
      </c>
      <c r="J23" s="68" t="b">
        <f>NOT(ISERROR(MATCH(A23,Index[Item],0)))</f>
        <v>1</v>
      </c>
    </row>
    <row r="24" spans="1:10" s="68" customFormat="1" ht="37.5" x14ac:dyDescent="0.3">
      <c r="A24" s="1" t="s">
        <v>341</v>
      </c>
      <c r="B24" s="5">
        <f>10*$H24</f>
        <v>0</v>
      </c>
      <c r="C24" s="5">
        <f>2*$H24</f>
        <v>0</v>
      </c>
      <c r="D24" s="5">
        <f>0*$H24</f>
        <v>0</v>
      </c>
      <c r="E24" s="5">
        <f t="shared" si="4"/>
        <v>0</v>
      </c>
      <c r="F24" s="5">
        <f t="shared" si="4"/>
        <v>0</v>
      </c>
      <c r="G24" s="5">
        <f>2*$H24</f>
        <v>0</v>
      </c>
      <c r="H24" s="5"/>
      <c r="I24" s="22" t="s">
        <v>307</v>
      </c>
      <c r="J24" s="68" t="b">
        <f>NOT(ISERROR(MATCH(A24,Index[Item],0)))</f>
        <v>1</v>
      </c>
    </row>
    <row r="25" spans="1:10" s="68" customFormat="1" ht="37.5" x14ac:dyDescent="0.3">
      <c r="A25" s="1" t="s">
        <v>314</v>
      </c>
      <c r="B25" s="5">
        <f>90*$H25</f>
        <v>0</v>
      </c>
      <c r="C25" s="5">
        <f>20*$H25</f>
        <v>0</v>
      </c>
      <c r="D25" s="5">
        <f>1*$H25</f>
        <v>0</v>
      </c>
      <c r="E25" s="5">
        <f>0*$H25</f>
        <v>0</v>
      </c>
      <c r="F25" s="5">
        <f>0*$H25</f>
        <v>0</v>
      </c>
      <c r="G25" s="5">
        <f>18*$H25</f>
        <v>0</v>
      </c>
      <c r="H25" s="5"/>
      <c r="I25" s="22" t="s">
        <v>315</v>
      </c>
      <c r="J25" s="68" t="b">
        <f>NOT(ISERROR(MATCH(A25,Index[Item],0)))</f>
        <v>1</v>
      </c>
    </row>
    <row r="26" spans="1:10" s="68" customFormat="1" ht="37.5" x14ac:dyDescent="0.3">
      <c r="A26" s="1" t="s">
        <v>320</v>
      </c>
      <c r="B26" s="5">
        <f>40*$H26</f>
        <v>0</v>
      </c>
      <c r="C26" s="5">
        <f>8*$H26</f>
        <v>0</v>
      </c>
      <c r="D26" s="5">
        <f>0*$H26</f>
        <v>0</v>
      </c>
      <c r="E26" s="5">
        <f>1*$H26</f>
        <v>0</v>
      </c>
      <c r="F26" s="5">
        <f>1*$H26</f>
        <v>0</v>
      </c>
      <c r="G26" s="5">
        <f>5*$H26</f>
        <v>0</v>
      </c>
      <c r="H26" s="5"/>
      <c r="I26" s="22" t="s">
        <v>321</v>
      </c>
      <c r="J26" s="68" t="b">
        <f>NOT(ISERROR(MATCH(A26,Index[Item],0)))</f>
        <v>1</v>
      </c>
    </row>
    <row r="27" spans="1:10" s="68" customFormat="1" x14ac:dyDescent="0.3">
      <c r="A27" s="1" t="s">
        <v>72</v>
      </c>
      <c r="B27" s="5">
        <f>0*$H27</f>
        <v>0</v>
      </c>
      <c r="C27" s="5">
        <f>0.5*$H27</f>
        <v>0</v>
      </c>
      <c r="D27" s="5">
        <f>0*$H27</f>
        <v>0</v>
      </c>
      <c r="E27" s="5">
        <f t="shared" ref="E27:F27" si="5">0*$H27</f>
        <v>0</v>
      </c>
      <c r="F27" s="5">
        <f t="shared" si="5"/>
        <v>0</v>
      </c>
      <c r="G27" s="5">
        <f>0.5*$H27</f>
        <v>0</v>
      </c>
      <c r="H27" s="5"/>
      <c r="I27" s="22" t="s">
        <v>73</v>
      </c>
      <c r="J27" s="68" t="b">
        <f>NOT(ISERROR(MATCH(A27,Index[Item],0)))</f>
        <v>1</v>
      </c>
    </row>
    <row r="28" spans="1:10" s="68" customFormat="1" ht="37.5" x14ac:dyDescent="0.3">
      <c r="A28" s="1" t="s">
        <v>162</v>
      </c>
      <c r="B28" s="5">
        <f>100*$H28</f>
        <v>0</v>
      </c>
      <c r="C28" s="5">
        <f>22*$H28</f>
        <v>0</v>
      </c>
      <c r="D28" s="5">
        <f>0*$H28</f>
        <v>0</v>
      </c>
      <c r="E28" s="5">
        <f>2*$H28</f>
        <v>0</v>
      </c>
      <c r="F28" s="5">
        <f>0*$H28</f>
        <v>0</v>
      </c>
      <c r="G28" s="5">
        <f>0*$H28</f>
        <v>0</v>
      </c>
      <c r="H28" s="5"/>
      <c r="I28" s="22" t="s">
        <v>163</v>
      </c>
      <c r="J28" s="68" t="b">
        <f>NOT(ISERROR(MATCH(A28,Index[Item],0)))</f>
        <v>1</v>
      </c>
    </row>
    <row r="29" spans="1:10" s="68" customFormat="1" x14ac:dyDescent="0.3">
      <c r="A29" s="1" t="s">
        <v>301</v>
      </c>
      <c r="B29" s="5">
        <f>30*$H29</f>
        <v>240</v>
      </c>
      <c r="C29" s="5">
        <f>8*$H29</f>
        <v>64</v>
      </c>
      <c r="D29" s="5">
        <f t="shared" ref="D29:G29" si="6">0*$H29</f>
        <v>0</v>
      </c>
      <c r="E29" s="5">
        <f t="shared" si="6"/>
        <v>0</v>
      </c>
      <c r="F29" s="5">
        <f t="shared" si="6"/>
        <v>0</v>
      </c>
      <c r="G29" s="5">
        <f t="shared" si="6"/>
        <v>0</v>
      </c>
      <c r="H29" s="5">
        <v>8</v>
      </c>
      <c r="I29" s="22" t="s">
        <v>302</v>
      </c>
      <c r="J29" s="68" t="b">
        <f>NOT(ISERROR(MATCH(A29,Index[Item],0)))</f>
        <v>1</v>
      </c>
    </row>
    <row r="30" spans="1:10" s="68" customFormat="1" x14ac:dyDescent="0.3">
      <c r="A30" s="1" t="s">
        <v>300</v>
      </c>
      <c r="B30" s="5">
        <f>0*$H30</f>
        <v>0</v>
      </c>
      <c r="C30" s="5">
        <f t="shared" ref="C30:G30" si="7">0*$H30</f>
        <v>0</v>
      </c>
      <c r="D30" s="5">
        <f t="shared" si="7"/>
        <v>0</v>
      </c>
      <c r="E30" s="5">
        <f t="shared" si="7"/>
        <v>0</v>
      </c>
      <c r="F30" s="5">
        <f t="shared" si="7"/>
        <v>0</v>
      </c>
      <c r="G30" s="5">
        <f t="shared" si="7"/>
        <v>0</v>
      </c>
      <c r="H30" s="5"/>
      <c r="I30" s="22" t="s">
        <v>299</v>
      </c>
      <c r="J30" s="68" t="b">
        <f>NOT(ISERROR(MATCH(A30,Index[Item],0)))</f>
        <v>1</v>
      </c>
    </row>
    <row r="31" spans="1:10" s="68" customFormat="1" x14ac:dyDescent="0.3">
      <c r="A31" s="1" t="s">
        <v>543</v>
      </c>
      <c r="B31" s="5">
        <f>28*$H31</f>
        <v>28</v>
      </c>
      <c r="C31" s="5">
        <f>6.7*$H31</f>
        <v>6.7</v>
      </c>
      <c r="D31" s="5">
        <f t="shared" ref="D31:D36" si="8">0.2*$H31</f>
        <v>0.2</v>
      </c>
      <c r="E31" s="5">
        <f>1.9*$H31</f>
        <v>1.9</v>
      </c>
      <c r="F31" s="5">
        <f>1.2*$H31</f>
        <v>1.2</v>
      </c>
      <c r="G31" s="5">
        <f>3.2*$H31</f>
        <v>3.2</v>
      </c>
      <c r="H31" s="5">
        <v>1</v>
      </c>
      <c r="I31" s="22" t="s">
        <v>96</v>
      </c>
      <c r="J31" s="68" t="b">
        <f>NOT(ISERROR(MATCH(A31,Index[Item],0)))</f>
        <v>1</v>
      </c>
    </row>
    <row r="32" spans="1:10" s="68" customFormat="1" x14ac:dyDescent="0.3">
      <c r="A32" s="1" t="s">
        <v>27</v>
      </c>
      <c r="B32" s="5">
        <f>28*$H32</f>
        <v>0</v>
      </c>
      <c r="C32" s="5">
        <f>6.7*$H32</f>
        <v>0</v>
      </c>
      <c r="D32" s="5">
        <f t="shared" si="8"/>
        <v>0</v>
      </c>
      <c r="E32" s="5">
        <f>0.9*$H32</f>
        <v>0</v>
      </c>
      <c r="F32" s="5">
        <f>1.2*$H32</f>
        <v>0</v>
      </c>
      <c r="G32" s="5">
        <f>4.4*$H32</f>
        <v>0</v>
      </c>
      <c r="H32" s="5"/>
      <c r="I32" s="22" t="s">
        <v>96</v>
      </c>
      <c r="J32" s="68" t="b">
        <f>NOT(ISERROR(MATCH(A32,Index[Item],0)))</f>
        <v>1</v>
      </c>
    </row>
    <row r="33" spans="1:10" s="68" customFormat="1" x14ac:dyDescent="0.3">
      <c r="A33" s="1" t="s">
        <v>98</v>
      </c>
      <c r="B33" s="5">
        <f>28*$H33</f>
        <v>0</v>
      </c>
      <c r="C33" s="5">
        <f>6.7*$H33</f>
        <v>0</v>
      </c>
      <c r="D33" s="5">
        <f t="shared" si="8"/>
        <v>0</v>
      </c>
      <c r="E33" s="5">
        <f>0.9*$H33</f>
        <v>0</v>
      </c>
      <c r="F33" s="5">
        <f>1.2*$H33</f>
        <v>0</v>
      </c>
      <c r="G33" s="5">
        <f>4.4*$H33</f>
        <v>0</v>
      </c>
      <c r="H33" s="5"/>
      <c r="I33" s="22" t="s">
        <v>96</v>
      </c>
      <c r="J33" s="68" t="b">
        <f>NOT(ISERROR(MATCH(A33,Index[Item],0)))</f>
        <v>1</v>
      </c>
    </row>
    <row r="34" spans="1:10" s="68" customFormat="1" x14ac:dyDescent="0.3">
      <c r="A34" s="1" t="s">
        <v>99</v>
      </c>
      <c r="B34" s="5">
        <f>27*$H34</f>
        <v>0</v>
      </c>
      <c r="C34" s="5">
        <f>6.3*$H34</f>
        <v>0</v>
      </c>
      <c r="D34" s="5">
        <f t="shared" si="8"/>
        <v>0</v>
      </c>
      <c r="E34" s="5">
        <f>1*$H34</f>
        <v>0</v>
      </c>
      <c r="F34" s="5">
        <f>0.9*$H34</f>
        <v>0</v>
      </c>
      <c r="G34" s="5">
        <f>0*$H34</f>
        <v>0</v>
      </c>
      <c r="H34" s="5"/>
      <c r="I34" s="22" t="s">
        <v>96</v>
      </c>
      <c r="J34" s="68" t="b">
        <f>NOT(ISERROR(MATCH(A34,Index[Item],0)))</f>
        <v>1</v>
      </c>
    </row>
    <row r="35" spans="1:10" s="68" customFormat="1" x14ac:dyDescent="0.3">
      <c r="A35" s="1" t="s">
        <v>102</v>
      </c>
      <c r="B35" s="5">
        <f>44*$H35</f>
        <v>44</v>
      </c>
      <c r="C35" s="5">
        <f>10*$H35</f>
        <v>10</v>
      </c>
      <c r="D35" s="5">
        <f t="shared" si="8"/>
        <v>0.2</v>
      </c>
      <c r="E35" s="5">
        <f>1.4*$H35</f>
        <v>1.4</v>
      </c>
      <c r="F35" s="5">
        <f>1.4*$H35</f>
        <v>1.4</v>
      </c>
      <c r="G35" s="5">
        <f>4.7*$H35</f>
        <v>4.7</v>
      </c>
      <c r="H35" s="5">
        <v>1</v>
      </c>
      <c r="I35" s="22" t="s">
        <v>96</v>
      </c>
      <c r="J35" s="68" t="b">
        <f>NOT(ISERROR(MATCH(A35,Index[Item],0)))</f>
        <v>1</v>
      </c>
    </row>
    <row r="36" spans="1:10" s="68" customFormat="1" x14ac:dyDescent="0.3">
      <c r="A36" s="1" t="s">
        <v>95</v>
      </c>
      <c r="B36" s="5">
        <f>32*$H36</f>
        <v>0</v>
      </c>
      <c r="C36" s="5">
        <f>7.3*$H36</f>
        <v>0</v>
      </c>
      <c r="D36" s="5">
        <f t="shared" si="8"/>
        <v>0</v>
      </c>
      <c r="E36" s="5">
        <f>1.8*$H36</f>
        <v>0</v>
      </c>
      <c r="F36" s="5">
        <f t="shared" ref="F36" si="9">2.7*$H36</f>
        <v>0</v>
      </c>
      <c r="G36" s="5">
        <f>2.3*$H36</f>
        <v>0</v>
      </c>
      <c r="H36" s="5"/>
      <c r="I36" s="22" t="s">
        <v>96</v>
      </c>
      <c r="J36" s="68" t="b">
        <f>NOT(ISERROR(MATCH(A36,Index[Item],0)))</f>
        <v>1</v>
      </c>
    </row>
    <row r="37" spans="1:10" s="68" customFormat="1" x14ac:dyDescent="0.3">
      <c r="A37" s="1" t="s">
        <v>101</v>
      </c>
      <c r="B37" s="5">
        <f>29*$H37</f>
        <v>0</v>
      </c>
      <c r="C37" s="5">
        <f>6.5*$H37</f>
        <v>0</v>
      </c>
      <c r="D37" s="5">
        <f>0.4*$H37</f>
        <v>0</v>
      </c>
      <c r="E37" s="5">
        <f>0.9*$H37</f>
        <v>0</v>
      </c>
      <c r="F37" s="5">
        <f>2.8*$H37</f>
        <v>0</v>
      </c>
      <c r="G37" s="5">
        <f>4.1*$H37</f>
        <v>0</v>
      </c>
      <c r="H37" s="5"/>
      <c r="I37" s="22" t="s">
        <v>96</v>
      </c>
      <c r="J37" s="68" t="b">
        <f>NOT(ISERROR(MATCH(A37,Index[Item],0)))</f>
        <v>1</v>
      </c>
    </row>
    <row r="38" spans="1:10" s="68" customFormat="1" x14ac:dyDescent="0.3">
      <c r="A38" s="1" t="s">
        <v>100</v>
      </c>
      <c r="B38" s="5">
        <f>27*$H38</f>
        <v>0</v>
      </c>
      <c r="C38" s="5">
        <f>5.4*$H38</f>
        <v>0</v>
      </c>
      <c r="D38" s="5">
        <f>0.5*$H38</f>
        <v>0</v>
      </c>
      <c r="E38" s="5">
        <f>1.7*$H38</f>
        <v>0</v>
      </c>
      <c r="F38" s="5">
        <f>3.4*$H38</f>
        <v>0</v>
      </c>
      <c r="G38" s="5">
        <f>2*$H38</f>
        <v>0</v>
      </c>
      <c r="H38" s="5"/>
      <c r="I38" s="22" t="s">
        <v>96</v>
      </c>
      <c r="J38" s="68" t="b">
        <f>NOT(ISERROR(MATCH(A38,Index[Item],0)))</f>
        <v>1</v>
      </c>
    </row>
    <row r="39" spans="1:10" s="68" customFormat="1" x14ac:dyDescent="0.3">
      <c r="A39" s="1" t="s">
        <v>108</v>
      </c>
      <c r="B39" s="5">
        <f>34*$H39</f>
        <v>0</v>
      </c>
      <c r="C39" s="5">
        <f>6.6*$H39</f>
        <v>0</v>
      </c>
      <c r="D39" s="5">
        <f>0.4*$H39</f>
        <v>0</v>
      </c>
      <c r="E39" s="5">
        <f>2.8*$H39</f>
        <v>0</v>
      </c>
      <c r="F39" s="5">
        <f>2.6*$H39</f>
        <v>0</v>
      </c>
      <c r="G39" s="5">
        <f>1.7*$H39</f>
        <v>0</v>
      </c>
      <c r="H39" s="5"/>
      <c r="I39" s="22" t="s">
        <v>96</v>
      </c>
      <c r="J39" s="68" t="b">
        <f>NOT(ISERROR(MATCH(A39,Index[Item],0)))</f>
        <v>1</v>
      </c>
    </row>
    <row r="40" spans="1:10" s="68" customFormat="1" x14ac:dyDescent="0.3">
      <c r="A40" s="1" t="s">
        <v>109</v>
      </c>
      <c r="B40" s="5">
        <f>35*$H40</f>
        <v>0</v>
      </c>
      <c r="C40" s="5">
        <f>7.9*$H40</f>
        <v>0</v>
      </c>
      <c r="D40" s="5">
        <f>0.3*$H40</f>
        <v>0</v>
      </c>
      <c r="E40" s="5">
        <f>1.9*$H40</f>
        <v>0</v>
      </c>
      <c r="F40" s="5">
        <f>3.2*$H40</f>
        <v>0</v>
      </c>
      <c r="G40" s="5">
        <f>3.6*$H40</f>
        <v>0</v>
      </c>
      <c r="H40" s="5"/>
      <c r="I40" s="22" t="s">
        <v>96</v>
      </c>
      <c r="J40" s="68" t="b">
        <f>NOT(ISERROR(MATCH(A40,Index[Item],0)))</f>
        <v>1</v>
      </c>
    </row>
    <row r="41" spans="1:10" s="68" customFormat="1" x14ac:dyDescent="0.3">
      <c r="A41" s="1" t="s">
        <v>107</v>
      </c>
      <c r="B41" s="5">
        <f>21*$H41</f>
        <v>0</v>
      </c>
      <c r="C41" s="5">
        <f>4.2*$H41</f>
        <v>0</v>
      </c>
      <c r="D41" s="5">
        <f>0.1*$H41</f>
        <v>0</v>
      </c>
      <c r="E41" s="5">
        <f>2*$H41</f>
        <v>0</v>
      </c>
      <c r="F41" s="5">
        <f>0.8*$H41</f>
        <v>0</v>
      </c>
      <c r="G41" s="5">
        <f>2.8*$H41</f>
        <v>0</v>
      </c>
      <c r="H41" s="5"/>
      <c r="I41" s="22" t="s">
        <v>96</v>
      </c>
      <c r="J41" s="68" t="b">
        <f>NOT(ISERROR(MATCH(A41,Index[Item],0)))</f>
        <v>1</v>
      </c>
    </row>
    <row r="42" spans="1:10" s="68" customFormat="1" x14ac:dyDescent="0.3">
      <c r="A42" s="1" t="s">
        <v>110</v>
      </c>
      <c r="B42" s="5">
        <f>18*$H42</f>
        <v>0</v>
      </c>
      <c r="C42" s="5">
        <f>4*$H42</f>
        <v>0</v>
      </c>
      <c r="D42" s="5">
        <f>0.2*$H42</f>
        <v>0</v>
      </c>
      <c r="E42" s="5">
        <f>0.8*$H42</f>
        <v>0</v>
      </c>
      <c r="F42" s="5">
        <f>1.6*$H42</f>
        <v>0</v>
      </c>
      <c r="G42" s="5">
        <f>2.4*$H42</f>
        <v>0</v>
      </c>
      <c r="H42" s="5"/>
      <c r="I42" s="22" t="s">
        <v>96</v>
      </c>
      <c r="J42" s="68" t="b">
        <f>NOT(ISERROR(MATCH(A42,Index[Item],0)))</f>
        <v>1</v>
      </c>
    </row>
    <row r="43" spans="1:10" s="68" customFormat="1" x14ac:dyDescent="0.3">
      <c r="A43" s="1" t="s">
        <v>111</v>
      </c>
      <c r="B43" s="5">
        <f>4.5*$H43</f>
        <v>0</v>
      </c>
      <c r="C43" s="5">
        <f>1*$H43</f>
        <v>0</v>
      </c>
      <c r="D43" s="5">
        <f>0*$H43</f>
        <v>0</v>
      </c>
      <c r="E43" s="5">
        <f>0.2*$H43</f>
        <v>0</v>
      </c>
      <c r="F43" s="5">
        <f>0.1*$H43</f>
        <v>0</v>
      </c>
      <c r="G43" s="5">
        <f>0*$H43</f>
        <v>0</v>
      </c>
      <c r="H43" s="5"/>
      <c r="I43" s="22" t="s">
        <v>112</v>
      </c>
      <c r="J43" s="68" t="b">
        <f>NOT(ISERROR(MATCH(A43,Index[Item],0)))</f>
        <v>1</v>
      </c>
    </row>
    <row r="44" spans="1:10" s="68" customFormat="1" x14ac:dyDescent="0.3">
      <c r="A44" s="1" t="s">
        <v>115</v>
      </c>
      <c r="B44" s="5">
        <f>25*$H44</f>
        <v>0</v>
      </c>
      <c r="C44" s="5">
        <f>5*$H44</f>
        <v>0</v>
      </c>
      <c r="D44" s="5">
        <f>0*$H44</f>
        <v>0</v>
      </c>
      <c r="E44" s="5">
        <f>0*$H44</f>
        <v>0</v>
      </c>
      <c r="F44" s="5">
        <f>2*$H44</f>
        <v>0</v>
      </c>
      <c r="G44" s="5">
        <f>1*$H44</f>
        <v>0</v>
      </c>
      <c r="H44" s="5"/>
      <c r="I44" s="22" t="s">
        <v>116</v>
      </c>
      <c r="J44" s="68" t="b">
        <f>NOT(ISERROR(MATCH(A44,Index[Item],0)))</f>
        <v>1</v>
      </c>
    </row>
    <row r="45" spans="1:10" s="68" customFormat="1" ht="37.5" x14ac:dyDescent="0.3">
      <c r="A45" s="1" t="s">
        <v>117</v>
      </c>
      <c r="B45" s="5">
        <f>50*$H45</f>
        <v>0</v>
      </c>
      <c r="C45" s="5">
        <f>10*$H45</f>
        <v>0</v>
      </c>
      <c r="D45" s="5">
        <f t="shared" ref="D45:D48" si="10">0*$H45</f>
        <v>0</v>
      </c>
      <c r="E45" s="5">
        <f>3*$H45</f>
        <v>0</v>
      </c>
      <c r="F45" s="5">
        <f>3*$H45</f>
        <v>0</v>
      </c>
      <c r="G45" s="5">
        <f>4*$H45</f>
        <v>0</v>
      </c>
      <c r="H45" s="5"/>
      <c r="I45" s="22" t="s">
        <v>118</v>
      </c>
      <c r="J45" s="68" t="b">
        <f>NOT(ISERROR(MATCH(A45,Index[Item],0)))</f>
        <v>1</v>
      </c>
    </row>
    <row r="46" spans="1:10" s="68" customFormat="1" ht="37.5" x14ac:dyDescent="0.3">
      <c r="A46" s="1" t="s">
        <v>119</v>
      </c>
      <c r="B46" s="5">
        <f>60*$H46</f>
        <v>0</v>
      </c>
      <c r="C46" s="5">
        <f>11*$H46</f>
        <v>0</v>
      </c>
      <c r="D46" s="5">
        <f t="shared" si="10"/>
        <v>0</v>
      </c>
      <c r="E46" s="5">
        <f>2*$H46</f>
        <v>0</v>
      </c>
      <c r="F46" s="5">
        <f>3*$H46</f>
        <v>0</v>
      </c>
      <c r="G46" s="5">
        <f>4*$H46</f>
        <v>0</v>
      </c>
      <c r="H46" s="5"/>
      <c r="I46" s="22" t="s">
        <v>118</v>
      </c>
      <c r="J46" s="68" t="b">
        <f>NOT(ISERROR(MATCH(A46,Index[Item],0)))</f>
        <v>1</v>
      </c>
    </row>
    <row r="47" spans="1:10" s="68" customFormat="1" ht="55.5" customHeight="1" x14ac:dyDescent="0.3">
      <c r="A47" s="1" t="s">
        <v>120</v>
      </c>
      <c r="B47" s="5">
        <f>35*$H47</f>
        <v>0</v>
      </c>
      <c r="C47" s="5">
        <f>5*$H47</f>
        <v>0</v>
      </c>
      <c r="D47" s="5">
        <f>0*$H47</f>
        <v>0</v>
      </c>
      <c r="E47" s="5">
        <f>1*$H47</f>
        <v>0</v>
      </c>
      <c r="F47" s="5">
        <f>2*$H47</f>
        <v>0</v>
      </c>
      <c r="G47" s="5">
        <f>3*$H47</f>
        <v>0</v>
      </c>
      <c r="H47" s="5"/>
      <c r="I47" s="22" t="s">
        <v>121</v>
      </c>
      <c r="J47" s="68" t="b">
        <f>NOT(ISERROR(MATCH(A47,Index[Item],0)))</f>
        <v>1</v>
      </c>
    </row>
    <row r="48" spans="1:10" s="68" customFormat="1" ht="56.25" x14ac:dyDescent="0.3">
      <c r="A48" s="1" t="s">
        <v>122</v>
      </c>
      <c r="B48" s="5">
        <f>40*$H48</f>
        <v>0</v>
      </c>
      <c r="C48" s="5">
        <f>8*$H48</f>
        <v>0</v>
      </c>
      <c r="D48" s="5">
        <f t="shared" si="10"/>
        <v>0</v>
      </c>
      <c r="E48" s="5">
        <f>1*$H48</f>
        <v>0</v>
      </c>
      <c r="F48" s="5">
        <f>2*$H48</f>
        <v>0</v>
      </c>
      <c r="G48" s="5">
        <f>3*$H48</f>
        <v>0</v>
      </c>
      <c r="H48" s="5"/>
      <c r="I48" s="22" t="s">
        <v>123</v>
      </c>
      <c r="J48" s="68" t="b">
        <f>NOT(ISERROR(MATCH(A48,Index[Item],0)))</f>
        <v>1</v>
      </c>
    </row>
    <row r="49" spans="1:10" s="68" customFormat="1" x14ac:dyDescent="0.3">
      <c r="A49" s="1" t="s">
        <v>232</v>
      </c>
      <c r="B49" s="5">
        <f>72*$H49</f>
        <v>0</v>
      </c>
      <c r="C49" s="5">
        <f>0.4*$H49</f>
        <v>0</v>
      </c>
      <c r="D49" s="5">
        <f>4.8*$H49</f>
        <v>0</v>
      </c>
      <c r="E49" s="5">
        <f>6.3*$H49</f>
        <v>0</v>
      </c>
      <c r="F49" s="5">
        <f t="shared" ref="F49" si="11">0*$H49</f>
        <v>0</v>
      </c>
      <c r="G49" s="5">
        <f>0.2*$H49</f>
        <v>0</v>
      </c>
      <c r="H49" s="5"/>
      <c r="I49" s="22"/>
      <c r="J49" s="68" t="b">
        <f>NOT(ISERROR(MATCH(A49,Index[Item],0)))</f>
        <v>1</v>
      </c>
    </row>
    <row r="50" spans="1:10" ht="37.5" x14ac:dyDescent="0.3">
      <c r="A50" s="1" t="s">
        <v>247</v>
      </c>
      <c r="B50" s="5">
        <f>130*$H50</f>
        <v>0</v>
      </c>
      <c r="C50" s="5">
        <f>18*$H50</f>
        <v>0</v>
      </c>
      <c r="D50" s="5">
        <f>5*$H50</f>
        <v>0</v>
      </c>
      <c r="E50" s="5">
        <f>3*$H50</f>
        <v>0</v>
      </c>
      <c r="F50" s="5">
        <f>1*$H50</f>
        <v>0</v>
      </c>
      <c r="G50" s="5">
        <f>0*$H50</f>
        <v>0</v>
      </c>
      <c r="H50" s="5"/>
      <c r="I50" s="22" t="s">
        <v>248</v>
      </c>
      <c r="J50" s="68" t="b">
        <f>NOT(ISERROR(MATCH(A50,Index[Item],0)))</f>
        <v>1</v>
      </c>
    </row>
    <row r="51" spans="1:10" ht="37.5" x14ac:dyDescent="0.3">
      <c r="A51" s="1" t="s">
        <v>316</v>
      </c>
      <c r="B51" s="5">
        <f>20*$H51</f>
        <v>0</v>
      </c>
      <c r="C51" s="5">
        <f>5*$H51</f>
        <v>0</v>
      </c>
      <c r="D51" s="5">
        <f>0*$H51</f>
        <v>0</v>
      </c>
      <c r="E51" s="5">
        <f>0*$H51</f>
        <v>0</v>
      </c>
      <c r="F51" s="5">
        <f>0*$H51</f>
        <v>0</v>
      </c>
      <c r="G51" s="5">
        <f>4*$H51</f>
        <v>0</v>
      </c>
      <c r="H51" s="5"/>
      <c r="I51" s="22" t="s">
        <v>302</v>
      </c>
      <c r="J51" s="68" t="b">
        <f>NOT(ISERROR(MATCH(A51,Index[Item],0)))</f>
        <v>1</v>
      </c>
    </row>
    <row r="52" spans="1:10" x14ac:dyDescent="0.3">
      <c r="A52" s="1" t="s">
        <v>113</v>
      </c>
      <c r="B52" s="5">
        <f>23*$H52</f>
        <v>0</v>
      </c>
      <c r="C52" s="5">
        <f>5.5*$H52</f>
        <v>0</v>
      </c>
      <c r="D52" s="5">
        <f>0.1*$H52</f>
        <v>0</v>
      </c>
      <c r="E52" s="5">
        <f>1.3*$H52</f>
        <v>0</v>
      </c>
      <c r="F52" s="5">
        <f>1.9*$H52</f>
        <v>0</v>
      </c>
      <c r="G52" s="5">
        <f>2.8*$H52</f>
        <v>0</v>
      </c>
      <c r="H52" s="5"/>
      <c r="I52" s="22" t="s">
        <v>96</v>
      </c>
      <c r="J52" s="68" t="b">
        <f>NOT(ISERROR(MATCH(A52,Index[Item],0)))</f>
        <v>1</v>
      </c>
    </row>
    <row r="53" spans="1:10" x14ac:dyDescent="0.3">
      <c r="A53" s="1" t="s">
        <v>114</v>
      </c>
      <c r="B53" s="5">
        <f>29*$H53</f>
        <v>0</v>
      </c>
      <c r="C53" s="5">
        <f>6.9*$H53</f>
        <v>0</v>
      </c>
      <c r="D53" s="5">
        <f>0.1*$H53</f>
        <v>0</v>
      </c>
      <c r="E53" s="5">
        <f>1.5*$H53</f>
        <v>0</v>
      </c>
      <c r="F53" s="5">
        <f>2.6*$H53</f>
        <v>0</v>
      </c>
      <c r="G53" s="5">
        <f>3.3*$H53</f>
        <v>0</v>
      </c>
      <c r="H53" s="5"/>
      <c r="I53" s="22" t="s">
        <v>96</v>
      </c>
      <c r="J53" s="68" t="b">
        <f>NOT(ISERROR(MATCH(A53,Index[Item],0)))</f>
        <v>1</v>
      </c>
    </row>
    <row r="54" spans="1:10" x14ac:dyDescent="0.3">
      <c r="A54" s="1" t="s">
        <v>481</v>
      </c>
      <c r="B54" s="5">
        <f>Table273435364051[[#Totals],[Calories]]</f>
        <v>14</v>
      </c>
      <c r="C54" s="5">
        <f>Table273435364051[[#Totals],[Carbs]]</f>
        <v>3.6</v>
      </c>
      <c r="D54" s="5">
        <f>Table273435364051[[#Totals],[Fat]]</f>
        <v>0.2</v>
      </c>
      <c r="E54" s="5">
        <f>Table273435364051[[#Totals],[Protein]]</f>
        <v>2.4</v>
      </c>
      <c r="F54" s="5">
        <f>Table273435364051[[#Totals],[Fiber]]</f>
        <v>1.2</v>
      </c>
      <c r="G54" s="5">
        <f>Table273435364051[[#Totals],[Sugar]]</f>
        <v>0</v>
      </c>
      <c r="H54" s="5">
        <f>Table273435364051[[#Totals],[Serving by TSP]]</f>
        <v>4</v>
      </c>
      <c r="I54" s="22"/>
      <c r="J54" s="68" t="b">
        <f>NOT(ISERROR(MATCH(A54,Index[Item],0)))</f>
        <v>1</v>
      </c>
    </row>
    <row r="55" spans="1:10" x14ac:dyDescent="0.3">
      <c r="A55" s="1" t="s">
        <v>544</v>
      </c>
      <c r="B55" s="5">
        <f>SUBTOTAL(109,HoneyChicken48[Calories])/HoneyChicken48[[#Totals],[Measurement]]</f>
        <v>309.33333333333331</v>
      </c>
      <c r="C55" s="5">
        <f>SUBTOTAL(109,HoneyChicken48[Carbs])/HoneyChicken48[[#Totals],[Measurement]]</f>
        <v>19.383333333333333</v>
      </c>
      <c r="D55" s="5">
        <f>SUBTOTAL(109,HoneyChicken48[[Fat ]])/HoneyChicken48[[#Totals],[Measurement]]</f>
        <v>13.433333333333335</v>
      </c>
      <c r="E55" s="5">
        <f>SUBTOTAL(109,HoneyChicken48[Protein])/HoneyChicken48[[#Totals],[Measurement]]</f>
        <v>31.700000000000003</v>
      </c>
      <c r="F55" s="5">
        <f>SUBTOTAL(109,HoneyChicken48[Fiber])/HoneyChicken48[[#Totals],[Measurement]]</f>
        <v>0.6333333333333333</v>
      </c>
      <c r="G55" s="5">
        <f>SUBTOTAL(109,HoneyChicken48[Sugar])/HoneyChicken48[[#Totals],[Measurement]]</f>
        <v>5.1499999999999995</v>
      </c>
      <c r="H55" s="5">
        <f>SUBTOTAL(109,HoneyChicken48[Servings])/HoneyChicken48[[#Totals],[Measurement]]</f>
        <v>6</v>
      </c>
      <c r="I55" s="22" t="s">
        <v>545</v>
      </c>
    </row>
    <row r="56" spans="1:10" x14ac:dyDescent="0.3">
      <c r="B56" s="5"/>
      <c r="C56" s="5"/>
      <c r="D56" s="5"/>
      <c r="E56" s="5"/>
      <c r="F56" s="5"/>
      <c r="G56" s="5"/>
      <c r="H56" s="5"/>
      <c r="I56" s="22"/>
    </row>
    <row r="57" spans="1:10" x14ac:dyDescent="0.3">
      <c r="A57" s="43" t="s">
        <v>0</v>
      </c>
      <c r="B57" s="44" t="s">
        <v>1</v>
      </c>
      <c r="C57" s="44" t="s">
        <v>2</v>
      </c>
      <c r="D57" s="44" t="s">
        <v>3</v>
      </c>
      <c r="E57" s="44" t="s">
        <v>4</v>
      </c>
      <c r="F57" s="44" t="s">
        <v>5</v>
      </c>
      <c r="G57" s="44" t="s">
        <v>6</v>
      </c>
      <c r="H57" s="44" t="s">
        <v>7</v>
      </c>
      <c r="I57" s="22"/>
    </row>
    <row r="58" spans="1:10" x14ac:dyDescent="0.3">
      <c r="A58" s="45" t="s">
        <v>8</v>
      </c>
      <c r="B58" s="46">
        <f>1.6*$H58</f>
        <v>0</v>
      </c>
      <c r="C58" s="46">
        <f>0.3*$H58</f>
        <v>0</v>
      </c>
      <c r="D58" s="46">
        <f>0*$H58</f>
        <v>0</v>
      </c>
      <c r="E58" s="46">
        <f>0.2*$H58</f>
        <v>0</v>
      </c>
      <c r="F58" s="46">
        <f>0.3*$H58</f>
        <v>0</v>
      </c>
      <c r="G58" s="46">
        <f>0*$H58</f>
        <v>0</v>
      </c>
      <c r="H58" s="47"/>
      <c r="I58" s="22"/>
      <c r="J58" s="2" t="b">
        <f>NOT(ISERROR(MATCH(A58,Spice[Spice],0)))</f>
        <v>1</v>
      </c>
    </row>
    <row r="59" spans="1:10" x14ac:dyDescent="0.3">
      <c r="A59" s="45" t="s">
        <v>9</v>
      </c>
      <c r="B59" s="46">
        <f>5.8*$H59</f>
        <v>11.6</v>
      </c>
      <c r="C59" s="46">
        <f>1.5*$H59</f>
        <v>3</v>
      </c>
      <c r="D59" s="46">
        <f>0.1*$H59</f>
        <v>0.2</v>
      </c>
      <c r="E59" s="46">
        <f>0.2*$H59</f>
        <v>0.4</v>
      </c>
      <c r="F59" s="46">
        <f>0.6*$H59</f>
        <v>1.2</v>
      </c>
      <c r="G59" s="46">
        <f>0*$H59</f>
        <v>0</v>
      </c>
      <c r="H59" s="47">
        <v>2</v>
      </c>
      <c r="I59" s="22"/>
      <c r="J59" s="2" t="b">
        <f>NOT(ISERROR(MATCH(A59,Spice[Spice],0)))</f>
        <v>1</v>
      </c>
    </row>
    <row r="60" spans="1:10" x14ac:dyDescent="0.3">
      <c r="A60" s="41" t="s">
        <v>10</v>
      </c>
      <c r="B60" s="32">
        <f>7.6*$H60</f>
        <v>0</v>
      </c>
      <c r="C60" s="32">
        <f>1.3*$H60</f>
        <v>0</v>
      </c>
      <c r="D60" s="32">
        <f>0.4*$H60</f>
        <v>0</v>
      </c>
      <c r="E60" s="32">
        <f>0.4*$H60</f>
        <v>0</v>
      </c>
      <c r="F60" s="32">
        <f>0.9*$H60</f>
        <v>0</v>
      </c>
      <c r="G60" s="32">
        <f>0.2*$H60</f>
        <v>0</v>
      </c>
      <c r="H60" s="42"/>
      <c r="I60" s="22"/>
      <c r="J60" s="2" t="b">
        <f>NOT(ISERROR(MATCH(A60,Spice[Spice],0)))</f>
        <v>1</v>
      </c>
    </row>
    <row r="61" spans="1:10" x14ac:dyDescent="0.3">
      <c r="A61" s="45" t="s">
        <v>11</v>
      </c>
      <c r="B61" s="46">
        <f>48*$H61</f>
        <v>0</v>
      </c>
      <c r="C61" s="46">
        <f>8*$H61</f>
        <v>0</v>
      </c>
      <c r="D61" s="46">
        <f>0*$H61</f>
        <v>0</v>
      </c>
      <c r="E61" s="46">
        <f>0*$H61</f>
        <v>0</v>
      </c>
      <c r="F61" s="46">
        <f>0*$H61</f>
        <v>0</v>
      </c>
      <c r="G61" s="46">
        <f>0*$H61</f>
        <v>0</v>
      </c>
      <c r="H61" s="47"/>
      <c r="I61" s="22"/>
      <c r="J61" s="2" t="b">
        <f>NOT(ISERROR(MATCH(A61,Spice[Spice],0)))</f>
        <v>1</v>
      </c>
    </row>
    <row r="62" spans="1:10" x14ac:dyDescent="0.3">
      <c r="A62" s="41" t="s">
        <v>12</v>
      </c>
      <c r="B62" s="32">
        <f>6.4*$H62</f>
        <v>0</v>
      </c>
      <c r="C62" s="32">
        <f>2.1*$H62</f>
        <v>0</v>
      </c>
      <c r="D62" s="32">
        <f>0*$H61</f>
        <v>0</v>
      </c>
      <c r="E62" s="32">
        <f>0.1*$H62</f>
        <v>0</v>
      </c>
      <c r="F62" s="32">
        <f>1.4*$H62</f>
        <v>0</v>
      </c>
      <c r="G62" s="32">
        <f>0.1*$H62</f>
        <v>0</v>
      </c>
      <c r="H62" s="42"/>
      <c r="I62" s="22"/>
      <c r="J62" s="2" t="b">
        <f>NOT(ISERROR(MATCH(A62,Spice[Spice],0)))</f>
        <v>1</v>
      </c>
    </row>
    <row r="63" spans="1:10" x14ac:dyDescent="0.3">
      <c r="A63" s="45" t="s">
        <v>13</v>
      </c>
      <c r="B63" s="46">
        <f>1.7*$H63</f>
        <v>0</v>
      </c>
      <c r="C63" s="46">
        <f>0.3*$H63</f>
        <v>0</v>
      </c>
      <c r="D63" s="46">
        <f>0*$H63</f>
        <v>0</v>
      </c>
      <c r="E63" s="46">
        <f>0.1*$H63</f>
        <v>0</v>
      </c>
      <c r="F63" s="46">
        <f>0.1*$H63</f>
        <v>0</v>
      </c>
      <c r="G63" s="46">
        <f>0*$H63</f>
        <v>0</v>
      </c>
      <c r="H63" s="47"/>
      <c r="I63" s="22"/>
      <c r="J63" s="2" t="b">
        <f>NOT(ISERROR(MATCH(A63,Spice[Spice],0)))</f>
        <v>1</v>
      </c>
    </row>
    <row r="64" spans="1:10" ht="37.5" x14ac:dyDescent="0.3">
      <c r="A64" s="41" t="s">
        <v>14</v>
      </c>
      <c r="B64" s="32">
        <f>5.7*$H64</f>
        <v>0</v>
      </c>
      <c r="C64" s="32">
        <f>1*$H64</f>
        <v>0</v>
      </c>
      <c r="D64" s="32">
        <f>0*$H64</f>
        <v>0</v>
      </c>
      <c r="E64" s="32">
        <f>0.2*$H64</f>
        <v>0</v>
      </c>
      <c r="F64" s="32">
        <f>0.5*$H64</f>
        <v>0</v>
      </c>
      <c r="G64" s="32">
        <f>0.2*$H64</f>
        <v>0</v>
      </c>
      <c r="H64" s="42"/>
      <c r="I64" s="22"/>
      <c r="J64" s="2" t="b">
        <f>NOT(ISERROR(MATCH(A64,Spice[Spice],0)))</f>
        <v>1</v>
      </c>
    </row>
    <row r="65" spans="1:10" x14ac:dyDescent="0.3">
      <c r="A65" s="45" t="s">
        <v>15</v>
      </c>
      <c r="B65" s="46">
        <f>7.6*$H65</f>
        <v>0</v>
      </c>
      <c r="C65" s="46">
        <f>0.9*$H65</f>
        <v>0</v>
      </c>
      <c r="D65" s="46">
        <f>0.5*$H65</f>
        <v>0</v>
      </c>
      <c r="E65" s="46">
        <f>0.4*$H65</f>
        <v>0</v>
      </c>
      <c r="F65" s="46">
        <f>0.2*$H65</f>
        <v>0</v>
      </c>
      <c r="G65" s="46">
        <f>0.1*$H65</f>
        <v>0</v>
      </c>
      <c r="H65" s="47"/>
      <c r="I65" s="22"/>
      <c r="J65" s="2" t="b">
        <f>NOT(ISERROR(MATCH(A65,Spice[Spice],0)))</f>
        <v>1</v>
      </c>
    </row>
    <row r="66" spans="1:10" s="22" customFormat="1" x14ac:dyDescent="0.3">
      <c r="A66" s="41" t="s">
        <v>16</v>
      </c>
      <c r="B66" s="32">
        <f>(36/5)*$H66</f>
        <v>0</v>
      </c>
      <c r="C66" s="32">
        <f>(5/5)*$H66</f>
        <v>0</v>
      </c>
      <c r="D66" s="32">
        <f>(1.2/5)*$H66</f>
        <v>0</v>
      </c>
      <c r="E66" s="32">
        <f>(1.3/5)*$H66</f>
        <v>0</v>
      </c>
      <c r="F66" s="32">
        <f>(3/5)*$H66</f>
        <v>0</v>
      </c>
      <c r="G66" s="32">
        <f>(0.2/5)*$H66</f>
        <v>0</v>
      </c>
      <c r="H66" s="42"/>
      <c r="J66" s="2" t="b">
        <f>NOT(ISERROR(MATCH(A66,Spice[Spice],0)))</f>
        <v>1</v>
      </c>
    </row>
    <row r="67" spans="1:10" s="22" customFormat="1" x14ac:dyDescent="0.3">
      <c r="A67" s="45" t="s">
        <v>17</v>
      </c>
      <c r="B67" s="46">
        <f>5*$H67</f>
        <v>0</v>
      </c>
      <c r="C67" s="46">
        <f>1*$H67</f>
        <v>0</v>
      </c>
      <c r="D67" s="46">
        <f>0*$H67</f>
        <v>0</v>
      </c>
      <c r="E67" s="46">
        <f>0*$H67</f>
        <v>0</v>
      </c>
      <c r="F67" s="46">
        <f>0*$H67</f>
        <v>0</v>
      </c>
      <c r="G67" s="46">
        <f>0*$H67</f>
        <v>0</v>
      </c>
      <c r="H67" s="47"/>
      <c r="J67" s="2" t="b">
        <f>NOT(ISERROR(MATCH(A67,Spice[Spice],0)))</f>
        <v>1</v>
      </c>
    </row>
    <row r="68" spans="1:10" s="22" customFormat="1" x14ac:dyDescent="0.3">
      <c r="A68" s="41" t="s">
        <v>18</v>
      </c>
      <c r="B68" s="32">
        <f>10*$H68</f>
        <v>0</v>
      </c>
      <c r="C68" s="32">
        <f>2.3*$H68</f>
        <v>0</v>
      </c>
      <c r="D68" s="32">
        <f>0*$H68</f>
        <v>0</v>
      </c>
      <c r="E68" s="32">
        <f>0.5*$H68</f>
        <v>0</v>
      </c>
      <c r="F68" s="32">
        <f>0.3*$H68</f>
        <v>0</v>
      </c>
      <c r="G68" s="32">
        <f>0.1*$H68</f>
        <v>0</v>
      </c>
      <c r="H68" s="42"/>
      <c r="J68" s="2" t="b">
        <f>NOT(ISERROR(MATCH(A68,Spice[Spice],0)))</f>
        <v>1</v>
      </c>
    </row>
    <row r="69" spans="1:10" s="22" customFormat="1" x14ac:dyDescent="0.3">
      <c r="A69" s="45" t="s">
        <v>19</v>
      </c>
      <c r="B69" s="46">
        <f>1.2*$H69</f>
        <v>2.4</v>
      </c>
      <c r="C69" s="46">
        <f>0.3*$H69</f>
        <v>0.6</v>
      </c>
      <c r="D69" s="46">
        <f>0*$H69</f>
        <v>0</v>
      </c>
      <c r="E69" s="46">
        <f>1*$H69</f>
        <v>2</v>
      </c>
      <c r="F69" s="46">
        <f>0*$H69</f>
        <v>0</v>
      </c>
      <c r="G69" s="46">
        <f>0*$H69</f>
        <v>0</v>
      </c>
      <c r="H69" s="47">
        <v>2</v>
      </c>
      <c r="J69" s="2" t="b">
        <f>NOT(ISERROR(MATCH(A69,Spice[Spice],0)))</f>
        <v>1</v>
      </c>
    </row>
    <row r="70" spans="1:10" s="22" customFormat="1" x14ac:dyDescent="0.3">
      <c r="A70" s="45" t="s">
        <v>20</v>
      </c>
      <c r="B70" s="46">
        <f>6*$H70</f>
        <v>0</v>
      </c>
      <c r="C70" s="46">
        <f>1.3*$H70</f>
        <v>0</v>
      </c>
      <c r="D70" s="46">
        <f>0.1*$H70</f>
        <v>0</v>
      </c>
      <c r="E70" s="46">
        <f>0.2*$H70</f>
        <v>0</v>
      </c>
      <c r="F70" s="46">
        <f>0.3*$H70</f>
        <v>0</v>
      </c>
      <c r="G70" s="46">
        <f>0.1*$H70</f>
        <v>0</v>
      </c>
      <c r="H70" s="47"/>
      <c r="J70" s="2" t="b">
        <f>NOT(ISERROR(MATCH(A70,Spice[Spice],0)))</f>
        <v>1</v>
      </c>
    </row>
    <row r="71" spans="1:10" s="22" customFormat="1" x14ac:dyDescent="0.3">
      <c r="A71" s="41" t="s">
        <v>21</v>
      </c>
      <c r="B71" s="32">
        <f>2.2*$H71</f>
        <v>0</v>
      </c>
      <c r="C71" s="32">
        <f>0.5*$H71</f>
        <v>0</v>
      </c>
      <c r="D71" s="32">
        <f>0.1*$H71</f>
        <v>0</v>
      </c>
      <c r="E71" s="32">
        <f>0.1*$H71</f>
        <v>0</v>
      </c>
      <c r="F71" s="32">
        <f>0.3*$H71</f>
        <v>0</v>
      </c>
      <c r="G71" s="32">
        <f>0*$H71</f>
        <v>0</v>
      </c>
      <c r="H71" s="42"/>
      <c r="J71" s="2" t="b">
        <f>NOT(ISERROR(MATCH(A71,Spice[Spice],0)))</f>
        <v>1</v>
      </c>
    </row>
    <row r="72" spans="1:10" s="22" customFormat="1" x14ac:dyDescent="0.3">
      <c r="A72" s="45" t="s">
        <v>22</v>
      </c>
      <c r="B72" s="46">
        <f>0*$H72</f>
        <v>0</v>
      </c>
      <c r="C72" s="46">
        <f>0*$H72</f>
        <v>0</v>
      </c>
      <c r="D72" s="46">
        <f>0*$H72</f>
        <v>0</v>
      </c>
      <c r="E72" s="46">
        <f>0*$H72</f>
        <v>0</v>
      </c>
      <c r="F72" s="46">
        <f>0*$H72</f>
        <v>0</v>
      </c>
      <c r="G72" s="46">
        <f>0*$H72</f>
        <v>0</v>
      </c>
      <c r="H72" s="47"/>
      <c r="J72" s="2" t="b">
        <f>NOT(ISERROR(MATCH(A72,Spice[Spice],0)))</f>
        <v>1</v>
      </c>
    </row>
    <row r="73" spans="1:10" s="22" customFormat="1" x14ac:dyDescent="0.3">
      <c r="A73" s="41" t="s">
        <v>23</v>
      </c>
      <c r="B73" s="32">
        <f>8.2*$H73</f>
        <v>0</v>
      </c>
      <c r="C73" s="32">
        <f>1.9*$H73</f>
        <v>0</v>
      </c>
      <c r="D73" s="32">
        <f>0*$H73</f>
        <v>0</v>
      </c>
      <c r="E73" s="32">
        <f>0.3*$H73</f>
        <v>0</v>
      </c>
      <c r="F73" s="32">
        <f>0.4*$H73</f>
        <v>0</v>
      </c>
      <c r="G73" s="32">
        <f>0.2*$H73</f>
        <v>0</v>
      </c>
      <c r="H73" s="42"/>
      <c r="J73" s="2" t="b">
        <f>NOT(ISERROR(MATCH(A73,Spice[Spice],0)))</f>
        <v>1</v>
      </c>
    </row>
    <row r="74" spans="1:10" s="22" customFormat="1" x14ac:dyDescent="0.3">
      <c r="A74" s="45" t="s">
        <v>24</v>
      </c>
      <c r="B74" s="46">
        <f>2.7*$H74</f>
        <v>0</v>
      </c>
      <c r="C74" s="46">
        <f>0.7*$H74</f>
        <v>0</v>
      </c>
      <c r="D74" s="46">
        <f>0*$H74</f>
        <v>0</v>
      </c>
      <c r="E74" s="46">
        <f>0.1*$H74</f>
        <v>0</v>
      </c>
      <c r="F74" s="46">
        <f>0.4*$H74</f>
        <v>0</v>
      </c>
      <c r="G74" s="46">
        <f>0*$H74</f>
        <v>0</v>
      </c>
      <c r="H74" s="47"/>
      <c r="J74" s="2" t="b">
        <f>NOT(ISERROR(MATCH(A74,Spice[Spice],0)))</f>
        <v>1</v>
      </c>
    </row>
    <row r="75" spans="1:10" s="22" customFormat="1" x14ac:dyDescent="0.3">
      <c r="A75" s="41" t="s">
        <v>25</v>
      </c>
      <c r="B75" s="32">
        <f>6.5*$H75</f>
        <v>0</v>
      </c>
      <c r="C75" s="32">
        <f>1.2*$H75</f>
        <v>0</v>
      </c>
      <c r="D75" s="32">
        <f>0.3*$H75</f>
        <v>0</v>
      </c>
      <c r="E75" s="32">
        <f>0.3*$H75</f>
        <v>0</v>
      </c>
      <c r="F75" s="32">
        <f>0.8*$H75</f>
        <v>0</v>
      </c>
      <c r="G75" s="32">
        <f>0.2*$H75</f>
        <v>0</v>
      </c>
      <c r="H75" s="42"/>
      <c r="J75" s="2" t="b">
        <f>NOT(ISERROR(MATCH(A75,Spice[Spice],0)))</f>
        <v>1</v>
      </c>
    </row>
    <row r="76" spans="1:10" s="22" customFormat="1" x14ac:dyDescent="0.3">
      <c r="A76" s="45" t="s">
        <v>26</v>
      </c>
      <c r="B76" s="46">
        <f>1.5*$H76</f>
        <v>0</v>
      </c>
      <c r="C76" s="46">
        <f>0.3*$H76</f>
        <v>0</v>
      </c>
      <c r="D76" s="46">
        <f>0*$H76</f>
        <v>0</v>
      </c>
      <c r="E76" s="46">
        <f>0.1*$H76</f>
        <v>0</v>
      </c>
      <c r="F76" s="46">
        <f>0.1*$H76</f>
        <v>0</v>
      </c>
      <c r="G76" s="46">
        <f>0*$H76</f>
        <v>0</v>
      </c>
      <c r="H76" s="47"/>
      <c r="J76" s="2" t="b">
        <f>NOT(ISERROR(MATCH(A76,Spice[Spice],0)))</f>
        <v>1</v>
      </c>
    </row>
    <row r="77" spans="1:10" s="22" customFormat="1" x14ac:dyDescent="0.3">
      <c r="A77" s="41" t="s">
        <v>27</v>
      </c>
      <c r="B77" s="32">
        <f>5.7*$H77</f>
        <v>0</v>
      </c>
      <c r="C77" s="32">
        <f>1*$H77</f>
        <v>0</v>
      </c>
      <c r="D77" s="32">
        <f>0.3*$H77</f>
        <v>0</v>
      </c>
      <c r="E77" s="32">
        <f>0.2*$H77</f>
        <v>0</v>
      </c>
      <c r="F77" s="32">
        <f>0.5*$H77</f>
        <v>0</v>
      </c>
      <c r="G77" s="32">
        <f>0.2*$H77</f>
        <v>0</v>
      </c>
      <c r="H77" s="42"/>
      <c r="J77" s="2" t="b">
        <f>NOT(ISERROR(MATCH(A77,Spice[Spice],0)))</f>
        <v>1</v>
      </c>
    </row>
    <row r="78" spans="1:10" s="22" customFormat="1" x14ac:dyDescent="0.3">
      <c r="A78" s="45" t="s">
        <v>28</v>
      </c>
      <c r="B78" s="46">
        <f t="shared" ref="B78:G78" si="12">0*$H78</f>
        <v>0</v>
      </c>
      <c r="C78" s="46">
        <f t="shared" si="12"/>
        <v>0</v>
      </c>
      <c r="D78" s="46">
        <f t="shared" si="12"/>
        <v>0</v>
      </c>
      <c r="E78" s="46">
        <f t="shared" si="12"/>
        <v>0</v>
      </c>
      <c r="F78" s="46">
        <f t="shared" si="12"/>
        <v>0</v>
      </c>
      <c r="G78" s="46">
        <f t="shared" si="12"/>
        <v>0</v>
      </c>
      <c r="H78" s="47"/>
      <c r="J78" s="2" t="b">
        <f>NOT(ISERROR(MATCH(A78,Spice[Spice],0)))</f>
        <v>1</v>
      </c>
    </row>
    <row r="79" spans="1:10" s="22" customFormat="1" x14ac:dyDescent="0.3">
      <c r="A79" s="41" t="s">
        <v>29</v>
      </c>
      <c r="B79" s="32">
        <f>2.5*$H79</f>
        <v>0</v>
      </c>
      <c r="C79" s="32">
        <f>0.6*$H79</f>
        <v>0</v>
      </c>
      <c r="D79" s="32">
        <f>0.1*$H79</f>
        <v>0</v>
      </c>
      <c r="E79" s="32">
        <f>0.1*$H79</f>
        <v>0</v>
      </c>
      <c r="F79" s="32">
        <f>0.3*$H79</f>
        <v>0</v>
      </c>
      <c r="G79" s="32">
        <f>0*$H79</f>
        <v>0</v>
      </c>
      <c r="H79" s="42"/>
      <c r="J79" s="2" t="b">
        <f>NOT(ISERROR(MATCH(A79,Spice[Spice],0)))</f>
        <v>1</v>
      </c>
    </row>
    <row r="80" spans="1:10" s="22" customFormat="1" x14ac:dyDescent="0.3">
      <c r="A80" s="41" t="s">
        <v>30</v>
      </c>
      <c r="B80" s="32">
        <f>4*$H80</f>
        <v>0</v>
      </c>
      <c r="C80" s="32">
        <f>1*$H80</f>
        <v>0</v>
      </c>
      <c r="D80" s="32">
        <f t="shared" ref="D80:F81" si="13">0*$H80</f>
        <v>0</v>
      </c>
      <c r="E80" s="32">
        <f t="shared" si="13"/>
        <v>0</v>
      </c>
      <c r="F80" s="32">
        <f t="shared" si="13"/>
        <v>0</v>
      </c>
      <c r="G80" s="32">
        <f>0*$H80</f>
        <v>0</v>
      </c>
      <c r="H80" s="42"/>
      <c r="J80" s="2" t="b">
        <f>NOT(ISERROR(MATCH(A80,Spice[Spice],0)))</f>
        <v>1</v>
      </c>
    </row>
    <row r="81" spans="1:10" s="22" customFormat="1" x14ac:dyDescent="0.3">
      <c r="A81" s="41" t="s">
        <v>31</v>
      </c>
      <c r="B81" s="32">
        <f>0*$H81</f>
        <v>0</v>
      </c>
      <c r="C81" s="32">
        <f>0*$H81</f>
        <v>0</v>
      </c>
      <c r="D81" s="32">
        <f t="shared" si="13"/>
        <v>0</v>
      </c>
      <c r="E81" s="32">
        <f t="shared" si="13"/>
        <v>0</v>
      </c>
      <c r="F81" s="32">
        <f t="shared" si="13"/>
        <v>0</v>
      </c>
      <c r="G81" s="32">
        <f>0*$H81</f>
        <v>0</v>
      </c>
      <c r="H81" s="42"/>
      <c r="J81" s="2" t="b">
        <f>NOT(ISERROR(MATCH(A81,Spice[Spice],0)))</f>
        <v>1</v>
      </c>
    </row>
    <row r="82" spans="1:10" s="22" customFormat="1" x14ac:dyDescent="0.3">
      <c r="A82" s="41" t="s">
        <v>32</v>
      </c>
      <c r="B82" s="32">
        <f>8*$H82</f>
        <v>0</v>
      </c>
      <c r="C82" s="32">
        <f>1.43*$H82</f>
        <v>0</v>
      </c>
      <c r="D82" s="32">
        <f>0.22*$H82</f>
        <v>0</v>
      </c>
      <c r="E82" s="32">
        <f>0.17*$H82</f>
        <v>0</v>
      </c>
      <c r="F82" s="32">
        <f>0.5*$H82</f>
        <v>0</v>
      </c>
      <c r="G82" s="32">
        <f>0*$H82</f>
        <v>0</v>
      </c>
      <c r="H82" s="42"/>
      <c r="J82" s="2" t="b">
        <f>NOT(ISERROR(MATCH(A82,Spice[Spice],0)))</f>
        <v>1</v>
      </c>
    </row>
    <row r="83" spans="1:10" s="22" customFormat="1" x14ac:dyDescent="0.3">
      <c r="A83" s="41" t="s">
        <v>33</v>
      </c>
      <c r="B83" s="32">
        <f>7.1*$H83</f>
        <v>0</v>
      </c>
      <c r="C83" s="32">
        <f>1.6*$H83</f>
        <v>0</v>
      </c>
      <c r="D83" s="32">
        <f>0.1*$H83</f>
        <v>0</v>
      </c>
      <c r="E83" s="32">
        <f>0.3*$H83</f>
        <v>0</v>
      </c>
      <c r="F83" s="32">
        <f>0.6*$H83</f>
        <v>0</v>
      </c>
      <c r="G83" s="32">
        <f>0*$H83</f>
        <v>0</v>
      </c>
      <c r="H83" s="42"/>
      <c r="J83" s="2" t="b">
        <f>NOT(ISERROR(MATCH(A83,Spice[Spice],0)))</f>
        <v>1</v>
      </c>
    </row>
    <row r="84" spans="1:10" x14ac:dyDescent="0.3">
      <c r="A84" s="41" t="s">
        <v>34</v>
      </c>
      <c r="B84" s="32">
        <f>SUBTOTAL(109,Table273435364051[Calories])</f>
        <v>14</v>
      </c>
      <c r="C84" s="32">
        <f>SUBTOTAL(109,Table273435364051[Carbs])</f>
        <v>3.6</v>
      </c>
      <c r="D84" s="32">
        <f>SUBTOTAL(109,Table273435364051[Fat])</f>
        <v>0.2</v>
      </c>
      <c r="E84" s="32">
        <f>SUBTOTAL(109,Table273435364051[Protein])</f>
        <v>2.4</v>
      </c>
      <c r="F84" s="32">
        <f>SUBTOTAL(109,Table273435364051[Fiber])</f>
        <v>1.2</v>
      </c>
      <c r="G84" s="32">
        <f>SUBTOTAL(109,Table273435364051[Sugar])</f>
        <v>0</v>
      </c>
      <c r="H84" s="42">
        <f>SUBTOTAL(109,Table273435364051[Serving by TSP])</f>
        <v>4</v>
      </c>
      <c r="I84" s="22"/>
    </row>
  </sheetData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9174-18ED-4F55-950E-41BA9A4A82EF}">
  <sheetPr codeName="Sheet24"/>
  <dimension ref="A1:J76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s="68" customFormat="1" x14ac:dyDescent="0.3">
      <c r="A2" s="1" t="s">
        <v>229</v>
      </c>
      <c r="B2" s="5">
        <f>110*$H2</f>
        <v>660</v>
      </c>
      <c r="C2" s="5">
        <f>0*$H2</f>
        <v>0</v>
      </c>
      <c r="D2" s="5">
        <f>3*$H2</f>
        <v>18</v>
      </c>
      <c r="E2" s="5">
        <f>22*$H2</f>
        <v>132</v>
      </c>
      <c r="F2" s="5">
        <f>0*$H2</f>
        <v>0</v>
      </c>
      <c r="G2" s="5">
        <f>0*$H2</f>
        <v>0</v>
      </c>
      <c r="H2" s="5">
        <v>6</v>
      </c>
      <c r="I2" s="22" t="s">
        <v>204</v>
      </c>
      <c r="J2" s="68" t="b">
        <f>NOT(ISERROR(MATCH(A2,Index[Item],0)))</f>
        <v>1</v>
      </c>
    </row>
    <row r="3" spans="1:10" s="68" customFormat="1" x14ac:dyDescent="0.3">
      <c r="A3" s="1" t="s">
        <v>235</v>
      </c>
      <c r="B3" s="5">
        <f>160*$H3</f>
        <v>640</v>
      </c>
      <c r="C3" s="5">
        <f>36*$H3</f>
        <v>144</v>
      </c>
      <c r="D3" s="5">
        <f>0*$H3</f>
        <v>0</v>
      </c>
      <c r="E3" s="5">
        <f>3*$H3</f>
        <v>12</v>
      </c>
      <c r="F3" s="5">
        <f>1*$H3</f>
        <v>4</v>
      </c>
      <c r="G3" s="5">
        <f>1*$H3</f>
        <v>4</v>
      </c>
      <c r="H3" s="5">
        <v>4</v>
      </c>
      <c r="I3" s="22" t="s">
        <v>236</v>
      </c>
      <c r="J3" s="68" t="b">
        <f>NOT(ISERROR(MATCH(A3,Index[Item],0)))</f>
        <v>1</v>
      </c>
    </row>
    <row r="4" spans="1:10" s="68" customFormat="1" x14ac:dyDescent="0.3">
      <c r="A4" s="1" t="s">
        <v>237</v>
      </c>
      <c r="B4" s="5">
        <f>160*$H4</f>
        <v>320</v>
      </c>
      <c r="C4" s="5">
        <f>35*$H4</f>
        <v>70</v>
      </c>
      <c r="D4" s="5">
        <f>0*$H4</f>
        <v>0</v>
      </c>
      <c r="E4" s="5">
        <f>3*$H4</f>
        <v>6</v>
      </c>
      <c r="F4" s="5">
        <f>0*$H4</f>
        <v>0</v>
      </c>
      <c r="G4" s="5">
        <f>0*$H4</f>
        <v>0</v>
      </c>
      <c r="H4" s="5">
        <v>2</v>
      </c>
      <c r="I4" s="22" t="s">
        <v>236</v>
      </c>
      <c r="J4" s="68" t="b">
        <f>NOT(ISERROR(MATCH(A4,Index[Item],0)))</f>
        <v>1</v>
      </c>
    </row>
    <row r="5" spans="1:10" s="68" customFormat="1" x14ac:dyDescent="0.3">
      <c r="A5" s="1" t="s">
        <v>238</v>
      </c>
      <c r="B5" s="5">
        <f>160*$H5</f>
        <v>0</v>
      </c>
      <c r="C5" s="5">
        <f>36*$H5</f>
        <v>0</v>
      </c>
      <c r="D5" s="5">
        <f>0*$H5</f>
        <v>0</v>
      </c>
      <c r="E5" s="5">
        <f>3*$H5</f>
        <v>0</v>
      </c>
      <c r="F5" s="5">
        <f>0*$H5</f>
        <v>0</v>
      </c>
      <c r="G5" s="5">
        <f>0*$H5</f>
        <v>0</v>
      </c>
      <c r="H5" s="5"/>
      <c r="I5" s="22" t="s">
        <v>236</v>
      </c>
      <c r="J5" s="68" t="b">
        <f>NOT(ISERROR(MATCH(A5,Index[Item],0)))</f>
        <v>1</v>
      </c>
    </row>
    <row r="6" spans="1:10" s="68" customFormat="1" x14ac:dyDescent="0.3">
      <c r="A6" s="1" t="s">
        <v>239</v>
      </c>
      <c r="B6" s="5">
        <f>160*$H6</f>
        <v>0</v>
      </c>
      <c r="C6" s="5">
        <f>34*$H6</f>
        <v>0</v>
      </c>
      <c r="D6" s="5">
        <f>1*$H6</f>
        <v>0</v>
      </c>
      <c r="E6" s="5">
        <f>3*$H6</f>
        <v>0</v>
      </c>
      <c r="F6" s="5">
        <f>1*$H6</f>
        <v>0</v>
      </c>
      <c r="G6" s="5">
        <f>0*$H6</f>
        <v>0</v>
      </c>
      <c r="H6" s="5"/>
      <c r="I6" s="22" t="s">
        <v>236</v>
      </c>
      <c r="J6" s="68" t="b">
        <f>NOT(ISERROR(MATCH(A6,Index[Item],0)))</f>
        <v>1</v>
      </c>
    </row>
    <row r="7" spans="1:10" s="68" customFormat="1" ht="37.5" x14ac:dyDescent="0.3">
      <c r="A7" s="1" t="s">
        <v>240</v>
      </c>
      <c r="B7" s="5">
        <f>160*$H7</f>
        <v>0</v>
      </c>
      <c r="C7" s="5">
        <f>36*$H7</f>
        <v>0</v>
      </c>
      <c r="D7" s="5">
        <f>0*$H7</f>
        <v>0</v>
      </c>
      <c r="E7" s="5">
        <f>3*$H7</f>
        <v>0</v>
      </c>
      <c r="F7" s="5">
        <f>1*$H7</f>
        <v>0</v>
      </c>
      <c r="G7" s="5">
        <f>0*$H7</f>
        <v>0</v>
      </c>
      <c r="H7" s="5"/>
      <c r="I7" s="22" t="s">
        <v>236</v>
      </c>
      <c r="J7" s="68" t="b">
        <f>NOT(ISERROR(MATCH(A7,Index[Item],0)))</f>
        <v>1</v>
      </c>
    </row>
    <row r="8" spans="1:10" s="68" customFormat="1" ht="37.5" x14ac:dyDescent="0.3">
      <c r="A8" s="1" t="s">
        <v>310</v>
      </c>
      <c r="B8" s="5">
        <f>25*$H8</f>
        <v>25</v>
      </c>
      <c r="C8" s="5">
        <f>5*$H8</f>
        <v>5</v>
      </c>
      <c r="D8" s="5">
        <f>0*$H8</f>
        <v>0</v>
      </c>
      <c r="E8" s="5">
        <f>0.5*$H8</f>
        <v>0.5</v>
      </c>
      <c r="F8" s="5">
        <f>0*$H8</f>
        <v>0</v>
      </c>
      <c r="G8" s="5">
        <f>3*$H8</f>
        <v>3</v>
      </c>
      <c r="H8" s="5">
        <v>1</v>
      </c>
      <c r="I8" s="22" t="s">
        <v>307</v>
      </c>
      <c r="J8" s="68" t="b">
        <f>NOT(ISERROR(MATCH(A8,Index[Item],0)))</f>
        <v>1</v>
      </c>
    </row>
    <row r="9" spans="1:10" s="68" customFormat="1" x14ac:dyDescent="0.3">
      <c r="A9" s="1" t="s">
        <v>318</v>
      </c>
      <c r="B9" s="5">
        <f>10*$H9</f>
        <v>40</v>
      </c>
      <c r="C9" s="5">
        <f>1*$H9</f>
        <v>4</v>
      </c>
      <c r="D9" s="5">
        <f>0*$H9</f>
        <v>0</v>
      </c>
      <c r="E9" s="5">
        <f>1*$H9</f>
        <v>4</v>
      </c>
      <c r="F9" s="5">
        <f>0*$H9</f>
        <v>0</v>
      </c>
      <c r="G9" s="5">
        <f>0*$H9</f>
        <v>0</v>
      </c>
      <c r="H9" s="5">
        <v>4</v>
      </c>
      <c r="I9" s="22" t="s">
        <v>307</v>
      </c>
      <c r="J9" s="68" t="b">
        <f>NOT(ISERROR(MATCH(A9,Index[Item],0)))</f>
        <v>1</v>
      </c>
    </row>
    <row r="10" spans="1:10" s="68" customFormat="1" x14ac:dyDescent="0.3">
      <c r="A10" s="1" t="s">
        <v>308</v>
      </c>
      <c r="B10" s="5">
        <f>60*$H10</f>
        <v>0</v>
      </c>
      <c r="C10" s="5">
        <f>17*$H10</f>
        <v>0</v>
      </c>
      <c r="D10" s="5">
        <f>0*$H10</f>
        <v>0</v>
      </c>
      <c r="E10" s="5">
        <f>0*$H10</f>
        <v>0</v>
      </c>
      <c r="F10" s="5">
        <f>0*$H10</f>
        <v>0</v>
      </c>
      <c r="G10" s="5">
        <f>17*$H10</f>
        <v>0</v>
      </c>
      <c r="H10" s="5"/>
      <c r="I10" s="22" t="s">
        <v>309</v>
      </c>
      <c r="J10" s="68" t="b">
        <f>NOT(ISERROR(MATCH(A10,Index[Item],0)))</f>
        <v>1</v>
      </c>
    </row>
    <row r="11" spans="1:10" s="68" customFormat="1" x14ac:dyDescent="0.3">
      <c r="A11" s="1" t="s">
        <v>306</v>
      </c>
      <c r="B11" s="5">
        <f>60*$H11</f>
        <v>0</v>
      </c>
      <c r="C11" s="5">
        <f>16*$H11</f>
        <v>0</v>
      </c>
      <c r="D11" s="5">
        <f t="shared" ref="D11:G18" si="0">0*$H11</f>
        <v>0</v>
      </c>
      <c r="E11" s="5">
        <f>0*$H11</f>
        <v>0</v>
      </c>
      <c r="F11" s="5">
        <f>1*$H11</f>
        <v>0</v>
      </c>
      <c r="G11" s="5">
        <f>15*$H11</f>
        <v>0</v>
      </c>
      <c r="H11" s="5"/>
      <c r="I11" s="22" t="s">
        <v>307</v>
      </c>
      <c r="J11" s="68" t="b">
        <f>NOT(ISERROR(MATCH(A11,Index[Item],0)))</f>
        <v>1</v>
      </c>
    </row>
    <row r="12" spans="1:10" s="68" customFormat="1" x14ac:dyDescent="0.3">
      <c r="A12" s="1" t="s">
        <v>303</v>
      </c>
      <c r="B12" s="5">
        <f>30*$H12</f>
        <v>15</v>
      </c>
      <c r="C12" s="5">
        <f>8*$H12</f>
        <v>4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>8*$H12</f>
        <v>4</v>
      </c>
      <c r="H12" s="5">
        <v>0.5</v>
      </c>
      <c r="I12" s="22" t="s">
        <v>304</v>
      </c>
      <c r="J12" s="68" t="b">
        <f>NOT(ISERROR(MATCH(A12,Index[Item],0)))</f>
        <v>1</v>
      </c>
    </row>
    <row r="13" spans="1:10" s="68" customFormat="1" x14ac:dyDescent="0.3">
      <c r="A13" s="1" t="s">
        <v>305</v>
      </c>
      <c r="B13" s="5">
        <f>30*$H13</f>
        <v>67.5</v>
      </c>
      <c r="C13" s="5">
        <f>8*$H13</f>
        <v>18</v>
      </c>
      <c r="D13" s="5">
        <f t="shared" si="0"/>
        <v>0</v>
      </c>
      <c r="E13" s="5">
        <f t="shared" si="0"/>
        <v>0</v>
      </c>
      <c r="F13" s="5">
        <f t="shared" si="0"/>
        <v>0</v>
      </c>
      <c r="G13" s="5">
        <f>8*$H13</f>
        <v>18</v>
      </c>
      <c r="H13" s="5">
        <v>2.25</v>
      </c>
      <c r="I13" s="22" t="s">
        <v>304</v>
      </c>
      <c r="J13" s="68" t="b">
        <f>NOT(ISERROR(MATCH(A13,Index[Item],0)))</f>
        <v>1</v>
      </c>
    </row>
    <row r="14" spans="1:10" s="68" customFormat="1" ht="37.5" x14ac:dyDescent="0.3">
      <c r="A14" s="1" t="s">
        <v>311</v>
      </c>
      <c r="B14" s="5">
        <f>32*$H14</f>
        <v>32</v>
      </c>
      <c r="C14" s="5">
        <f>0*$H14</f>
        <v>0</v>
      </c>
      <c r="D14" s="5">
        <f t="shared" si="0"/>
        <v>0</v>
      </c>
      <c r="E14" s="5">
        <f>0*$H14</f>
        <v>0</v>
      </c>
      <c r="F14" s="5">
        <f t="shared" si="0"/>
        <v>0</v>
      </c>
      <c r="G14" s="5">
        <f>0*$H14</f>
        <v>0</v>
      </c>
      <c r="H14" s="5">
        <v>1</v>
      </c>
      <c r="I14" s="22" t="s">
        <v>312</v>
      </c>
      <c r="J14" s="68" t="b">
        <f>NOT(ISERROR(MATCH(A14,Index[Item],0)))</f>
        <v>1</v>
      </c>
    </row>
    <row r="15" spans="1:10" s="68" customFormat="1" ht="37.5" x14ac:dyDescent="0.3">
      <c r="A15" s="1" t="s">
        <v>317</v>
      </c>
      <c r="B15" s="5">
        <f>120*$H15</f>
        <v>0</v>
      </c>
      <c r="C15" s="5">
        <f>0*$H15</f>
        <v>0</v>
      </c>
      <c r="D15" s="5">
        <f>14*$H15</f>
        <v>0</v>
      </c>
      <c r="E15" s="5">
        <f>0*$H15</f>
        <v>0</v>
      </c>
      <c r="F15" s="5">
        <f t="shared" si="0"/>
        <v>0</v>
      </c>
      <c r="G15" s="5">
        <f>0*$H15</f>
        <v>0</v>
      </c>
      <c r="H15" s="5"/>
      <c r="I15" s="22" t="s">
        <v>307</v>
      </c>
      <c r="J15" s="68" t="b">
        <f>NOT(ISERROR(MATCH(A15,Index[Item],0)))</f>
        <v>1</v>
      </c>
    </row>
    <row r="16" spans="1:10" s="68" customFormat="1" x14ac:dyDescent="0.3">
      <c r="A16" s="1" t="s">
        <v>338</v>
      </c>
      <c r="B16" s="5">
        <f>120*$H16</f>
        <v>120</v>
      </c>
      <c r="C16" s="5">
        <f>0*$H16</f>
        <v>0</v>
      </c>
      <c r="D16" s="5">
        <f>14*$H16</f>
        <v>14</v>
      </c>
      <c r="E16" s="5">
        <f>0*$H16</f>
        <v>0</v>
      </c>
      <c r="F16" s="5">
        <f t="shared" si="0"/>
        <v>0</v>
      </c>
      <c r="G16" s="5">
        <f>0*$H16</f>
        <v>0</v>
      </c>
      <c r="H16" s="5">
        <v>1</v>
      </c>
      <c r="I16" s="22" t="s">
        <v>307</v>
      </c>
      <c r="J16" s="68" t="b">
        <f>NOT(ISERROR(MATCH(A16,Index[Item],0)))</f>
        <v>1</v>
      </c>
    </row>
    <row r="17" spans="1:10" s="68" customFormat="1" x14ac:dyDescent="0.3">
      <c r="A17" s="1" t="s">
        <v>337</v>
      </c>
      <c r="B17" s="5">
        <f>120*$H17</f>
        <v>0</v>
      </c>
      <c r="C17" s="5">
        <f>0*$H17</f>
        <v>0</v>
      </c>
      <c r="D17" s="5">
        <f>14*$H17</f>
        <v>0</v>
      </c>
      <c r="E17" s="5">
        <f>0*$H17</f>
        <v>0</v>
      </c>
      <c r="F17" s="5">
        <f t="shared" si="0"/>
        <v>0</v>
      </c>
      <c r="G17" s="5">
        <f>0*$H17</f>
        <v>0</v>
      </c>
      <c r="H17" s="5"/>
      <c r="I17" s="22" t="s">
        <v>307</v>
      </c>
      <c r="J17" s="68" t="b">
        <f>NOT(ISERROR(MATCH(A17,Index[Item],0)))</f>
        <v>1</v>
      </c>
    </row>
    <row r="18" spans="1:10" s="68" customFormat="1" x14ac:dyDescent="0.3">
      <c r="A18" s="1" t="s">
        <v>313</v>
      </c>
      <c r="B18" s="5">
        <f>0*$H18</f>
        <v>0</v>
      </c>
      <c r="C18" s="5">
        <f t="shared" ref="C18:E18" si="1">0*$H18</f>
        <v>0</v>
      </c>
      <c r="D18" s="5">
        <f t="shared" si="1"/>
        <v>0</v>
      </c>
      <c r="E18" s="5">
        <f t="shared" si="1"/>
        <v>0</v>
      </c>
      <c r="F18" s="5">
        <f t="shared" si="0"/>
        <v>0</v>
      </c>
      <c r="G18" s="5">
        <f t="shared" si="0"/>
        <v>0</v>
      </c>
      <c r="H18" s="5">
        <v>1</v>
      </c>
      <c r="I18" s="22" t="s">
        <v>307</v>
      </c>
      <c r="J18" s="68" t="b">
        <f>NOT(ISERROR(MATCH(A18,Index[Item],0)))</f>
        <v>1</v>
      </c>
    </row>
    <row r="19" spans="1:10" s="68" customFormat="1" ht="37.5" x14ac:dyDescent="0.3">
      <c r="A19" s="1" t="s">
        <v>341</v>
      </c>
      <c r="B19" s="5">
        <f>10*$H19</f>
        <v>0</v>
      </c>
      <c r="C19" s="5">
        <f>2*$H19</f>
        <v>0</v>
      </c>
      <c r="D19" s="5">
        <f>0*$H19</f>
        <v>0</v>
      </c>
      <c r="E19" s="5">
        <f t="shared" ref="E19:F19" si="2">0*$H19</f>
        <v>0</v>
      </c>
      <c r="F19" s="5">
        <f t="shared" si="2"/>
        <v>0</v>
      </c>
      <c r="G19" s="5">
        <f>2*$H19</f>
        <v>0</v>
      </c>
      <c r="H19" s="5"/>
      <c r="I19" s="22" t="s">
        <v>307</v>
      </c>
      <c r="J19" s="68" t="b">
        <f>NOT(ISERROR(MATCH(A19,Index[Item],0)))</f>
        <v>1</v>
      </c>
    </row>
    <row r="20" spans="1:10" s="68" customFormat="1" ht="37.5" x14ac:dyDescent="0.3">
      <c r="A20" s="1" t="s">
        <v>314</v>
      </c>
      <c r="B20" s="5">
        <f>90*$H20</f>
        <v>45</v>
      </c>
      <c r="C20" s="5">
        <f>20*$H20</f>
        <v>10</v>
      </c>
      <c r="D20" s="5">
        <f>1*$H20</f>
        <v>0.5</v>
      </c>
      <c r="E20" s="5">
        <f>0*$H20</f>
        <v>0</v>
      </c>
      <c r="F20" s="5">
        <f>0*$H20</f>
        <v>0</v>
      </c>
      <c r="G20" s="5">
        <f>18*$H20</f>
        <v>9</v>
      </c>
      <c r="H20" s="5">
        <v>0.5</v>
      </c>
      <c r="I20" s="22" t="s">
        <v>315</v>
      </c>
      <c r="J20" s="68" t="b">
        <f>NOT(ISERROR(MATCH(A20,Index[Item],0)))</f>
        <v>1</v>
      </c>
    </row>
    <row r="21" spans="1:10" s="68" customFormat="1" ht="37.5" x14ac:dyDescent="0.3">
      <c r="A21" s="1" t="s">
        <v>320</v>
      </c>
      <c r="B21" s="5">
        <f>40*$H21</f>
        <v>40</v>
      </c>
      <c r="C21" s="5">
        <f>8*$H21</f>
        <v>8</v>
      </c>
      <c r="D21" s="5">
        <f>0*$H21</f>
        <v>0</v>
      </c>
      <c r="E21" s="5">
        <f>1*$H21</f>
        <v>1</v>
      </c>
      <c r="F21" s="5">
        <f>1*$H21</f>
        <v>1</v>
      </c>
      <c r="G21" s="5">
        <f>5*$H21</f>
        <v>5</v>
      </c>
      <c r="H21" s="5">
        <v>1</v>
      </c>
      <c r="I21" s="22" t="s">
        <v>321</v>
      </c>
      <c r="J21" s="68" t="b">
        <f>NOT(ISERROR(MATCH(A21,Index[Item],0)))</f>
        <v>1</v>
      </c>
    </row>
    <row r="22" spans="1:10" s="68" customFormat="1" x14ac:dyDescent="0.3">
      <c r="A22" s="1" t="s">
        <v>301</v>
      </c>
      <c r="B22" s="5">
        <f>30*$H22</f>
        <v>30</v>
      </c>
      <c r="C22" s="5">
        <f>8*$H22</f>
        <v>8</v>
      </c>
      <c r="D22" s="5">
        <f t="shared" ref="D22:G22" si="3">0*$H22</f>
        <v>0</v>
      </c>
      <c r="E22" s="5">
        <f t="shared" si="3"/>
        <v>0</v>
      </c>
      <c r="F22" s="5">
        <f t="shared" si="3"/>
        <v>0</v>
      </c>
      <c r="G22" s="5">
        <f t="shared" si="3"/>
        <v>0</v>
      </c>
      <c r="H22" s="5">
        <v>1</v>
      </c>
      <c r="I22" s="22" t="s">
        <v>302</v>
      </c>
      <c r="J22" s="68" t="b">
        <f>NOT(ISERROR(MATCH(A22,Index[Item],0)))</f>
        <v>1</v>
      </c>
    </row>
    <row r="23" spans="1:10" s="68" customFormat="1" x14ac:dyDescent="0.3">
      <c r="A23" s="1" t="s">
        <v>300</v>
      </c>
      <c r="B23" s="5">
        <f>0*$H23</f>
        <v>0</v>
      </c>
      <c r="C23" s="5">
        <f t="shared" ref="C23:G23" si="4">0*$H23</f>
        <v>0</v>
      </c>
      <c r="D23" s="5">
        <f t="shared" si="4"/>
        <v>0</v>
      </c>
      <c r="E23" s="5">
        <f t="shared" si="4"/>
        <v>0</v>
      </c>
      <c r="F23" s="5">
        <f t="shared" si="4"/>
        <v>0</v>
      </c>
      <c r="G23" s="5">
        <f t="shared" si="4"/>
        <v>0</v>
      </c>
      <c r="H23" s="5"/>
      <c r="I23" s="22" t="s">
        <v>299</v>
      </c>
      <c r="J23" s="68" t="b">
        <f>NOT(ISERROR(MATCH(A23,Index[Item],0)))</f>
        <v>1</v>
      </c>
    </row>
    <row r="24" spans="1:10" s="68" customFormat="1" x14ac:dyDescent="0.3">
      <c r="A24" s="1" t="s">
        <v>543</v>
      </c>
      <c r="B24" s="5">
        <f>28*$H24</f>
        <v>56</v>
      </c>
      <c r="C24" s="5">
        <f>6.7*$H24</f>
        <v>13.4</v>
      </c>
      <c r="D24" s="5">
        <f t="shared" ref="D24:D29" si="5">0.2*$H24</f>
        <v>0.4</v>
      </c>
      <c r="E24" s="5">
        <f>1.9*$H24</f>
        <v>3.8</v>
      </c>
      <c r="F24" s="5">
        <f>1.2*$H24</f>
        <v>2.4</v>
      </c>
      <c r="G24" s="5">
        <f>3.2*$H24</f>
        <v>6.4</v>
      </c>
      <c r="H24" s="5">
        <v>2</v>
      </c>
      <c r="I24" s="22" t="s">
        <v>96</v>
      </c>
      <c r="J24" s="68" t="b">
        <f>NOT(ISERROR(MATCH(A24,Index[Item],0)))</f>
        <v>1</v>
      </c>
    </row>
    <row r="25" spans="1:10" s="68" customFormat="1" x14ac:dyDescent="0.3">
      <c r="A25" s="1" t="s">
        <v>27</v>
      </c>
      <c r="B25" s="5">
        <f>28*$H25</f>
        <v>0</v>
      </c>
      <c r="C25" s="5">
        <f>6.7*$H25</f>
        <v>0</v>
      </c>
      <c r="D25" s="5">
        <f t="shared" si="5"/>
        <v>0</v>
      </c>
      <c r="E25" s="5">
        <f>0.9*$H25</f>
        <v>0</v>
      </c>
      <c r="F25" s="5">
        <f>1.2*$H25</f>
        <v>0</v>
      </c>
      <c r="G25" s="5">
        <f>4.4*$H25</f>
        <v>0</v>
      </c>
      <c r="H25" s="5"/>
      <c r="I25" s="22" t="s">
        <v>96</v>
      </c>
      <c r="J25" s="68" t="b">
        <f>NOT(ISERROR(MATCH(A25,Index[Item],0)))</f>
        <v>1</v>
      </c>
    </row>
    <row r="26" spans="1:10" s="68" customFormat="1" x14ac:dyDescent="0.3">
      <c r="A26" s="1" t="s">
        <v>98</v>
      </c>
      <c r="B26" s="5">
        <f>28*$H26</f>
        <v>0</v>
      </c>
      <c r="C26" s="5">
        <f>6.7*$H26</f>
        <v>0</v>
      </c>
      <c r="D26" s="5">
        <f t="shared" si="5"/>
        <v>0</v>
      </c>
      <c r="E26" s="5">
        <f>0.9*$H26</f>
        <v>0</v>
      </c>
      <c r="F26" s="5">
        <f>1.2*$H26</f>
        <v>0</v>
      </c>
      <c r="G26" s="5">
        <f>4.4*$H26</f>
        <v>0</v>
      </c>
      <c r="H26" s="5"/>
      <c r="I26" s="22" t="s">
        <v>96</v>
      </c>
      <c r="J26" s="68" t="b">
        <f>NOT(ISERROR(MATCH(A26,Index[Item],0)))</f>
        <v>1</v>
      </c>
    </row>
    <row r="27" spans="1:10" s="68" customFormat="1" x14ac:dyDescent="0.3">
      <c r="A27" s="1" t="s">
        <v>99</v>
      </c>
      <c r="B27" s="5">
        <f>27*$H27</f>
        <v>0</v>
      </c>
      <c r="C27" s="5">
        <f>6.3*$H27</f>
        <v>0</v>
      </c>
      <c r="D27" s="5">
        <f t="shared" si="5"/>
        <v>0</v>
      </c>
      <c r="E27" s="5">
        <f>1*$H27</f>
        <v>0</v>
      </c>
      <c r="F27" s="5">
        <f>0.9*$H27</f>
        <v>0</v>
      </c>
      <c r="G27" s="5">
        <f>0*$H27</f>
        <v>0</v>
      </c>
      <c r="H27" s="5"/>
      <c r="I27" s="22" t="s">
        <v>96</v>
      </c>
      <c r="J27" s="68" t="b">
        <f>NOT(ISERROR(MATCH(A27,Index[Item],0)))</f>
        <v>1</v>
      </c>
    </row>
    <row r="28" spans="1:10" s="68" customFormat="1" x14ac:dyDescent="0.3">
      <c r="A28" s="1" t="s">
        <v>102</v>
      </c>
      <c r="B28" s="5">
        <f>44*$H28</f>
        <v>88</v>
      </c>
      <c r="C28" s="5">
        <f>10*$H28</f>
        <v>20</v>
      </c>
      <c r="D28" s="5">
        <f t="shared" si="5"/>
        <v>0.4</v>
      </c>
      <c r="E28" s="5">
        <f>1.4*$H28</f>
        <v>2.8</v>
      </c>
      <c r="F28" s="5">
        <f>1.4*$H28</f>
        <v>2.8</v>
      </c>
      <c r="G28" s="5">
        <f>4.7*$H28</f>
        <v>9.4</v>
      </c>
      <c r="H28" s="5">
        <v>2</v>
      </c>
      <c r="I28" s="22" t="s">
        <v>96</v>
      </c>
      <c r="J28" s="68" t="b">
        <f>NOT(ISERROR(MATCH(A28,Index[Item],0)))</f>
        <v>1</v>
      </c>
    </row>
    <row r="29" spans="1:10" s="68" customFormat="1" x14ac:dyDescent="0.3">
      <c r="A29" s="1" t="s">
        <v>95</v>
      </c>
      <c r="B29" s="5">
        <f>32*$H29</f>
        <v>0</v>
      </c>
      <c r="C29" s="5">
        <f>7.3*$H29</f>
        <v>0</v>
      </c>
      <c r="D29" s="5">
        <f t="shared" si="5"/>
        <v>0</v>
      </c>
      <c r="E29" s="5">
        <f>1.8*$H29</f>
        <v>0</v>
      </c>
      <c r="F29" s="5">
        <f t="shared" ref="F29" si="6">2.7*$H29</f>
        <v>0</v>
      </c>
      <c r="G29" s="5">
        <f>2.3*$H29</f>
        <v>0</v>
      </c>
      <c r="H29" s="5"/>
      <c r="I29" s="22" t="s">
        <v>96</v>
      </c>
      <c r="J29" s="68" t="b">
        <f>NOT(ISERROR(MATCH(A29,Index[Item],0)))</f>
        <v>1</v>
      </c>
    </row>
    <row r="30" spans="1:10" s="68" customFormat="1" x14ac:dyDescent="0.3">
      <c r="A30" s="1" t="s">
        <v>101</v>
      </c>
      <c r="B30" s="5">
        <f>29*$H30</f>
        <v>43.5</v>
      </c>
      <c r="C30" s="5">
        <f>6.5*$H30</f>
        <v>9.75</v>
      </c>
      <c r="D30" s="5">
        <f>0.4*$H30</f>
        <v>0.60000000000000009</v>
      </c>
      <c r="E30" s="5">
        <f>0.9*$H30</f>
        <v>1.35</v>
      </c>
      <c r="F30" s="5">
        <f>2.8*$H30</f>
        <v>4.1999999999999993</v>
      </c>
      <c r="G30" s="5">
        <f>4.1*$H30</f>
        <v>6.1499999999999995</v>
      </c>
      <c r="H30" s="5">
        <v>1.5</v>
      </c>
      <c r="I30" s="22" t="s">
        <v>96</v>
      </c>
      <c r="J30" s="68" t="b">
        <f>NOT(ISERROR(MATCH(A30,Index[Item],0)))</f>
        <v>1</v>
      </c>
    </row>
    <row r="31" spans="1:10" s="68" customFormat="1" x14ac:dyDescent="0.3">
      <c r="A31" s="1" t="s">
        <v>100</v>
      </c>
      <c r="B31" s="5">
        <f>27*$H31</f>
        <v>40.5</v>
      </c>
      <c r="C31" s="5">
        <f>5.4*$H31</f>
        <v>8.1000000000000014</v>
      </c>
      <c r="D31" s="5">
        <f>0.5*$H31</f>
        <v>0.75</v>
      </c>
      <c r="E31" s="5">
        <f>1.7*$H31</f>
        <v>2.5499999999999998</v>
      </c>
      <c r="F31" s="5">
        <f>3.4*$H31</f>
        <v>5.0999999999999996</v>
      </c>
      <c r="G31" s="5">
        <f>2*$H31</f>
        <v>3</v>
      </c>
      <c r="H31" s="5">
        <v>1.5</v>
      </c>
      <c r="I31" s="22" t="s">
        <v>96</v>
      </c>
      <c r="J31" s="68" t="b">
        <f>NOT(ISERROR(MATCH(A31,Index[Item],0)))</f>
        <v>1</v>
      </c>
    </row>
    <row r="32" spans="1:10" s="68" customFormat="1" x14ac:dyDescent="0.3">
      <c r="A32" s="1" t="s">
        <v>108</v>
      </c>
      <c r="B32" s="5">
        <f>34*$H32</f>
        <v>0</v>
      </c>
      <c r="C32" s="5">
        <f>6.6*$H32</f>
        <v>0</v>
      </c>
      <c r="D32" s="5">
        <f>0.4*$H32</f>
        <v>0</v>
      </c>
      <c r="E32" s="5">
        <f>2.8*$H32</f>
        <v>0</v>
      </c>
      <c r="F32" s="5">
        <f>2.6*$H32</f>
        <v>0</v>
      </c>
      <c r="G32" s="5">
        <f>1.7*$H32</f>
        <v>0</v>
      </c>
      <c r="H32" s="5"/>
      <c r="I32" s="22" t="s">
        <v>96</v>
      </c>
      <c r="J32" s="68" t="b">
        <f>NOT(ISERROR(MATCH(A32,Index[Item],0)))</f>
        <v>1</v>
      </c>
    </row>
    <row r="33" spans="1:10" s="68" customFormat="1" x14ac:dyDescent="0.3">
      <c r="A33" s="1" t="s">
        <v>109</v>
      </c>
      <c r="B33" s="5">
        <f>35*$H33</f>
        <v>0</v>
      </c>
      <c r="C33" s="5">
        <f>7.9*$H33</f>
        <v>0</v>
      </c>
      <c r="D33" s="5">
        <f>0.3*$H33</f>
        <v>0</v>
      </c>
      <c r="E33" s="5">
        <f>1.9*$H33</f>
        <v>0</v>
      </c>
      <c r="F33" s="5">
        <f>3.2*$H33</f>
        <v>0</v>
      </c>
      <c r="G33" s="5">
        <f>3.6*$H33</f>
        <v>0</v>
      </c>
      <c r="H33" s="5"/>
      <c r="I33" s="22" t="s">
        <v>96</v>
      </c>
      <c r="J33" s="68" t="b">
        <f>NOT(ISERROR(MATCH(A33,Index[Item],0)))</f>
        <v>1</v>
      </c>
    </row>
    <row r="34" spans="1:10" s="68" customFormat="1" x14ac:dyDescent="0.3">
      <c r="A34" s="1" t="s">
        <v>107</v>
      </c>
      <c r="B34" s="5">
        <f>21*$H34</f>
        <v>0</v>
      </c>
      <c r="C34" s="5">
        <f>4.2*$H34</f>
        <v>0</v>
      </c>
      <c r="D34" s="5">
        <f>0.1*$H34</f>
        <v>0</v>
      </c>
      <c r="E34" s="5">
        <f>2*$H34</f>
        <v>0</v>
      </c>
      <c r="F34" s="5">
        <f>0.8*$H34</f>
        <v>0</v>
      </c>
      <c r="G34" s="5">
        <f>2.8*$H34</f>
        <v>0</v>
      </c>
      <c r="H34" s="5"/>
      <c r="I34" s="22" t="s">
        <v>96</v>
      </c>
      <c r="J34" s="68" t="b">
        <f>NOT(ISERROR(MATCH(A34,Index[Item],0)))</f>
        <v>1</v>
      </c>
    </row>
    <row r="35" spans="1:10" s="68" customFormat="1" x14ac:dyDescent="0.3">
      <c r="A35" s="1" t="s">
        <v>110</v>
      </c>
      <c r="B35" s="5">
        <f>18*$H35</f>
        <v>0</v>
      </c>
      <c r="C35" s="5">
        <f>4*$H35</f>
        <v>0</v>
      </c>
      <c r="D35" s="5">
        <f>0.2*$H35</f>
        <v>0</v>
      </c>
      <c r="E35" s="5">
        <f>0.8*$H35</f>
        <v>0</v>
      </c>
      <c r="F35" s="5">
        <f>1.6*$H35</f>
        <v>0</v>
      </c>
      <c r="G35" s="5">
        <f>2.4*$H35</f>
        <v>0</v>
      </c>
      <c r="H35" s="5"/>
      <c r="I35" s="22" t="s">
        <v>96</v>
      </c>
      <c r="J35" s="68" t="b">
        <f>NOT(ISERROR(MATCH(A35,Index[Item],0)))</f>
        <v>1</v>
      </c>
    </row>
    <row r="36" spans="1:10" s="68" customFormat="1" x14ac:dyDescent="0.3">
      <c r="A36" s="1" t="s">
        <v>111</v>
      </c>
      <c r="B36" s="5">
        <f>4.5*$H36</f>
        <v>0</v>
      </c>
      <c r="C36" s="5">
        <f>1*$H36</f>
        <v>0</v>
      </c>
      <c r="D36" s="5">
        <f>0*$H36</f>
        <v>0</v>
      </c>
      <c r="E36" s="5">
        <f>0.2*$H36</f>
        <v>0</v>
      </c>
      <c r="F36" s="5">
        <f>0.1*$H36</f>
        <v>0</v>
      </c>
      <c r="G36" s="5">
        <f>0*$H36</f>
        <v>0</v>
      </c>
      <c r="H36" s="5"/>
      <c r="I36" s="22" t="s">
        <v>112</v>
      </c>
      <c r="J36" s="68" t="b">
        <f>NOT(ISERROR(MATCH(A36,Index[Item],0)))</f>
        <v>1</v>
      </c>
    </row>
    <row r="37" spans="1:10" s="68" customFormat="1" x14ac:dyDescent="0.3">
      <c r="A37" s="1" t="s">
        <v>115</v>
      </c>
      <c r="B37" s="5">
        <f>25*$H37</f>
        <v>0</v>
      </c>
      <c r="C37" s="5">
        <f>5*$H37</f>
        <v>0</v>
      </c>
      <c r="D37" s="5">
        <f>0*$H37</f>
        <v>0</v>
      </c>
      <c r="E37" s="5">
        <f>0*$H37</f>
        <v>0</v>
      </c>
      <c r="F37" s="5">
        <f>2*$H37</f>
        <v>0</v>
      </c>
      <c r="G37" s="5">
        <f>1*$H37</f>
        <v>0</v>
      </c>
      <c r="H37" s="5"/>
      <c r="I37" s="22" t="s">
        <v>116</v>
      </c>
      <c r="J37" s="68" t="b">
        <f>NOT(ISERROR(MATCH(A37,Index[Item],0)))</f>
        <v>1</v>
      </c>
    </row>
    <row r="38" spans="1:10" s="68" customFormat="1" ht="37.5" x14ac:dyDescent="0.3">
      <c r="A38" s="1" t="s">
        <v>117</v>
      </c>
      <c r="B38" s="5">
        <f>50*$H38</f>
        <v>0</v>
      </c>
      <c r="C38" s="5">
        <f>10*$H38</f>
        <v>0</v>
      </c>
      <c r="D38" s="5">
        <f t="shared" ref="D38:D41" si="7">0*$H38</f>
        <v>0</v>
      </c>
      <c r="E38" s="5">
        <f>3*$H38</f>
        <v>0</v>
      </c>
      <c r="F38" s="5">
        <f>3*$H38</f>
        <v>0</v>
      </c>
      <c r="G38" s="5">
        <f>4*$H38</f>
        <v>0</v>
      </c>
      <c r="H38" s="5"/>
      <c r="I38" s="22" t="s">
        <v>118</v>
      </c>
      <c r="J38" s="68" t="b">
        <f>NOT(ISERROR(MATCH(A38,Index[Item],0)))</f>
        <v>1</v>
      </c>
    </row>
    <row r="39" spans="1:10" s="68" customFormat="1" ht="37.5" x14ac:dyDescent="0.3">
      <c r="A39" s="1" t="s">
        <v>119</v>
      </c>
      <c r="B39" s="5">
        <f>60*$H39</f>
        <v>0</v>
      </c>
      <c r="C39" s="5">
        <f>11*$H39</f>
        <v>0</v>
      </c>
      <c r="D39" s="5">
        <f t="shared" si="7"/>
        <v>0</v>
      </c>
      <c r="E39" s="5">
        <f>2*$H39</f>
        <v>0</v>
      </c>
      <c r="F39" s="5">
        <f>3*$H39</f>
        <v>0</v>
      </c>
      <c r="G39" s="5">
        <f>4*$H39</f>
        <v>0</v>
      </c>
      <c r="H39" s="5"/>
      <c r="I39" s="22" t="s">
        <v>118</v>
      </c>
      <c r="J39" s="68" t="b">
        <f>NOT(ISERROR(MATCH(A39,Index[Item],0)))</f>
        <v>1</v>
      </c>
    </row>
    <row r="40" spans="1:10" s="68" customFormat="1" ht="56.25" x14ac:dyDescent="0.3">
      <c r="A40" s="1" t="s">
        <v>120</v>
      </c>
      <c r="B40" s="5">
        <f>35*$H40</f>
        <v>0</v>
      </c>
      <c r="C40" s="5">
        <f>5*$H40</f>
        <v>0</v>
      </c>
      <c r="D40" s="5">
        <f>0*$H40</f>
        <v>0</v>
      </c>
      <c r="E40" s="5">
        <f>1*$H40</f>
        <v>0</v>
      </c>
      <c r="F40" s="5">
        <f>2*$H40</f>
        <v>0</v>
      </c>
      <c r="G40" s="5">
        <f>3*$H40</f>
        <v>0</v>
      </c>
      <c r="H40" s="5"/>
      <c r="I40" s="22" t="s">
        <v>121</v>
      </c>
      <c r="J40" s="68" t="b">
        <f>NOT(ISERROR(MATCH(A40,Index[Item],0)))</f>
        <v>1</v>
      </c>
    </row>
    <row r="41" spans="1:10" s="68" customFormat="1" ht="56.25" x14ac:dyDescent="0.3">
      <c r="A41" s="1" t="s">
        <v>122</v>
      </c>
      <c r="B41" s="5">
        <f>40*$H41</f>
        <v>0</v>
      </c>
      <c r="C41" s="5">
        <f>8*$H41</f>
        <v>0</v>
      </c>
      <c r="D41" s="5">
        <f t="shared" si="7"/>
        <v>0</v>
      </c>
      <c r="E41" s="5">
        <f>1*$H41</f>
        <v>0</v>
      </c>
      <c r="F41" s="5">
        <f>2*$H41</f>
        <v>0</v>
      </c>
      <c r="G41" s="5">
        <f>3*$H41</f>
        <v>0</v>
      </c>
      <c r="H41" s="5"/>
      <c r="I41" s="22" t="s">
        <v>123</v>
      </c>
      <c r="J41" s="68" t="b">
        <f>NOT(ISERROR(MATCH(A41,Index[Item],0)))</f>
        <v>1</v>
      </c>
    </row>
    <row r="42" spans="1:10" s="68" customFormat="1" x14ac:dyDescent="0.3">
      <c r="A42" s="1" t="s">
        <v>232</v>
      </c>
      <c r="B42" s="5">
        <f>72*$H42</f>
        <v>144</v>
      </c>
      <c r="C42" s="5">
        <f>0.4*$H42</f>
        <v>0.8</v>
      </c>
      <c r="D42" s="5">
        <f>4.8*$H42</f>
        <v>9.6</v>
      </c>
      <c r="E42" s="5">
        <f>6.3*$H42</f>
        <v>12.6</v>
      </c>
      <c r="F42" s="5">
        <f t="shared" ref="F42" si="8">0*$H42</f>
        <v>0</v>
      </c>
      <c r="G42" s="5">
        <f>0.2*$H42</f>
        <v>0.4</v>
      </c>
      <c r="H42" s="5">
        <v>2</v>
      </c>
      <c r="I42" s="22"/>
      <c r="J42" s="68" t="b">
        <f>NOT(ISERROR(MATCH(A42,Index[Item],0)))</f>
        <v>1</v>
      </c>
    </row>
    <row r="43" spans="1:10" s="68" customFormat="1" ht="42.75" customHeight="1" x14ac:dyDescent="0.3">
      <c r="A43" s="1" t="s">
        <v>247</v>
      </c>
      <c r="B43" s="5">
        <f>130*$H43</f>
        <v>0</v>
      </c>
      <c r="C43" s="5">
        <f>18*$H43</f>
        <v>0</v>
      </c>
      <c r="D43" s="5">
        <f>5*$H43</f>
        <v>0</v>
      </c>
      <c r="E43" s="5">
        <f>3*$H43</f>
        <v>0</v>
      </c>
      <c r="F43" s="5">
        <f>1*$H43</f>
        <v>0</v>
      </c>
      <c r="G43" s="5">
        <f>0*$H43</f>
        <v>0</v>
      </c>
      <c r="H43" s="5"/>
      <c r="I43" s="22" t="s">
        <v>248</v>
      </c>
      <c r="J43" s="68" t="b">
        <f>NOT(ISERROR(MATCH(A43,Index[Item],0)))</f>
        <v>1</v>
      </c>
    </row>
    <row r="44" spans="1:10" s="68" customFormat="1" ht="37.5" x14ac:dyDescent="0.3">
      <c r="A44" s="1" t="s">
        <v>316</v>
      </c>
      <c r="B44" s="5">
        <f>20*$H44</f>
        <v>0</v>
      </c>
      <c r="C44" s="5">
        <f>5*$H44</f>
        <v>0</v>
      </c>
      <c r="D44" s="5">
        <f>0*$H44</f>
        <v>0</v>
      </c>
      <c r="E44" s="5">
        <f>0*$H44</f>
        <v>0</v>
      </c>
      <c r="F44" s="5">
        <f>0*$H44</f>
        <v>0</v>
      </c>
      <c r="G44" s="5">
        <f>4*$H44</f>
        <v>0</v>
      </c>
      <c r="H44" s="5"/>
      <c r="I44" s="22" t="s">
        <v>302</v>
      </c>
      <c r="J44" s="68" t="b">
        <f>NOT(ISERROR(MATCH(A44,Index[Item],0)))</f>
        <v>1</v>
      </c>
    </row>
    <row r="45" spans="1:10" s="68" customFormat="1" x14ac:dyDescent="0.3">
      <c r="A45" s="1" t="s">
        <v>113</v>
      </c>
      <c r="B45" s="5">
        <f>23*$H45</f>
        <v>0</v>
      </c>
      <c r="C45" s="5">
        <f>5.5*$H45</f>
        <v>0</v>
      </c>
      <c r="D45" s="5">
        <f>0.1*$H45</f>
        <v>0</v>
      </c>
      <c r="E45" s="5">
        <f>1.3*$H45</f>
        <v>0</v>
      </c>
      <c r="F45" s="5">
        <f>1.9*$H45</f>
        <v>0</v>
      </c>
      <c r="G45" s="5">
        <f>2.8*$H45</f>
        <v>0</v>
      </c>
      <c r="H45" s="5"/>
      <c r="I45" s="22" t="s">
        <v>96</v>
      </c>
      <c r="J45" s="68" t="b">
        <f>NOT(ISERROR(MATCH(A45,Index[Item],0)))</f>
        <v>1</v>
      </c>
    </row>
    <row r="46" spans="1:10" x14ac:dyDescent="0.3">
      <c r="A46" s="1" t="s">
        <v>114</v>
      </c>
      <c r="B46" s="5">
        <f>29*$H46</f>
        <v>0</v>
      </c>
      <c r="C46" s="5">
        <f>6.9*$H46</f>
        <v>0</v>
      </c>
      <c r="D46" s="5">
        <f>0.1*$H46</f>
        <v>0</v>
      </c>
      <c r="E46" s="5">
        <f>1.5*$H46</f>
        <v>0</v>
      </c>
      <c r="F46" s="5">
        <f>2.6*$H46</f>
        <v>0</v>
      </c>
      <c r="G46" s="5">
        <f>3.3*$H46</f>
        <v>0</v>
      </c>
      <c r="H46" s="5"/>
      <c r="I46" s="22" t="s">
        <v>96</v>
      </c>
      <c r="J46" s="68" t="b">
        <f>NOT(ISERROR(MATCH(A46,Index[Item],0)))</f>
        <v>1</v>
      </c>
    </row>
    <row r="47" spans="1:10" x14ac:dyDescent="0.3">
      <c r="A47" s="1" t="s">
        <v>481</v>
      </c>
      <c r="B47" s="5">
        <f>Table273479[[#Totals],[Calories]]</f>
        <v>14</v>
      </c>
      <c r="C47" s="5">
        <f>Table273479[[#Totals],[Carbs]]</f>
        <v>3.6</v>
      </c>
      <c r="D47" s="5">
        <f>Table273479[[#Totals],[Fat]]</f>
        <v>0.2</v>
      </c>
      <c r="E47" s="5">
        <f>Table273479[[#Totals],[Protein]]</f>
        <v>2.4</v>
      </c>
      <c r="F47" s="5">
        <f>Table273479[[#Totals],[Fiber]]</f>
        <v>1.2</v>
      </c>
      <c r="G47" s="5">
        <f>Table273479[[#Totals],[Sugar]]</f>
        <v>0</v>
      </c>
      <c r="H47" s="5">
        <f>Table273479[[#Totals],[Serving by TSP]]</f>
        <v>4</v>
      </c>
      <c r="I47" s="22"/>
      <c r="J47" s="68" t="b">
        <f>NOT(ISERROR(MATCH(A47,Index[Item],0)))</f>
        <v>1</v>
      </c>
    </row>
    <row r="48" spans="1:10" x14ac:dyDescent="0.3">
      <c r="A48" s="1" t="s">
        <v>544</v>
      </c>
      <c r="B48" s="5">
        <f>SUBTOTAL(109,FriedRice3331[Calories])/FriedRice3331[[#Totals],[Measurement]]</f>
        <v>403.41666666666669</v>
      </c>
      <c r="C48" s="5">
        <f>SUBTOTAL(109,FriedRice3331[Carbs])/FriedRice3331[[#Totals],[Measurement]]</f>
        <v>54.44166666666667</v>
      </c>
      <c r="D48" s="5">
        <f>SUBTOTAL(109,FriedRice3331[[Fat ]])/FriedRice3331[[#Totals],[Measurement]]</f>
        <v>7.4083333333333341</v>
      </c>
      <c r="E48" s="5">
        <f>SUBTOTAL(109,FriedRice3331[Protein])/FriedRice3331[[#Totals],[Measurement]]</f>
        <v>30.166666666666671</v>
      </c>
      <c r="F48" s="5">
        <f>SUBTOTAL(109,FriedRice3331[Fiber])/FriedRice3331[[#Totals],[Measurement]]</f>
        <v>3.4499999999999997</v>
      </c>
      <c r="G48" s="5">
        <f>SUBTOTAL(109,FriedRice3331[Sugar])/FriedRice3331[[#Totals],[Measurement]]</f>
        <v>11.391666666666667</v>
      </c>
      <c r="H48" s="5">
        <f>SUBTOTAL(109,FriedRice3331[Servings])/FriedRice3331[[#Totals],[Measurement]]</f>
        <v>6.375</v>
      </c>
      <c r="I48" s="22" t="s">
        <v>545</v>
      </c>
    </row>
    <row r="49" spans="1:8" x14ac:dyDescent="0.3">
      <c r="B49" s="5"/>
      <c r="C49" s="5"/>
      <c r="D49" s="5"/>
      <c r="E49" s="5"/>
      <c r="F49" s="5"/>
      <c r="G49" s="5"/>
      <c r="H49" s="5"/>
    </row>
    <row r="50" spans="1:8" x14ac:dyDescent="0.3">
      <c r="A50" s="43" t="s">
        <v>0</v>
      </c>
      <c r="B50" s="44" t="s">
        <v>1</v>
      </c>
      <c r="C50" s="44" t="s">
        <v>2</v>
      </c>
      <c r="D50" s="44" t="s">
        <v>3</v>
      </c>
      <c r="E50" s="44" t="s">
        <v>4</v>
      </c>
      <c r="F50" s="44" t="s">
        <v>5</v>
      </c>
      <c r="G50" s="44" t="s">
        <v>6</v>
      </c>
      <c r="H50" s="44" t="s">
        <v>7</v>
      </c>
    </row>
    <row r="51" spans="1:8" x14ac:dyDescent="0.3">
      <c r="A51" s="45" t="s">
        <v>8</v>
      </c>
      <c r="B51" s="46">
        <f>1.6*$H51</f>
        <v>0</v>
      </c>
      <c r="C51" s="46">
        <f>0.3*$H51</f>
        <v>0</v>
      </c>
      <c r="D51" s="46">
        <f>0*$H51</f>
        <v>0</v>
      </c>
      <c r="E51" s="46">
        <f>0.2*$H51</f>
        <v>0</v>
      </c>
      <c r="F51" s="46">
        <f>0.3*$H51</f>
        <v>0</v>
      </c>
      <c r="G51" s="46">
        <f>0*$H51</f>
        <v>0</v>
      </c>
      <c r="H51" s="47"/>
    </row>
    <row r="52" spans="1:8" x14ac:dyDescent="0.3">
      <c r="A52" s="45" t="s">
        <v>9</v>
      </c>
      <c r="B52" s="46">
        <f>5.8*$H52</f>
        <v>5.8</v>
      </c>
      <c r="C52" s="46">
        <f>1.5*$H52</f>
        <v>1.5</v>
      </c>
      <c r="D52" s="46">
        <f>0.1*$H52</f>
        <v>0.1</v>
      </c>
      <c r="E52" s="46">
        <f>0.2*$H52</f>
        <v>0.2</v>
      </c>
      <c r="F52" s="46">
        <f>0.6*$H52</f>
        <v>0.6</v>
      </c>
      <c r="G52" s="46">
        <f>0*$H52</f>
        <v>0</v>
      </c>
      <c r="H52" s="47">
        <v>1</v>
      </c>
    </row>
    <row r="53" spans="1:8" x14ac:dyDescent="0.3">
      <c r="A53" s="41" t="s">
        <v>10</v>
      </c>
      <c r="B53" s="32">
        <f>7.6*$H53</f>
        <v>0</v>
      </c>
      <c r="C53" s="32">
        <f>1.3*$H53</f>
        <v>0</v>
      </c>
      <c r="D53" s="32">
        <f>0.4*$H53</f>
        <v>0</v>
      </c>
      <c r="E53" s="32">
        <f>0.4*$H53</f>
        <v>0</v>
      </c>
      <c r="F53" s="32">
        <f>0.9*$H53</f>
        <v>0</v>
      </c>
      <c r="G53" s="32">
        <f>0.2*$H53</f>
        <v>0</v>
      </c>
      <c r="H53" s="42"/>
    </row>
    <row r="54" spans="1:8" x14ac:dyDescent="0.3">
      <c r="A54" s="45" t="s">
        <v>11</v>
      </c>
      <c r="B54" s="46">
        <f>48*$H54</f>
        <v>48</v>
      </c>
      <c r="C54" s="46">
        <f>8*$H54</f>
        <v>8</v>
      </c>
      <c r="D54" s="46">
        <f>0*$H54</f>
        <v>0</v>
      </c>
      <c r="E54" s="46">
        <f>0*$H54</f>
        <v>0</v>
      </c>
      <c r="F54" s="46">
        <f>0*$H54</f>
        <v>0</v>
      </c>
      <c r="G54" s="46">
        <f>0*$H54</f>
        <v>0</v>
      </c>
      <c r="H54" s="47">
        <v>1</v>
      </c>
    </row>
    <row r="55" spans="1:8" x14ac:dyDescent="0.3">
      <c r="A55" s="41" t="s">
        <v>12</v>
      </c>
      <c r="B55" s="32">
        <f>6.4*$H55</f>
        <v>0</v>
      </c>
      <c r="C55" s="32">
        <f>2.1*$H55</f>
        <v>0</v>
      </c>
      <c r="D55" s="32">
        <f>0*$H54</f>
        <v>0</v>
      </c>
      <c r="E55" s="32">
        <f>0.1*$H55</f>
        <v>0</v>
      </c>
      <c r="F55" s="32">
        <f>1.4*$H55</f>
        <v>0</v>
      </c>
      <c r="G55" s="32">
        <f>0.1*$H55</f>
        <v>0</v>
      </c>
      <c r="H55" s="42"/>
    </row>
    <row r="56" spans="1:8" x14ac:dyDescent="0.3">
      <c r="A56" s="45" t="s">
        <v>13</v>
      </c>
      <c r="B56" s="46">
        <f>1.7*$H56</f>
        <v>0</v>
      </c>
      <c r="C56" s="46">
        <f>0.3*$H56</f>
        <v>0</v>
      </c>
      <c r="D56" s="46">
        <f>0*$H56</f>
        <v>0</v>
      </c>
      <c r="E56" s="46">
        <f>0.1*$H56</f>
        <v>0</v>
      </c>
      <c r="F56" s="46">
        <f>0.1*$H56</f>
        <v>0</v>
      </c>
      <c r="G56" s="46">
        <f>0*$H56</f>
        <v>0</v>
      </c>
      <c r="H56" s="47"/>
    </row>
    <row r="57" spans="1:8" ht="37.5" x14ac:dyDescent="0.3">
      <c r="A57" s="41" t="s">
        <v>14</v>
      </c>
      <c r="B57" s="32">
        <f>5.7*$H57</f>
        <v>0</v>
      </c>
      <c r="C57" s="32">
        <f>1*$H57</f>
        <v>0</v>
      </c>
      <c r="D57" s="32">
        <f>0*$H57</f>
        <v>0</v>
      </c>
      <c r="E57" s="32">
        <f>0.2*$H57</f>
        <v>0</v>
      </c>
      <c r="F57" s="32">
        <f>0.5*$H57</f>
        <v>0</v>
      </c>
      <c r="G57" s="32">
        <f>0.2*$H57</f>
        <v>0</v>
      </c>
      <c r="H57" s="42"/>
    </row>
    <row r="58" spans="1:8" x14ac:dyDescent="0.3">
      <c r="A58" s="45" t="s">
        <v>15</v>
      </c>
      <c r="B58" s="46">
        <f>7.6*$H58</f>
        <v>0</v>
      </c>
      <c r="C58" s="46">
        <f>0.9*$H58</f>
        <v>0</v>
      </c>
      <c r="D58" s="46">
        <f>0.5*$H58</f>
        <v>0</v>
      </c>
      <c r="E58" s="46">
        <f>0.4*$H58</f>
        <v>0</v>
      </c>
      <c r="F58" s="46">
        <f>0.2*$H58</f>
        <v>0</v>
      </c>
      <c r="G58" s="46">
        <f>0.1*$H58</f>
        <v>0</v>
      </c>
      <c r="H58" s="47"/>
    </row>
    <row r="59" spans="1:8" x14ac:dyDescent="0.3">
      <c r="A59" s="41" t="s">
        <v>16</v>
      </c>
      <c r="B59" s="32">
        <f>(36/5)*$H59</f>
        <v>0</v>
      </c>
      <c r="C59" s="32">
        <f>(5/5)*$H59</f>
        <v>0</v>
      </c>
      <c r="D59" s="32">
        <f>(1.2/5)*$H59</f>
        <v>0</v>
      </c>
      <c r="E59" s="32">
        <f>(1.3/5)*$H59</f>
        <v>0</v>
      </c>
      <c r="F59" s="32">
        <f>(3/5)*$H59</f>
        <v>0</v>
      </c>
      <c r="G59" s="32">
        <f>(0.2/5)*$H59</f>
        <v>0</v>
      </c>
      <c r="H59" s="42"/>
    </row>
    <row r="60" spans="1:8" x14ac:dyDescent="0.3">
      <c r="A60" s="45" t="s">
        <v>17</v>
      </c>
      <c r="B60" s="46">
        <f>5*$H60</f>
        <v>15</v>
      </c>
      <c r="C60" s="46">
        <f>1*$H60</f>
        <v>3</v>
      </c>
      <c r="D60" s="46">
        <f>0*$H60</f>
        <v>0</v>
      </c>
      <c r="E60" s="46">
        <f>0*$H60</f>
        <v>0</v>
      </c>
      <c r="F60" s="46">
        <f>0*$H60</f>
        <v>0</v>
      </c>
      <c r="G60" s="46">
        <f>0*$H60</f>
        <v>0</v>
      </c>
      <c r="H60" s="47">
        <v>3</v>
      </c>
    </row>
    <row r="61" spans="1:8" x14ac:dyDescent="0.3">
      <c r="A61" s="41" t="s">
        <v>18</v>
      </c>
      <c r="B61" s="32">
        <f>10*$H61</f>
        <v>0</v>
      </c>
      <c r="C61" s="32">
        <f>2.3*$H61</f>
        <v>0</v>
      </c>
      <c r="D61" s="32">
        <f>0*$H61</f>
        <v>0</v>
      </c>
      <c r="E61" s="32">
        <f>0.5*$H61</f>
        <v>0</v>
      </c>
      <c r="F61" s="32">
        <f>0.3*$H61</f>
        <v>0</v>
      </c>
      <c r="G61" s="32">
        <f>0.1*$H61</f>
        <v>0</v>
      </c>
      <c r="H61" s="42"/>
    </row>
    <row r="62" spans="1:8" x14ac:dyDescent="0.3">
      <c r="A62" s="45" t="s">
        <v>19</v>
      </c>
      <c r="B62" s="46">
        <f>1.2*$H62</f>
        <v>2.4</v>
      </c>
      <c r="C62" s="46">
        <f>0.3*$H62</f>
        <v>0.6</v>
      </c>
      <c r="D62" s="46">
        <f>0*$H62</f>
        <v>0</v>
      </c>
      <c r="E62" s="46">
        <f>1*$H62</f>
        <v>2</v>
      </c>
      <c r="F62" s="46">
        <f>0*$H62</f>
        <v>0</v>
      </c>
      <c r="G62" s="46">
        <f>0*$H62</f>
        <v>0</v>
      </c>
      <c r="H62" s="47">
        <v>2</v>
      </c>
    </row>
    <row r="63" spans="1:8" x14ac:dyDescent="0.3">
      <c r="A63" s="45" t="s">
        <v>20</v>
      </c>
      <c r="B63" s="46">
        <f>6*$H63</f>
        <v>12</v>
      </c>
      <c r="C63" s="46">
        <f>1.3*$H63</f>
        <v>2.6</v>
      </c>
      <c r="D63" s="46">
        <f>0.1*$H63</f>
        <v>0.2</v>
      </c>
      <c r="E63" s="46">
        <f>0.2*$H63</f>
        <v>0.4</v>
      </c>
      <c r="F63" s="46">
        <f>0.3*$H63</f>
        <v>0.6</v>
      </c>
      <c r="G63" s="46">
        <f>0.1*$H63</f>
        <v>0.2</v>
      </c>
      <c r="H63" s="47">
        <v>2</v>
      </c>
    </row>
    <row r="64" spans="1:8" x14ac:dyDescent="0.3">
      <c r="A64" s="41" t="s">
        <v>21</v>
      </c>
      <c r="B64" s="32">
        <f>2.2*$H64</f>
        <v>2.2000000000000002</v>
      </c>
      <c r="C64" s="32">
        <f>0.5*$H64</f>
        <v>0.5</v>
      </c>
      <c r="D64" s="32">
        <f>0.1*$H64</f>
        <v>0.1</v>
      </c>
      <c r="E64" s="32">
        <f>0.1*$H64</f>
        <v>0.1</v>
      </c>
      <c r="F64" s="32">
        <f>0.3*$H64</f>
        <v>0.3</v>
      </c>
      <c r="G64" s="32">
        <f>0*$H64</f>
        <v>0</v>
      </c>
      <c r="H64" s="42">
        <v>1</v>
      </c>
    </row>
    <row r="65" spans="1:8" x14ac:dyDescent="0.3">
      <c r="A65" s="45" t="s">
        <v>22</v>
      </c>
      <c r="B65" s="46">
        <f>0*$H65</f>
        <v>0</v>
      </c>
      <c r="C65" s="46">
        <f>0*$H65</f>
        <v>0</v>
      </c>
      <c r="D65" s="46">
        <f>0*$H65</f>
        <v>0</v>
      </c>
      <c r="E65" s="46">
        <f>0*$H65</f>
        <v>0</v>
      </c>
      <c r="F65" s="46">
        <f>0*$H65</f>
        <v>0</v>
      </c>
      <c r="G65" s="46">
        <f>0*$H65</f>
        <v>0</v>
      </c>
      <c r="H65" s="47">
        <v>1</v>
      </c>
    </row>
    <row r="66" spans="1:8" x14ac:dyDescent="0.3">
      <c r="A66" s="41" t="s">
        <v>23</v>
      </c>
      <c r="B66" s="32">
        <f>8.2*$H66</f>
        <v>0</v>
      </c>
      <c r="C66" s="32">
        <f>1.9*$H66</f>
        <v>0</v>
      </c>
      <c r="D66" s="32">
        <f>0*$H66</f>
        <v>0</v>
      </c>
      <c r="E66" s="32">
        <f>0.3*$H66</f>
        <v>0</v>
      </c>
      <c r="F66" s="32">
        <f>0.4*$H66</f>
        <v>0</v>
      </c>
      <c r="G66" s="32">
        <f>0.2*$H66</f>
        <v>0</v>
      </c>
      <c r="H66" s="42"/>
    </row>
    <row r="67" spans="1:8" x14ac:dyDescent="0.3">
      <c r="A67" s="45" t="s">
        <v>24</v>
      </c>
      <c r="B67" s="46">
        <f>2.7*$H67</f>
        <v>0</v>
      </c>
      <c r="C67" s="46">
        <f>0.7*$H67</f>
        <v>0</v>
      </c>
      <c r="D67" s="46">
        <f>0*$H67</f>
        <v>0</v>
      </c>
      <c r="E67" s="46">
        <f>0.1*$H67</f>
        <v>0</v>
      </c>
      <c r="F67" s="46">
        <f>0.4*$H67</f>
        <v>0</v>
      </c>
      <c r="G67" s="46">
        <f>0*$H67</f>
        <v>0</v>
      </c>
      <c r="H67" s="47"/>
    </row>
    <row r="68" spans="1:8" x14ac:dyDescent="0.3">
      <c r="A68" s="41" t="s">
        <v>25</v>
      </c>
      <c r="B68" s="32">
        <f>6.5*$H68</f>
        <v>0</v>
      </c>
      <c r="C68" s="32">
        <f>1.2*$H68</f>
        <v>0</v>
      </c>
      <c r="D68" s="32">
        <f>0.3*$H68</f>
        <v>0</v>
      </c>
      <c r="E68" s="32">
        <f>0.3*$H68</f>
        <v>0</v>
      </c>
      <c r="F68" s="32">
        <f>0.8*$H68</f>
        <v>0</v>
      </c>
      <c r="G68" s="32">
        <f>0.2*$H68</f>
        <v>0</v>
      </c>
      <c r="H68" s="42"/>
    </row>
    <row r="69" spans="1:8" x14ac:dyDescent="0.3">
      <c r="A69" s="45" t="s">
        <v>26</v>
      </c>
      <c r="B69" s="46">
        <f>1.5*$H69</f>
        <v>0</v>
      </c>
      <c r="C69" s="46">
        <f>0.3*$H69</f>
        <v>0</v>
      </c>
      <c r="D69" s="46">
        <f>0*$H69</f>
        <v>0</v>
      </c>
      <c r="E69" s="46">
        <f>0.1*$H69</f>
        <v>0</v>
      </c>
      <c r="F69" s="46">
        <f>0.1*$H69</f>
        <v>0</v>
      </c>
      <c r="G69" s="46">
        <f>0*$H69</f>
        <v>0</v>
      </c>
      <c r="H69" s="47"/>
    </row>
    <row r="70" spans="1:8" x14ac:dyDescent="0.3">
      <c r="A70" s="41" t="s">
        <v>27</v>
      </c>
      <c r="B70" s="32">
        <f>5.7*$H70</f>
        <v>0</v>
      </c>
      <c r="C70" s="32">
        <f>1*$H70</f>
        <v>0</v>
      </c>
      <c r="D70" s="32">
        <f>0.3*$H70</f>
        <v>0</v>
      </c>
      <c r="E70" s="32">
        <f>0.2*$H70</f>
        <v>0</v>
      </c>
      <c r="F70" s="32">
        <f>0.5*$H70</f>
        <v>0</v>
      </c>
      <c r="G70" s="32">
        <f>0.2*$H70</f>
        <v>0</v>
      </c>
      <c r="H70" s="42"/>
    </row>
    <row r="71" spans="1:8" x14ac:dyDescent="0.3">
      <c r="A71" s="45" t="s">
        <v>28</v>
      </c>
      <c r="B71" s="46">
        <f t="shared" ref="B71:G71" si="9">0*$H71</f>
        <v>0</v>
      </c>
      <c r="C71" s="46">
        <f t="shared" si="9"/>
        <v>0</v>
      </c>
      <c r="D71" s="46">
        <f t="shared" si="9"/>
        <v>0</v>
      </c>
      <c r="E71" s="46">
        <f t="shared" si="9"/>
        <v>0</v>
      </c>
      <c r="F71" s="46">
        <f t="shared" si="9"/>
        <v>0</v>
      </c>
      <c r="G71" s="46">
        <f t="shared" si="9"/>
        <v>0</v>
      </c>
      <c r="H71" s="47"/>
    </row>
    <row r="72" spans="1:8" x14ac:dyDescent="0.3">
      <c r="A72" s="41" t="s">
        <v>29</v>
      </c>
      <c r="B72" s="32">
        <f>2.5*$H72</f>
        <v>0</v>
      </c>
      <c r="C72" s="32">
        <f>0.6*$H72</f>
        <v>0</v>
      </c>
      <c r="D72" s="32">
        <f>0.1*$H72</f>
        <v>0</v>
      </c>
      <c r="E72" s="32">
        <f>0.1*$H72</f>
        <v>0</v>
      </c>
      <c r="F72" s="32">
        <f>0.3*$H72</f>
        <v>0</v>
      </c>
      <c r="G72" s="32">
        <f>0*$H72</f>
        <v>0</v>
      </c>
      <c r="H72" s="42"/>
    </row>
    <row r="73" spans="1:8" x14ac:dyDescent="0.3">
      <c r="A73" s="41" t="s">
        <v>31</v>
      </c>
      <c r="B73" s="32">
        <f>0*$H73</f>
        <v>0</v>
      </c>
      <c r="C73" s="32">
        <f>0*$H73</f>
        <v>0</v>
      </c>
      <c r="D73" s="32">
        <f>0*$H73</f>
        <v>0</v>
      </c>
      <c r="E73" s="32">
        <f>0*$H73</f>
        <v>0</v>
      </c>
      <c r="F73" s="32">
        <f>0*$H73</f>
        <v>0</v>
      </c>
      <c r="G73" s="32">
        <f>0*$H73</f>
        <v>0</v>
      </c>
      <c r="H73" s="42"/>
    </row>
    <row r="74" spans="1:8" x14ac:dyDescent="0.3">
      <c r="A74" s="41" t="s">
        <v>30</v>
      </c>
      <c r="B74" s="32">
        <f>4*$H74</f>
        <v>0</v>
      </c>
      <c r="C74" s="32">
        <f>1*$H74</f>
        <v>0</v>
      </c>
      <c r="D74" s="32">
        <f>0*$H74</f>
        <v>0</v>
      </c>
      <c r="E74" s="32">
        <f>0*$H74</f>
        <v>0</v>
      </c>
      <c r="F74" s="32">
        <f>0*$H74</f>
        <v>0</v>
      </c>
      <c r="G74" s="32">
        <f>0*$H74</f>
        <v>0</v>
      </c>
      <c r="H74" s="42"/>
    </row>
    <row r="75" spans="1:8" x14ac:dyDescent="0.3">
      <c r="A75" s="41" t="s">
        <v>33</v>
      </c>
      <c r="B75" s="32">
        <f>7.1*$H75</f>
        <v>7.1</v>
      </c>
      <c r="C75" s="32">
        <f>1.6*$H75</f>
        <v>1.6</v>
      </c>
      <c r="D75" s="32">
        <f>0.1*$H75</f>
        <v>0.1</v>
      </c>
      <c r="E75" s="32">
        <f>0.3*$H75</f>
        <v>0.3</v>
      </c>
      <c r="F75" s="32">
        <f>0.6*$H75</f>
        <v>0.6</v>
      </c>
      <c r="G75" s="32">
        <f>0*$H75</f>
        <v>0</v>
      </c>
      <c r="H75" s="42">
        <v>1</v>
      </c>
    </row>
    <row r="76" spans="1:8" x14ac:dyDescent="0.3">
      <c r="A76" s="41" t="s">
        <v>34</v>
      </c>
      <c r="B76" s="32">
        <f>SUBTOTAL(109,Table273435[Calories])</f>
        <v>92.5</v>
      </c>
      <c r="C76" s="32">
        <f>SUBTOTAL(109,Table273435[Carbs])</f>
        <v>17.8</v>
      </c>
      <c r="D76" s="32">
        <f>SUBTOTAL(109,Table273435[Fat])</f>
        <v>0.5</v>
      </c>
      <c r="E76" s="32">
        <f>SUBTOTAL(109,Table273435[Protein])</f>
        <v>3</v>
      </c>
      <c r="F76" s="32">
        <f>SUBTOTAL(109,Table273435[Fiber])</f>
        <v>2.1</v>
      </c>
      <c r="G76" s="32">
        <f>SUBTOTAL(109,Table273435[Sugar])</f>
        <v>0.2</v>
      </c>
      <c r="H76" s="42">
        <f>SUBTOTAL(109,Table273435[Serving by TSP])</f>
        <v>12</v>
      </c>
    </row>
  </sheetData>
  <phoneticPr fontId="4" type="noConversion"/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083BA-116D-45D0-8341-6BE8E8D85256}">
  <sheetPr codeName="Sheet23"/>
  <dimension ref="A1:J74"/>
  <sheetViews>
    <sheetView workbookViewId="0">
      <selection activeCell="A2" sqref="A2"/>
    </sheetView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s="68" customFormat="1" x14ac:dyDescent="0.3">
      <c r="A2" s="1" t="s">
        <v>229</v>
      </c>
      <c r="B2" s="5">
        <f>110*$H2</f>
        <v>660</v>
      </c>
      <c r="C2" s="5">
        <f>0*$H2</f>
        <v>0</v>
      </c>
      <c r="D2" s="5">
        <f>3*$H2</f>
        <v>18</v>
      </c>
      <c r="E2" s="5">
        <f>22*$H2</f>
        <v>132</v>
      </c>
      <c r="F2" s="5">
        <f>0*$H2</f>
        <v>0</v>
      </c>
      <c r="G2" s="5">
        <f>0*$H2</f>
        <v>0</v>
      </c>
      <c r="H2" s="5">
        <v>6</v>
      </c>
      <c r="I2" s="22" t="s">
        <v>204</v>
      </c>
      <c r="J2" s="68" t="b">
        <f>NOT(ISERROR(MATCH(A2,Index[Item],0)))</f>
        <v>1</v>
      </c>
    </row>
    <row r="3" spans="1:10" s="68" customFormat="1" x14ac:dyDescent="0.3">
      <c r="A3" s="1" t="s">
        <v>235</v>
      </c>
      <c r="B3" s="5">
        <f>160*$H3</f>
        <v>0</v>
      </c>
      <c r="C3" s="5">
        <f>36*$H3</f>
        <v>0</v>
      </c>
      <c r="D3" s="5">
        <f>0*$H3</f>
        <v>0</v>
      </c>
      <c r="E3" s="5">
        <f t="shared" ref="E3:E8" si="0">3*$H3</f>
        <v>0</v>
      </c>
      <c r="F3" s="5">
        <f>1*$H3</f>
        <v>0</v>
      </c>
      <c r="G3" s="5">
        <f>1*$H3</f>
        <v>0</v>
      </c>
      <c r="H3" s="5"/>
      <c r="I3" s="22" t="s">
        <v>236</v>
      </c>
      <c r="J3" s="68" t="b">
        <f>NOT(ISERROR(MATCH(A3,Index[Item],0)))</f>
        <v>1</v>
      </c>
    </row>
    <row r="4" spans="1:10" s="68" customFormat="1" x14ac:dyDescent="0.3">
      <c r="A4" s="1" t="s">
        <v>237</v>
      </c>
      <c r="B4" s="5">
        <f>160*$H4</f>
        <v>0</v>
      </c>
      <c r="C4" s="5">
        <f>35*$H4</f>
        <v>0</v>
      </c>
      <c r="D4" s="5">
        <f>0*$H4</f>
        <v>0</v>
      </c>
      <c r="E4" s="5">
        <f t="shared" si="0"/>
        <v>0</v>
      </c>
      <c r="F4" s="5">
        <f>0*$H4</f>
        <v>0</v>
      </c>
      <c r="G4" s="5">
        <f>0*$H4</f>
        <v>0</v>
      </c>
      <c r="H4" s="5"/>
      <c r="I4" s="22" t="s">
        <v>236</v>
      </c>
      <c r="J4" s="68" t="b">
        <f>NOT(ISERROR(MATCH(A4,Index[Item],0)))</f>
        <v>1</v>
      </c>
    </row>
    <row r="5" spans="1:10" s="68" customFormat="1" x14ac:dyDescent="0.3">
      <c r="A5" s="1" t="s">
        <v>238</v>
      </c>
      <c r="B5" s="5">
        <f>160*$H5</f>
        <v>0</v>
      </c>
      <c r="C5" s="5">
        <f>36*$H5</f>
        <v>0</v>
      </c>
      <c r="D5" s="5">
        <f>0*$H5</f>
        <v>0</v>
      </c>
      <c r="E5" s="5">
        <f t="shared" si="0"/>
        <v>0</v>
      </c>
      <c r="F5" s="5">
        <f>0*$H5</f>
        <v>0</v>
      </c>
      <c r="G5" s="5">
        <f>0*$H5</f>
        <v>0</v>
      </c>
      <c r="H5" s="5"/>
      <c r="I5" s="22" t="s">
        <v>236</v>
      </c>
      <c r="J5" s="68" t="b">
        <f>NOT(ISERROR(MATCH(A5,Index[Item],0)))</f>
        <v>1</v>
      </c>
    </row>
    <row r="6" spans="1:10" s="68" customFormat="1" x14ac:dyDescent="0.3">
      <c r="A6" s="1" t="s">
        <v>239</v>
      </c>
      <c r="B6" s="5">
        <f>160*$H6</f>
        <v>0</v>
      </c>
      <c r="C6" s="5">
        <f>34*$H6</f>
        <v>0</v>
      </c>
      <c r="D6" s="5">
        <f>1*$H6</f>
        <v>0</v>
      </c>
      <c r="E6" s="5">
        <f t="shared" si="0"/>
        <v>0</v>
      </c>
      <c r="F6" s="5">
        <f>1*$H6</f>
        <v>0</v>
      </c>
      <c r="G6" s="5">
        <f>0*$H6</f>
        <v>0</v>
      </c>
      <c r="H6" s="5"/>
      <c r="I6" s="22" t="s">
        <v>236</v>
      </c>
      <c r="J6" s="68" t="b">
        <f>NOT(ISERROR(MATCH(A6,Index[Item],0)))</f>
        <v>1</v>
      </c>
    </row>
    <row r="7" spans="1:10" s="68" customFormat="1" ht="37.5" x14ac:dyDescent="0.3">
      <c r="A7" s="1" t="s">
        <v>240</v>
      </c>
      <c r="B7" s="5">
        <f>160*$H7</f>
        <v>0</v>
      </c>
      <c r="C7" s="5">
        <f>36*$H7</f>
        <v>0</v>
      </c>
      <c r="D7" s="5">
        <f>0*$H7</f>
        <v>0</v>
      </c>
      <c r="E7" s="5">
        <f t="shared" si="0"/>
        <v>0</v>
      </c>
      <c r="F7" s="5">
        <f>1*$H7</f>
        <v>0</v>
      </c>
      <c r="G7" s="5">
        <f>0*$H7</f>
        <v>0</v>
      </c>
      <c r="H7" s="5"/>
      <c r="I7" s="22" t="s">
        <v>236</v>
      </c>
      <c r="J7" s="68" t="b">
        <f>NOT(ISERROR(MATCH(A7,Index[Item],0)))</f>
        <v>1</v>
      </c>
    </row>
    <row r="8" spans="1:10" s="68" customFormat="1" ht="37.5" x14ac:dyDescent="0.3">
      <c r="A8" s="1" t="s">
        <v>247</v>
      </c>
      <c r="B8" s="5">
        <f>130*$H8</f>
        <v>0</v>
      </c>
      <c r="C8" s="5">
        <f>18*$H8</f>
        <v>0</v>
      </c>
      <c r="D8" s="5">
        <f>5*$H8</f>
        <v>0</v>
      </c>
      <c r="E8" s="5">
        <f t="shared" si="0"/>
        <v>0</v>
      </c>
      <c r="F8" s="5">
        <f>1*$H8</f>
        <v>0</v>
      </c>
      <c r="G8" s="5">
        <f>0*$H8</f>
        <v>0</v>
      </c>
      <c r="H8" s="5"/>
      <c r="I8" s="22" t="s">
        <v>248</v>
      </c>
      <c r="J8" s="68" t="b">
        <f>NOT(ISERROR(MATCH(A8,Index[Item],0)))</f>
        <v>1</v>
      </c>
    </row>
    <row r="9" spans="1:10" s="68" customFormat="1" x14ac:dyDescent="0.3">
      <c r="A9" s="1" t="s">
        <v>249</v>
      </c>
      <c r="B9" s="5">
        <f>180*$H9</f>
        <v>0</v>
      </c>
      <c r="C9" s="5">
        <f>40*$H9</f>
        <v>0</v>
      </c>
      <c r="D9" s="5">
        <f>0.5*$H9</f>
        <v>0</v>
      </c>
      <c r="E9" s="5">
        <f>4*$H9</f>
        <v>0</v>
      </c>
      <c r="F9" s="5">
        <f>0.5*$H9</f>
        <v>0</v>
      </c>
      <c r="G9" s="5">
        <f>0*$H9</f>
        <v>0</v>
      </c>
      <c r="H9" s="5"/>
      <c r="I9" s="22" t="s">
        <v>250</v>
      </c>
      <c r="J9" s="68" t="b">
        <f>NOT(ISERROR(MATCH(A9,Index[Item],0)))</f>
        <v>1</v>
      </c>
    </row>
    <row r="10" spans="1:10" s="68" customFormat="1" ht="37.5" x14ac:dyDescent="0.3">
      <c r="A10" s="1" t="s">
        <v>251</v>
      </c>
      <c r="B10" s="5">
        <f>190*$H10</f>
        <v>760</v>
      </c>
      <c r="C10" s="5">
        <f>42*$H10</f>
        <v>168</v>
      </c>
      <c r="D10" s="5">
        <f>0*$H10</f>
        <v>0</v>
      </c>
      <c r="E10" s="5">
        <f>5*$H10</f>
        <v>20</v>
      </c>
      <c r="F10" s="5">
        <f>0*$H10</f>
        <v>0</v>
      </c>
      <c r="G10" s="5">
        <f>0*$H10</f>
        <v>0</v>
      </c>
      <c r="H10" s="5">
        <v>4</v>
      </c>
      <c r="I10" s="22" t="s">
        <v>554</v>
      </c>
      <c r="J10" s="68" t="b">
        <f>NOT(ISERROR(MATCH(A10,Index[Item],0)))</f>
        <v>1</v>
      </c>
    </row>
    <row r="11" spans="1:10" s="68" customFormat="1" ht="37.5" x14ac:dyDescent="0.3">
      <c r="A11" s="1" t="s">
        <v>310</v>
      </c>
      <c r="B11" s="5">
        <f>25*$H11</f>
        <v>25</v>
      </c>
      <c r="C11" s="5">
        <f>5*$H11</f>
        <v>5</v>
      </c>
      <c r="D11" s="5">
        <f>0*$H11</f>
        <v>0</v>
      </c>
      <c r="E11" s="5">
        <f>0.5*$H11</f>
        <v>0.5</v>
      </c>
      <c r="F11" s="5">
        <f>0*$H11</f>
        <v>0</v>
      </c>
      <c r="G11" s="5">
        <f>3*$H11</f>
        <v>3</v>
      </c>
      <c r="H11" s="5">
        <v>1</v>
      </c>
      <c r="I11" s="22" t="s">
        <v>307</v>
      </c>
      <c r="J11" s="68" t="b">
        <f>NOT(ISERROR(MATCH(A11,Index[Item],0)))</f>
        <v>1</v>
      </c>
    </row>
    <row r="12" spans="1:10" s="68" customFormat="1" x14ac:dyDescent="0.3">
      <c r="A12" s="1" t="s">
        <v>318</v>
      </c>
      <c r="B12" s="5">
        <f>10*$H12</f>
        <v>70</v>
      </c>
      <c r="C12" s="5">
        <f>1*$H12</f>
        <v>7</v>
      </c>
      <c r="D12" s="5">
        <f>0*$H12</f>
        <v>0</v>
      </c>
      <c r="E12" s="5">
        <f>1*$H12</f>
        <v>7</v>
      </c>
      <c r="F12" s="5">
        <f>0*$H12</f>
        <v>0</v>
      </c>
      <c r="G12" s="5">
        <f>0*$H12</f>
        <v>0</v>
      </c>
      <c r="H12" s="5">
        <v>7</v>
      </c>
      <c r="I12" s="22" t="s">
        <v>307</v>
      </c>
      <c r="J12" s="68" t="b">
        <f>NOT(ISERROR(MATCH(A12,Index[Item],0)))</f>
        <v>1</v>
      </c>
    </row>
    <row r="13" spans="1:10" s="68" customFormat="1" x14ac:dyDescent="0.3">
      <c r="A13" s="1" t="s">
        <v>308</v>
      </c>
      <c r="B13" s="5">
        <f>60*$H13</f>
        <v>0</v>
      </c>
      <c r="C13" s="5">
        <f>17*$H13</f>
        <v>0</v>
      </c>
      <c r="D13" s="5">
        <f>0*$H13</f>
        <v>0</v>
      </c>
      <c r="E13" s="5">
        <f>0*$H13</f>
        <v>0</v>
      </c>
      <c r="F13" s="5">
        <f>0*$H13</f>
        <v>0</v>
      </c>
      <c r="G13" s="5">
        <f>17*$H13</f>
        <v>0</v>
      </c>
      <c r="H13" s="5"/>
      <c r="I13" s="22" t="s">
        <v>309</v>
      </c>
      <c r="J13" s="68" t="b">
        <f>NOT(ISERROR(MATCH(A13,Index[Item],0)))</f>
        <v>1</v>
      </c>
    </row>
    <row r="14" spans="1:10" s="68" customFormat="1" x14ac:dyDescent="0.3">
      <c r="A14" s="1" t="s">
        <v>306</v>
      </c>
      <c r="B14" s="5">
        <f>60*$H14</f>
        <v>0</v>
      </c>
      <c r="C14" s="5">
        <f>16*$H14</f>
        <v>0</v>
      </c>
      <c r="D14" s="5">
        <f t="shared" ref="D14:F19" si="1">0*$H14</f>
        <v>0</v>
      </c>
      <c r="E14" s="5">
        <f>0*$H14</f>
        <v>0</v>
      </c>
      <c r="F14" s="5">
        <f>1*$H14</f>
        <v>0</v>
      </c>
      <c r="G14" s="5">
        <f>15*$H14</f>
        <v>0</v>
      </c>
      <c r="H14" s="5"/>
      <c r="I14" s="22" t="s">
        <v>307</v>
      </c>
      <c r="J14" s="68" t="b">
        <f>NOT(ISERROR(MATCH(A14,Index[Item],0)))</f>
        <v>1</v>
      </c>
    </row>
    <row r="15" spans="1:10" s="68" customFormat="1" x14ac:dyDescent="0.3">
      <c r="A15" s="1" t="s">
        <v>303</v>
      </c>
      <c r="B15" s="5">
        <f>30*$H15</f>
        <v>75</v>
      </c>
      <c r="C15" s="5">
        <f>0*$H15</f>
        <v>0</v>
      </c>
      <c r="D15" s="5">
        <f t="shared" si="1"/>
        <v>0</v>
      </c>
      <c r="E15" s="5">
        <f t="shared" si="1"/>
        <v>0</v>
      </c>
      <c r="F15" s="5">
        <f t="shared" si="1"/>
        <v>0</v>
      </c>
      <c r="G15" s="5">
        <f>8*$H15</f>
        <v>20</v>
      </c>
      <c r="H15" s="5">
        <v>2.5</v>
      </c>
      <c r="I15" s="22" t="s">
        <v>304</v>
      </c>
      <c r="J15" s="68" t="b">
        <f>NOT(ISERROR(MATCH(A15,Index[Item],0)))</f>
        <v>1</v>
      </c>
    </row>
    <row r="16" spans="1:10" s="68" customFormat="1" ht="37.5" x14ac:dyDescent="0.3">
      <c r="A16" s="1" t="s">
        <v>311</v>
      </c>
      <c r="B16" s="5">
        <f>32*$H16</f>
        <v>48</v>
      </c>
      <c r="C16" s="5">
        <f>0*$H16</f>
        <v>0</v>
      </c>
      <c r="D16" s="5">
        <f t="shared" si="1"/>
        <v>0</v>
      </c>
      <c r="E16" s="5">
        <f>0*$H16</f>
        <v>0</v>
      </c>
      <c r="F16" s="5">
        <f t="shared" si="1"/>
        <v>0</v>
      </c>
      <c r="G16" s="5">
        <f>0*$H16</f>
        <v>0</v>
      </c>
      <c r="H16" s="5">
        <v>1.5</v>
      </c>
      <c r="I16" s="22" t="s">
        <v>312</v>
      </c>
      <c r="J16" s="68" t="b">
        <f>NOT(ISERROR(MATCH(A16,Index[Item],0)))</f>
        <v>1</v>
      </c>
    </row>
    <row r="17" spans="1:10" s="68" customFormat="1" ht="37.5" x14ac:dyDescent="0.3">
      <c r="A17" s="1" t="s">
        <v>317</v>
      </c>
      <c r="B17" s="5">
        <f>120*$H17</f>
        <v>0</v>
      </c>
      <c r="C17" s="5">
        <f>0*$H17</f>
        <v>0</v>
      </c>
      <c r="D17" s="5">
        <f>14*$H17</f>
        <v>0</v>
      </c>
      <c r="E17" s="5">
        <f>0*$H17</f>
        <v>0</v>
      </c>
      <c r="F17" s="5">
        <f t="shared" si="1"/>
        <v>0</v>
      </c>
      <c r="G17" s="5">
        <f>0*$H17</f>
        <v>0</v>
      </c>
      <c r="H17" s="5"/>
      <c r="I17" s="22" t="s">
        <v>307</v>
      </c>
      <c r="J17" s="68" t="b">
        <f>NOT(ISERROR(MATCH(A17,Index[Item],0)))</f>
        <v>1</v>
      </c>
    </row>
    <row r="18" spans="1:10" s="68" customFormat="1" x14ac:dyDescent="0.3">
      <c r="A18" s="1" t="s">
        <v>338</v>
      </c>
      <c r="B18" s="5">
        <f>120*$H18</f>
        <v>120</v>
      </c>
      <c r="C18" s="5">
        <f>0*$H18</f>
        <v>0</v>
      </c>
      <c r="D18" s="5">
        <f>14*$H18</f>
        <v>14</v>
      </c>
      <c r="E18" s="5">
        <f>0*$H18</f>
        <v>0</v>
      </c>
      <c r="F18" s="5">
        <f t="shared" si="1"/>
        <v>0</v>
      </c>
      <c r="G18" s="5">
        <f>0*$H18</f>
        <v>0</v>
      </c>
      <c r="H18" s="5">
        <v>1</v>
      </c>
      <c r="I18" s="22" t="s">
        <v>307</v>
      </c>
      <c r="J18" s="68" t="b">
        <f>NOT(ISERROR(MATCH(A18,Index[Item],0)))</f>
        <v>1</v>
      </c>
    </row>
    <row r="19" spans="1:10" s="68" customFormat="1" x14ac:dyDescent="0.3">
      <c r="A19" s="1" t="s">
        <v>337</v>
      </c>
      <c r="B19" s="5">
        <f>120*$H19</f>
        <v>39.6</v>
      </c>
      <c r="C19" s="5">
        <f>0*$H19</f>
        <v>0</v>
      </c>
      <c r="D19" s="5">
        <f>14*$H19</f>
        <v>4.62</v>
      </c>
      <c r="E19" s="5">
        <f>0*$H19</f>
        <v>0</v>
      </c>
      <c r="F19" s="5">
        <f t="shared" si="1"/>
        <v>0</v>
      </c>
      <c r="G19" s="5">
        <f>0*$H19</f>
        <v>0</v>
      </c>
      <c r="H19" s="5">
        <v>0.33</v>
      </c>
      <c r="I19" s="22" t="s">
        <v>307</v>
      </c>
      <c r="J19" s="68" t="b">
        <f>NOT(ISERROR(MATCH(A19,Index[Item],0)))</f>
        <v>1</v>
      </c>
    </row>
    <row r="20" spans="1:10" s="68" customFormat="1" ht="37.5" x14ac:dyDescent="0.3">
      <c r="A20" s="1" t="s">
        <v>341</v>
      </c>
      <c r="B20" s="5">
        <f>10*$H20</f>
        <v>20</v>
      </c>
      <c r="C20" s="5">
        <f>2*$H20</f>
        <v>4</v>
      </c>
      <c r="D20" s="5">
        <f>0*$H20</f>
        <v>0</v>
      </c>
      <c r="E20" s="5">
        <f t="shared" ref="E20:F20" si="2">0*$H20</f>
        <v>0</v>
      </c>
      <c r="F20" s="5">
        <f t="shared" si="2"/>
        <v>0</v>
      </c>
      <c r="G20" s="5">
        <f>2*$H20</f>
        <v>4</v>
      </c>
      <c r="H20" s="5">
        <v>2</v>
      </c>
      <c r="I20" s="22" t="s">
        <v>307</v>
      </c>
      <c r="J20" s="68" t="b">
        <f>NOT(ISERROR(MATCH(A20,Index[Item],0)))</f>
        <v>1</v>
      </c>
    </row>
    <row r="21" spans="1:10" s="68" customFormat="1" ht="37.5" x14ac:dyDescent="0.3">
      <c r="A21" s="1" t="s">
        <v>314</v>
      </c>
      <c r="B21" s="5">
        <f>90*$H21</f>
        <v>45</v>
      </c>
      <c r="C21" s="5">
        <f>20*$H21</f>
        <v>10</v>
      </c>
      <c r="D21" s="5">
        <f>1*$H21</f>
        <v>0.5</v>
      </c>
      <c r="E21" s="5">
        <f>0*$H21</f>
        <v>0</v>
      </c>
      <c r="F21" s="5">
        <f>0*$H21</f>
        <v>0</v>
      </c>
      <c r="G21" s="5">
        <f>18*$H21</f>
        <v>9</v>
      </c>
      <c r="H21" s="5">
        <v>0.5</v>
      </c>
      <c r="I21" s="22" t="s">
        <v>315</v>
      </c>
      <c r="J21" s="68" t="b">
        <f>NOT(ISERROR(MATCH(A21,Index[Item],0)))</f>
        <v>1</v>
      </c>
    </row>
    <row r="22" spans="1:10" s="68" customFormat="1" ht="37.5" x14ac:dyDescent="0.3">
      <c r="A22" s="1" t="s">
        <v>316</v>
      </c>
      <c r="B22" s="5">
        <f>20*$H22</f>
        <v>60</v>
      </c>
      <c r="C22" s="5">
        <f>5*$H22</f>
        <v>15</v>
      </c>
      <c r="D22" s="5">
        <f>0*$H22</f>
        <v>0</v>
      </c>
      <c r="E22" s="5">
        <f>0*$H22</f>
        <v>0</v>
      </c>
      <c r="F22" s="5">
        <f>0*$H22</f>
        <v>0</v>
      </c>
      <c r="G22" s="5">
        <f>4*$H22</f>
        <v>12</v>
      </c>
      <c r="H22" s="5">
        <v>3</v>
      </c>
      <c r="I22" s="22" t="s">
        <v>302</v>
      </c>
      <c r="J22" s="68" t="b">
        <f>NOT(ISERROR(MATCH(A22,Index[Item],0)))</f>
        <v>1</v>
      </c>
    </row>
    <row r="23" spans="1:10" s="68" customFormat="1" x14ac:dyDescent="0.3">
      <c r="A23" s="1" t="s">
        <v>301</v>
      </c>
      <c r="B23" s="5">
        <f>30*$H23</f>
        <v>39.900000000000006</v>
      </c>
      <c r="C23" s="5">
        <f>8*$H23</f>
        <v>10.64</v>
      </c>
      <c r="D23" s="5">
        <f t="shared" ref="D23:G23" si="3">0*$H23</f>
        <v>0</v>
      </c>
      <c r="E23" s="5">
        <f t="shared" si="3"/>
        <v>0</v>
      </c>
      <c r="F23" s="5">
        <f t="shared" si="3"/>
        <v>0</v>
      </c>
      <c r="G23" s="5">
        <f t="shared" si="3"/>
        <v>0</v>
      </c>
      <c r="H23" s="5">
        <v>1.33</v>
      </c>
      <c r="I23" s="22" t="s">
        <v>302</v>
      </c>
      <c r="J23" s="68" t="b">
        <f>NOT(ISERROR(MATCH(A23,Index[Item],0)))</f>
        <v>1</v>
      </c>
    </row>
    <row r="24" spans="1:10" s="68" customFormat="1" x14ac:dyDescent="0.3">
      <c r="A24" s="1" t="s">
        <v>300</v>
      </c>
      <c r="B24" s="5">
        <f>0*$H24</f>
        <v>0</v>
      </c>
      <c r="C24" s="5">
        <f t="shared" ref="C24:G24" si="4">0*$H24</f>
        <v>0</v>
      </c>
      <c r="D24" s="5">
        <f t="shared" si="4"/>
        <v>0</v>
      </c>
      <c r="E24" s="5">
        <f t="shared" si="4"/>
        <v>0</v>
      </c>
      <c r="F24" s="5">
        <f t="shared" si="4"/>
        <v>0</v>
      </c>
      <c r="G24" s="5">
        <f t="shared" si="4"/>
        <v>0</v>
      </c>
      <c r="H24" s="5"/>
      <c r="I24" s="22" t="s">
        <v>299</v>
      </c>
      <c r="J24" s="68" t="b">
        <f>NOT(ISERROR(MATCH(A24,Index[Item],0)))</f>
        <v>1</v>
      </c>
    </row>
    <row r="25" spans="1:10" s="68" customFormat="1" x14ac:dyDescent="0.3">
      <c r="A25" s="1" t="s">
        <v>543</v>
      </c>
      <c r="B25" s="5">
        <f>28*$H25</f>
        <v>56</v>
      </c>
      <c r="C25" s="5">
        <f>6.7*$H25</f>
        <v>13.4</v>
      </c>
      <c r="D25" s="5">
        <f t="shared" ref="D25:D30" si="5">0.2*$H25</f>
        <v>0.4</v>
      </c>
      <c r="E25" s="5">
        <f>1.9*$H25</f>
        <v>3.8</v>
      </c>
      <c r="F25" s="5">
        <f>1.2*$H25</f>
        <v>2.4</v>
      </c>
      <c r="G25" s="5">
        <f>3.2*$H25</f>
        <v>6.4</v>
      </c>
      <c r="H25" s="5">
        <v>2</v>
      </c>
      <c r="I25" s="22" t="s">
        <v>96</v>
      </c>
      <c r="J25" s="68" t="b">
        <f>NOT(ISERROR(MATCH(A25,Index[Item],0)))</f>
        <v>1</v>
      </c>
    </row>
    <row r="26" spans="1:10" s="68" customFormat="1" x14ac:dyDescent="0.3">
      <c r="A26" s="1" t="s">
        <v>27</v>
      </c>
      <c r="B26" s="5">
        <f>28*$H26</f>
        <v>0</v>
      </c>
      <c r="C26" s="5">
        <f>6.7*$H26</f>
        <v>0</v>
      </c>
      <c r="D26" s="5">
        <f t="shared" si="5"/>
        <v>0</v>
      </c>
      <c r="E26" s="5">
        <f>0.9*$H26</f>
        <v>0</v>
      </c>
      <c r="F26" s="5">
        <f>1.2*$H26</f>
        <v>0</v>
      </c>
      <c r="G26" s="5">
        <f>4.4*$H26</f>
        <v>0</v>
      </c>
      <c r="H26" s="5"/>
      <c r="I26" s="22" t="s">
        <v>96</v>
      </c>
      <c r="J26" s="68" t="b">
        <f>NOT(ISERROR(MATCH(A26,Index[Item],0)))</f>
        <v>1</v>
      </c>
    </row>
    <row r="27" spans="1:10" s="68" customFormat="1" x14ac:dyDescent="0.3">
      <c r="A27" s="1" t="s">
        <v>98</v>
      </c>
      <c r="B27" s="5">
        <f>28*$H27</f>
        <v>0</v>
      </c>
      <c r="C27" s="5">
        <f>6.7*$H27</f>
        <v>0</v>
      </c>
      <c r="D27" s="5">
        <f t="shared" si="5"/>
        <v>0</v>
      </c>
      <c r="E27" s="5">
        <f>0.9*$H27</f>
        <v>0</v>
      </c>
      <c r="F27" s="5">
        <f>1.2*$H27</f>
        <v>0</v>
      </c>
      <c r="G27" s="5">
        <f>4.4*$H27</f>
        <v>0</v>
      </c>
      <c r="H27" s="5"/>
      <c r="I27" s="22" t="s">
        <v>96</v>
      </c>
      <c r="J27" s="68" t="b">
        <f>NOT(ISERROR(MATCH(A27,Index[Item],0)))</f>
        <v>1</v>
      </c>
    </row>
    <row r="28" spans="1:10" s="68" customFormat="1" x14ac:dyDescent="0.3">
      <c r="A28" s="1" t="s">
        <v>99</v>
      </c>
      <c r="B28" s="5">
        <f>27*$H28</f>
        <v>0</v>
      </c>
      <c r="C28" s="5">
        <f>6.3*$H28</f>
        <v>0</v>
      </c>
      <c r="D28" s="5">
        <f t="shared" si="5"/>
        <v>0</v>
      </c>
      <c r="E28" s="5">
        <f>1*$H28</f>
        <v>0</v>
      </c>
      <c r="F28" s="5">
        <f>0.9*$H28</f>
        <v>0</v>
      </c>
      <c r="G28" s="5">
        <f>0*$H28</f>
        <v>0</v>
      </c>
      <c r="H28" s="5"/>
      <c r="I28" s="22" t="s">
        <v>96</v>
      </c>
      <c r="J28" s="68" t="b">
        <f>NOT(ISERROR(MATCH(A28,Index[Item],0)))</f>
        <v>1</v>
      </c>
    </row>
    <row r="29" spans="1:10" s="68" customFormat="1" x14ac:dyDescent="0.3">
      <c r="A29" s="1" t="s">
        <v>102</v>
      </c>
      <c r="B29" s="5">
        <f>44*$H29</f>
        <v>88</v>
      </c>
      <c r="C29" s="5">
        <f>10*$H29</f>
        <v>20</v>
      </c>
      <c r="D29" s="5">
        <f t="shared" si="5"/>
        <v>0.4</v>
      </c>
      <c r="E29" s="5">
        <f>1.4*$H29</f>
        <v>2.8</v>
      </c>
      <c r="F29" s="5">
        <f>1.4*$H29</f>
        <v>2.8</v>
      </c>
      <c r="G29" s="5">
        <f>4.7*$H29</f>
        <v>9.4</v>
      </c>
      <c r="H29" s="5">
        <v>2</v>
      </c>
      <c r="I29" s="22" t="s">
        <v>96</v>
      </c>
      <c r="J29" s="68" t="b">
        <f>NOT(ISERROR(MATCH(A29,Index[Item],0)))</f>
        <v>1</v>
      </c>
    </row>
    <row r="30" spans="1:10" s="68" customFormat="1" x14ac:dyDescent="0.3">
      <c r="A30" s="1" t="s">
        <v>95</v>
      </c>
      <c r="B30" s="5">
        <f>32*$H30</f>
        <v>0</v>
      </c>
      <c r="C30" s="5">
        <f>7.3*$H30</f>
        <v>0</v>
      </c>
      <c r="D30" s="5">
        <f t="shared" si="5"/>
        <v>0</v>
      </c>
      <c r="E30" s="5">
        <f>1.8*$H30</f>
        <v>0</v>
      </c>
      <c r="F30" s="5">
        <f t="shared" ref="F30" si="6">2.7*$H30</f>
        <v>0</v>
      </c>
      <c r="G30" s="5">
        <f>2.3*$H30</f>
        <v>0</v>
      </c>
      <c r="H30" s="5"/>
      <c r="I30" s="22" t="s">
        <v>96</v>
      </c>
      <c r="J30" s="68" t="b">
        <f>NOT(ISERROR(MATCH(A30,Index[Item],0)))</f>
        <v>1</v>
      </c>
    </row>
    <row r="31" spans="1:10" s="68" customFormat="1" x14ac:dyDescent="0.3">
      <c r="A31" s="1" t="s">
        <v>101</v>
      </c>
      <c r="B31" s="5">
        <f>29*$H31</f>
        <v>43.5</v>
      </c>
      <c r="C31" s="5">
        <f>6.5*$H31</f>
        <v>9.75</v>
      </c>
      <c r="D31" s="5">
        <f>0.4*$H31</f>
        <v>0.60000000000000009</v>
      </c>
      <c r="E31" s="5">
        <f>0.9*$H31</f>
        <v>1.35</v>
      </c>
      <c r="F31" s="5">
        <f>2.8*$H31</f>
        <v>4.1999999999999993</v>
      </c>
      <c r="G31" s="5">
        <f>4.1*$H31</f>
        <v>6.1499999999999995</v>
      </c>
      <c r="H31" s="5">
        <v>1.5</v>
      </c>
      <c r="I31" s="22" t="s">
        <v>96</v>
      </c>
      <c r="J31" s="68" t="b">
        <f>NOT(ISERROR(MATCH(A31,Index[Item],0)))</f>
        <v>1</v>
      </c>
    </row>
    <row r="32" spans="1:10" s="68" customFormat="1" x14ac:dyDescent="0.3">
      <c r="A32" s="1" t="s">
        <v>100</v>
      </c>
      <c r="B32" s="5">
        <f>27*$H32</f>
        <v>40.5</v>
      </c>
      <c r="C32" s="5">
        <f>5.4*$H32</f>
        <v>8.1000000000000014</v>
      </c>
      <c r="D32" s="5">
        <f>0.5*$H32</f>
        <v>0.75</v>
      </c>
      <c r="E32" s="5">
        <f>1.7*$H32</f>
        <v>2.5499999999999998</v>
      </c>
      <c r="F32" s="5">
        <f>3.4*$H32</f>
        <v>5.0999999999999996</v>
      </c>
      <c r="G32" s="5">
        <f>2*$H32</f>
        <v>3</v>
      </c>
      <c r="H32" s="5">
        <v>1.5</v>
      </c>
      <c r="I32" s="22" t="s">
        <v>96</v>
      </c>
      <c r="J32" s="68" t="b">
        <f>NOT(ISERROR(MATCH(A32,Index[Item],0)))</f>
        <v>1</v>
      </c>
    </row>
    <row r="33" spans="1:10" s="68" customFormat="1" x14ac:dyDescent="0.3">
      <c r="A33" s="1" t="s">
        <v>108</v>
      </c>
      <c r="B33" s="5">
        <f>34*$H33</f>
        <v>0</v>
      </c>
      <c r="C33" s="5">
        <f>6.6*$H33</f>
        <v>0</v>
      </c>
      <c r="D33" s="5">
        <f>0.4*$H33</f>
        <v>0</v>
      </c>
      <c r="E33" s="5">
        <f>2.8*$H33</f>
        <v>0</v>
      </c>
      <c r="F33" s="5">
        <f>2.6*$H33</f>
        <v>0</v>
      </c>
      <c r="G33" s="5">
        <f>1.7*$H33</f>
        <v>0</v>
      </c>
      <c r="H33" s="5"/>
      <c r="I33" s="22" t="s">
        <v>96</v>
      </c>
      <c r="J33" s="68" t="b">
        <f>NOT(ISERROR(MATCH(A33,Index[Item],0)))</f>
        <v>1</v>
      </c>
    </row>
    <row r="34" spans="1:10" s="68" customFormat="1" x14ac:dyDescent="0.3">
      <c r="A34" s="1" t="s">
        <v>109</v>
      </c>
      <c r="B34" s="5">
        <f>35*$H34</f>
        <v>0</v>
      </c>
      <c r="C34" s="5">
        <f>7.9*$H34</f>
        <v>0</v>
      </c>
      <c r="D34" s="5">
        <f>0.3*$H34</f>
        <v>0</v>
      </c>
      <c r="E34" s="5">
        <f>1.9*$H34</f>
        <v>0</v>
      </c>
      <c r="F34" s="5">
        <f>3.2*$H34</f>
        <v>0</v>
      </c>
      <c r="G34" s="5">
        <f>3.6*$H34</f>
        <v>0</v>
      </c>
      <c r="H34" s="5"/>
      <c r="I34" s="22" t="s">
        <v>96</v>
      </c>
      <c r="J34" s="68" t="b">
        <f>NOT(ISERROR(MATCH(A34,Index[Item],0)))</f>
        <v>1</v>
      </c>
    </row>
    <row r="35" spans="1:10" s="68" customFormat="1" x14ac:dyDescent="0.3">
      <c r="A35" s="1" t="s">
        <v>107</v>
      </c>
      <c r="B35" s="5">
        <f>21*$H35</f>
        <v>0</v>
      </c>
      <c r="C35" s="5">
        <f>4.2*$H35</f>
        <v>0</v>
      </c>
      <c r="D35" s="5">
        <f>0.1*$H35</f>
        <v>0</v>
      </c>
      <c r="E35" s="5">
        <f>2*$H35</f>
        <v>0</v>
      </c>
      <c r="F35" s="5">
        <f>0.8*$H35</f>
        <v>0</v>
      </c>
      <c r="G35" s="5">
        <f>2.8*$H35</f>
        <v>0</v>
      </c>
      <c r="H35" s="5"/>
      <c r="I35" s="22" t="s">
        <v>96</v>
      </c>
      <c r="J35" s="68" t="b">
        <f>NOT(ISERROR(MATCH(A35,Index[Item],0)))</f>
        <v>1</v>
      </c>
    </row>
    <row r="36" spans="1:10" s="68" customFormat="1" x14ac:dyDescent="0.3">
      <c r="A36" s="1" t="s">
        <v>110</v>
      </c>
      <c r="B36" s="5">
        <f>18*$H36</f>
        <v>0</v>
      </c>
      <c r="C36" s="5">
        <f>4*$H36</f>
        <v>0</v>
      </c>
      <c r="D36" s="5">
        <f>0.2*$H36</f>
        <v>0</v>
      </c>
      <c r="E36" s="5">
        <f>0.8*$H36</f>
        <v>0</v>
      </c>
      <c r="F36" s="5">
        <f>1.6*$H36</f>
        <v>0</v>
      </c>
      <c r="G36" s="5">
        <f>2.4*$H36</f>
        <v>0</v>
      </c>
      <c r="H36" s="5"/>
      <c r="I36" s="22" t="s">
        <v>96</v>
      </c>
      <c r="J36" s="68" t="b">
        <f>NOT(ISERROR(MATCH(A36,Index[Item],0)))</f>
        <v>1</v>
      </c>
    </row>
    <row r="37" spans="1:10" s="68" customFormat="1" x14ac:dyDescent="0.3">
      <c r="A37" s="1" t="s">
        <v>111</v>
      </c>
      <c r="B37" s="5">
        <f>4.5*$H37</f>
        <v>0</v>
      </c>
      <c r="C37" s="5">
        <f>1*$H37</f>
        <v>0</v>
      </c>
      <c r="D37" s="5">
        <f>0*$H37</f>
        <v>0</v>
      </c>
      <c r="E37" s="5">
        <f>0.2*$H37</f>
        <v>0</v>
      </c>
      <c r="F37" s="5">
        <f>0.1*$H37</f>
        <v>0</v>
      </c>
      <c r="G37" s="5">
        <f>0*$H37</f>
        <v>0</v>
      </c>
      <c r="H37" s="5"/>
      <c r="I37" s="22" t="s">
        <v>112</v>
      </c>
      <c r="J37" s="68" t="b">
        <f>NOT(ISERROR(MATCH(A37,Index[Item],0)))</f>
        <v>1</v>
      </c>
    </row>
    <row r="38" spans="1:10" s="68" customFormat="1" x14ac:dyDescent="0.3">
      <c r="A38" s="1" t="s">
        <v>114</v>
      </c>
      <c r="B38" s="5">
        <f>29*$H38</f>
        <v>29</v>
      </c>
      <c r="C38" s="5">
        <f>6.9*$H38</f>
        <v>6.9</v>
      </c>
      <c r="D38" s="5">
        <f>0.1*$H38</f>
        <v>0.1</v>
      </c>
      <c r="E38" s="5">
        <f>1.5*$H38</f>
        <v>1.5</v>
      </c>
      <c r="F38" s="5">
        <f>2.6*$H38</f>
        <v>2.6</v>
      </c>
      <c r="G38" s="5">
        <f>3.3*$H38</f>
        <v>3.3</v>
      </c>
      <c r="H38" s="5">
        <v>1</v>
      </c>
      <c r="I38" s="22" t="s">
        <v>96</v>
      </c>
      <c r="J38" s="68" t="b">
        <f>NOT(ISERROR(MATCH(A38,Index[Item],0)))</f>
        <v>1</v>
      </c>
    </row>
    <row r="39" spans="1:10" s="68" customFormat="1" x14ac:dyDescent="0.3">
      <c r="A39" s="1" t="s">
        <v>115</v>
      </c>
      <c r="B39" s="5">
        <f>25*$H39</f>
        <v>62.5</v>
      </c>
      <c r="C39" s="5">
        <f>5*$H39</f>
        <v>12.5</v>
      </c>
      <c r="D39" s="5">
        <f>0*$H39</f>
        <v>0</v>
      </c>
      <c r="E39" s="5">
        <f>0*$H39</f>
        <v>0</v>
      </c>
      <c r="F39" s="5">
        <f>2*$H39</f>
        <v>5</v>
      </c>
      <c r="G39" s="5">
        <f>1*$H39</f>
        <v>2.5</v>
      </c>
      <c r="H39" s="5">
        <v>2.5</v>
      </c>
      <c r="I39" s="22" t="s">
        <v>116</v>
      </c>
      <c r="J39" s="68" t="b">
        <f>NOT(ISERROR(MATCH(A39,Index[Item],0)))</f>
        <v>1</v>
      </c>
    </row>
    <row r="40" spans="1:10" s="68" customFormat="1" ht="37.5" x14ac:dyDescent="0.3">
      <c r="A40" s="1" t="s">
        <v>117</v>
      </c>
      <c r="B40" s="5">
        <f>50*$H40</f>
        <v>0</v>
      </c>
      <c r="C40" s="5">
        <f>10*$H40</f>
        <v>0</v>
      </c>
      <c r="D40" s="5">
        <f t="shared" ref="D40:D43" si="7">0*$H40</f>
        <v>0</v>
      </c>
      <c r="E40" s="5">
        <f>3*$H40</f>
        <v>0</v>
      </c>
      <c r="F40" s="5">
        <f>3*$H40</f>
        <v>0</v>
      </c>
      <c r="G40" s="5">
        <f>4*$H40</f>
        <v>0</v>
      </c>
      <c r="H40" s="5"/>
      <c r="I40" s="22" t="s">
        <v>118</v>
      </c>
      <c r="J40" s="68" t="b">
        <f>NOT(ISERROR(MATCH(A40,Index[Item],0)))</f>
        <v>1</v>
      </c>
    </row>
    <row r="41" spans="1:10" s="68" customFormat="1" ht="37.5" x14ac:dyDescent="0.3">
      <c r="A41" s="1" t="s">
        <v>119</v>
      </c>
      <c r="B41" s="5">
        <f>60*$H41</f>
        <v>0</v>
      </c>
      <c r="C41" s="5">
        <f>11*$H41</f>
        <v>0</v>
      </c>
      <c r="D41" s="5">
        <f t="shared" si="7"/>
        <v>0</v>
      </c>
      <c r="E41" s="5">
        <f>2*$H41</f>
        <v>0</v>
      </c>
      <c r="F41" s="5">
        <f>3*$H41</f>
        <v>0</v>
      </c>
      <c r="G41" s="5">
        <f>4*$H41</f>
        <v>0</v>
      </c>
      <c r="H41" s="5"/>
      <c r="I41" s="22" t="s">
        <v>118</v>
      </c>
      <c r="J41" s="68" t="b">
        <f>NOT(ISERROR(MATCH(A41,Index[Item],0)))</f>
        <v>1</v>
      </c>
    </row>
    <row r="42" spans="1:10" s="68" customFormat="1" ht="56.25" x14ac:dyDescent="0.3">
      <c r="A42" s="1" t="s">
        <v>120</v>
      </c>
      <c r="B42" s="5">
        <f>35*$H42</f>
        <v>0</v>
      </c>
      <c r="C42" s="5">
        <f>5*$H42</f>
        <v>0</v>
      </c>
      <c r="D42" s="5">
        <f>0*$H42</f>
        <v>0</v>
      </c>
      <c r="E42" s="5">
        <f>1*$H42</f>
        <v>0</v>
      </c>
      <c r="F42" s="5">
        <f>2*$H42</f>
        <v>0</v>
      </c>
      <c r="G42" s="5">
        <f>3*$H42</f>
        <v>0</v>
      </c>
      <c r="H42" s="5"/>
      <c r="I42" s="22" t="s">
        <v>121</v>
      </c>
      <c r="J42" s="68" t="b">
        <f>NOT(ISERROR(MATCH(A42,Index[Item],0)))</f>
        <v>1</v>
      </c>
    </row>
    <row r="43" spans="1:10" s="68" customFormat="1" ht="56.25" x14ac:dyDescent="0.3">
      <c r="A43" s="1" t="s">
        <v>122</v>
      </c>
      <c r="B43" s="5">
        <f>40*$H43</f>
        <v>0</v>
      </c>
      <c r="C43" s="5">
        <f>8*$H43</f>
        <v>0</v>
      </c>
      <c r="D43" s="5">
        <f t="shared" si="7"/>
        <v>0</v>
      </c>
      <c r="E43" s="5">
        <f>1*$H43</f>
        <v>0</v>
      </c>
      <c r="F43" s="5">
        <f>2*$H43</f>
        <v>0</v>
      </c>
      <c r="G43" s="5">
        <f>3*$H43</f>
        <v>0</v>
      </c>
      <c r="H43" s="5"/>
      <c r="I43" s="22" t="s">
        <v>123</v>
      </c>
      <c r="J43" s="68" t="b">
        <f>NOT(ISERROR(MATCH(A43,Index[Item],0)))</f>
        <v>1</v>
      </c>
    </row>
    <row r="44" spans="1:10" s="68" customFormat="1" ht="42.75" customHeight="1" x14ac:dyDescent="0.3">
      <c r="A44" s="1" t="s">
        <v>232</v>
      </c>
      <c r="B44" s="5">
        <f>72*$H44</f>
        <v>0</v>
      </c>
      <c r="C44" s="5">
        <f>0.4*$H44</f>
        <v>0</v>
      </c>
      <c r="D44" s="5">
        <f>4.8*$H44</f>
        <v>0</v>
      </c>
      <c r="E44" s="5">
        <f>6.3*$H44</f>
        <v>0</v>
      </c>
      <c r="F44" s="5">
        <f t="shared" ref="F44" si="8">0*$H44</f>
        <v>0</v>
      </c>
      <c r="G44" s="5">
        <f>0.2*$H44</f>
        <v>0</v>
      </c>
      <c r="H44" s="5"/>
      <c r="I44" s="22"/>
      <c r="J44" s="68" t="b">
        <f>NOT(ISERROR(MATCH(A44,Index[Item],0)))</f>
        <v>1</v>
      </c>
    </row>
    <row r="45" spans="1:10" s="68" customFormat="1" x14ac:dyDescent="0.3">
      <c r="A45" s="1" t="s">
        <v>481</v>
      </c>
      <c r="B45" s="5">
        <f>Table2734[[#Totals],[Calories]]</f>
        <v>73.2</v>
      </c>
      <c r="C45" s="5">
        <f>Table2734[[#Totals],[Carbs]]</f>
        <v>15.8</v>
      </c>
      <c r="D45" s="5">
        <f>Table2734[[#Totals],[Fat]]</f>
        <v>0.5</v>
      </c>
      <c r="E45" s="5">
        <f>Table2734[[#Totals],[Protein]]</f>
        <v>2</v>
      </c>
      <c r="F45" s="5">
        <f>Table2734[[#Totals],[Fiber]]</f>
        <v>1.5</v>
      </c>
      <c r="G45" s="5">
        <f>Table2734[[#Totals],[Sugar]]</f>
        <v>0.5</v>
      </c>
      <c r="H45" s="5">
        <f>Table2734[[#Totals],[Serving by TSP]]</f>
        <v>15</v>
      </c>
      <c r="I45" s="22"/>
      <c r="J45" s="68" t="b">
        <f>NOT(ISERROR(MATCH(A45,Index[Item],0)))</f>
        <v>1</v>
      </c>
    </row>
    <row r="46" spans="1:10" s="68" customFormat="1" x14ac:dyDescent="0.3">
      <c r="A46" s="1" t="s">
        <v>544</v>
      </c>
      <c r="B46" s="5">
        <f>SUBTOTAL(109,FriedRice33[Calories])/FriedRice33[[#Totals],[Measurement]]</f>
        <v>392.5333333333333</v>
      </c>
      <c r="C46" s="5">
        <f>SUBTOTAL(109,FriedRice33[Carbs])/FriedRice33[[#Totals],[Measurement]]</f>
        <v>51.014999999999993</v>
      </c>
      <c r="D46" s="5">
        <f>SUBTOTAL(109,FriedRice33[[Fat ]])/FriedRice33[[#Totals],[Measurement]]</f>
        <v>6.6449999999999996</v>
      </c>
      <c r="E46" s="5">
        <f>SUBTOTAL(109,FriedRice33[Protein])/FriedRice33[[#Totals],[Measurement]]</f>
        <v>28.916666666666671</v>
      </c>
      <c r="F46" s="5">
        <f>SUBTOTAL(109,FriedRice33[Fiber])/FriedRice33[[#Totals],[Measurement]]</f>
        <v>3.9333333333333331</v>
      </c>
      <c r="G46" s="5">
        <f>SUBTOTAL(109,FriedRice33[Sugar])/FriedRice33[[#Totals],[Measurement]]</f>
        <v>13.208333333333334</v>
      </c>
      <c r="H46" s="5">
        <f>SUBTOTAL(109,FriedRice33[Servings])/FriedRice33[[#Totals],[Measurement]]</f>
        <v>9.2766666666666655</v>
      </c>
      <c r="I46" s="22" t="s">
        <v>545</v>
      </c>
      <c r="J46" s="2"/>
    </row>
    <row r="48" spans="1:10" x14ac:dyDescent="0.3">
      <c r="A48" s="43" t="s">
        <v>0</v>
      </c>
      <c r="B48" s="44" t="s">
        <v>1</v>
      </c>
      <c r="C48" s="44" t="s">
        <v>2</v>
      </c>
      <c r="D48" s="44" t="s">
        <v>3</v>
      </c>
      <c r="E48" s="44" t="s">
        <v>4</v>
      </c>
      <c r="F48" s="44" t="s">
        <v>5</v>
      </c>
      <c r="G48" s="44" t="s">
        <v>6</v>
      </c>
      <c r="H48" s="44" t="s">
        <v>7</v>
      </c>
    </row>
    <row r="49" spans="1:8" x14ac:dyDescent="0.3">
      <c r="A49" s="45" t="s">
        <v>8</v>
      </c>
      <c r="B49" s="46">
        <f>1.6*$H49</f>
        <v>0</v>
      </c>
      <c r="C49" s="46">
        <f>0.3*$H49</f>
        <v>0</v>
      </c>
      <c r="D49" s="46">
        <f>0*$H49</f>
        <v>0</v>
      </c>
      <c r="E49" s="46">
        <f>0.2*$H49</f>
        <v>0</v>
      </c>
      <c r="F49" s="46">
        <f>0.3*$H49</f>
        <v>0</v>
      </c>
      <c r="G49" s="46">
        <f>0*$H49</f>
        <v>0</v>
      </c>
      <c r="H49" s="47"/>
    </row>
    <row r="50" spans="1:8" x14ac:dyDescent="0.3">
      <c r="A50" s="45" t="s">
        <v>9</v>
      </c>
      <c r="B50" s="46">
        <f>5.8*$H50</f>
        <v>0</v>
      </c>
      <c r="C50" s="46">
        <f>1.5*$H50</f>
        <v>0</v>
      </c>
      <c r="D50" s="46">
        <f>0.1*$H50</f>
        <v>0</v>
      </c>
      <c r="E50" s="46">
        <f>0.2*$H50</f>
        <v>0</v>
      </c>
      <c r="F50" s="46">
        <f>0.6*$H50</f>
        <v>0</v>
      </c>
      <c r="G50" s="46">
        <f>0*$H50</f>
        <v>0</v>
      </c>
      <c r="H50" s="47"/>
    </row>
    <row r="51" spans="1:8" x14ac:dyDescent="0.3">
      <c r="A51" s="41" t="s">
        <v>10</v>
      </c>
      <c r="B51" s="32">
        <f>7.6*$H51</f>
        <v>0</v>
      </c>
      <c r="C51" s="32">
        <f>1.3*$H51</f>
        <v>0</v>
      </c>
      <c r="D51" s="32">
        <f>0.4*$H51</f>
        <v>0</v>
      </c>
      <c r="E51" s="32">
        <f>0.4*$H51</f>
        <v>0</v>
      </c>
      <c r="F51" s="32">
        <f>0.9*$H51</f>
        <v>0</v>
      </c>
      <c r="G51" s="32">
        <f>0.2*$H51</f>
        <v>0</v>
      </c>
      <c r="H51" s="42"/>
    </row>
    <row r="52" spans="1:8" x14ac:dyDescent="0.3">
      <c r="A52" s="45" t="s">
        <v>11</v>
      </c>
      <c r="B52" s="46">
        <f>48*$H52</f>
        <v>0</v>
      </c>
      <c r="C52" s="46">
        <f>8*$H52</f>
        <v>0</v>
      </c>
      <c r="D52" s="46">
        <f>0*$H52</f>
        <v>0</v>
      </c>
      <c r="E52" s="46">
        <f>0*$H52</f>
        <v>0</v>
      </c>
      <c r="F52" s="46">
        <f>0*$H52</f>
        <v>0</v>
      </c>
      <c r="G52" s="46">
        <f>0*$H52</f>
        <v>0</v>
      </c>
      <c r="H52" s="47"/>
    </row>
    <row r="53" spans="1:8" x14ac:dyDescent="0.3">
      <c r="A53" s="41" t="s">
        <v>12</v>
      </c>
      <c r="B53" s="32">
        <f>6.4*$H53</f>
        <v>0</v>
      </c>
      <c r="C53" s="32">
        <f>2.1*$H53</f>
        <v>0</v>
      </c>
      <c r="D53" s="32">
        <f>0*$H52</f>
        <v>0</v>
      </c>
      <c r="E53" s="32">
        <f>0.1*$H53</f>
        <v>0</v>
      </c>
      <c r="F53" s="32">
        <f>1.4*$H53</f>
        <v>0</v>
      </c>
      <c r="G53" s="32">
        <f>0.1*$H53</f>
        <v>0</v>
      </c>
      <c r="H53" s="42"/>
    </row>
    <row r="54" spans="1:8" x14ac:dyDescent="0.3">
      <c r="A54" s="45" t="s">
        <v>13</v>
      </c>
      <c r="B54" s="46">
        <f>1.7*$H54</f>
        <v>0</v>
      </c>
      <c r="C54" s="46">
        <f>0.3*$H54</f>
        <v>0</v>
      </c>
      <c r="D54" s="46">
        <f>0*$H54</f>
        <v>0</v>
      </c>
      <c r="E54" s="46">
        <f>0.1*$H54</f>
        <v>0</v>
      </c>
      <c r="F54" s="46">
        <f>0.1*$H54</f>
        <v>0</v>
      </c>
      <c r="G54" s="46">
        <f>0*$H54</f>
        <v>0</v>
      </c>
      <c r="H54" s="47"/>
    </row>
    <row r="55" spans="1:8" ht="37.5" x14ac:dyDescent="0.3">
      <c r="A55" s="41" t="s">
        <v>14</v>
      </c>
      <c r="B55" s="32">
        <f>5.7*$H55</f>
        <v>0</v>
      </c>
      <c r="C55" s="32">
        <f>1*$H55</f>
        <v>0</v>
      </c>
      <c r="D55" s="32">
        <f>0*$H55</f>
        <v>0</v>
      </c>
      <c r="E55" s="32">
        <f>0.2*$H55</f>
        <v>0</v>
      </c>
      <c r="F55" s="32">
        <f>0.5*$H55</f>
        <v>0</v>
      </c>
      <c r="G55" s="32">
        <f>0.2*$H55</f>
        <v>0</v>
      </c>
      <c r="H55" s="42"/>
    </row>
    <row r="56" spans="1:8" x14ac:dyDescent="0.3">
      <c r="A56" s="45" t="s">
        <v>15</v>
      </c>
      <c r="B56" s="46">
        <f>7.6*$H56</f>
        <v>0</v>
      </c>
      <c r="C56" s="46">
        <f>0.9*$H56</f>
        <v>0</v>
      </c>
      <c r="D56" s="46">
        <f>0.5*$H56</f>
        <v>0</v>
      </c>
      <c r="E56" s="46">
        <f>0.4*$H56</f>
        <v>0</v>
      </c>
      <c r="F56" s="46">
        <f>0.2*$H56</f>
        <v>0</v>
      </c>
      <c r="G56" s="46">
        <f>0.1*$H56</f>
        <v>0</v>
      </c>
      <c r="H56" s="47"/>
    </row>
    <row r="57" spans="1:8" x14ac:dyDescent="0.3">
      <c r="A57" s="41" t="s">
        <v>16</v>
      </c>
      <c r="B57" s="32">
        <f>(36/5)*$H57</f>
        <v>0</v>
      </c>
      <c r="C57" s="32">
        <f>(5/5)*$H57</f>
        <v>0</v>
      </c>
      <c r="D57" s="32">
        <f>(1.2/5)*$H57</f>
        <v>0</v>
      </c>
      <c r="E57" s="32">
        <f>(1.3/5)*$H57</f>
        <v>0</v>
      </c>
      <c r="F57" s="32">
        <f>(3/5)*$H57</f>
        <v>0</v>
      </c>
      <c r="G57" s="32">
        <f>(0.2/5)*$H57</f>
        <v>0</v>
      </c>
      <c r="H57" s="42"/>
    </row>
    <row r="58" spans="1:8" x14ac:dyDescent="0.3">
      <c r="A58" s="45" t="s">
        <v>17</v>
      </c>
      <c r="B58" s="46">
        <f>5*$H58</f>
        <v>30</v>
      </c>
      <c r="C58" s="46">
        <f>1*$H58</f>
        <v>6</v>
      </c>
      <c r="D58" s="46">
        <f>0*$H58</f>
        <v>0</v>
      </c>
      <c r="E58" s="46">
        <f>0*$H58</f>
        <v>0</v>
      </c>
      <c r="F58" s="46">
        <f>0*$H58</f>
        <v>0</v>
      </c>
      <c r="G58" s="46">
        <f>0*$H58</f>
        <v>0</v>
      </c>
      <c r="H58" s="47">
        <v>6</v>
      </c>
    </row>
    <row r="59" spans="1:8" x14ac:dyDescent="0.3">
      <c r="A59" s="41" t="s">
        <v>18</v>
      </c>
      <c r="B59" s="32">
        <f>10*$H59</f>
        <v>0</v>
      </c>
      <c r="C59" s="32">
        <f>2.3*$H59</f>
        <v>0</v>
      </c>
      <c r="D59" s="32">
        <f>0*$H59</f>
        <v>0</v>
      </c>
      <c r="E59" s="32">
        <f>0.5*$H59</f>
        <v>0</v>
      </c>
      <c r="F59" s="32">
        <f>0.3*$H59</f>
        <v>0</v>
      </c>
      <c r="G59" s="32">
        <f>0.1*$H59</f>
        <v>0</v>
      </c>
      <c r="H59" s="42"/>
    </row>
    <row r="60" spans="1:8" x14ac:dyDescent="0.3">
      <c r="A60" s="45" t="s">
        <v>19</v>
      </c>
      <c r="B60" s="46">
        <f>1.2*$H60</f>
        <v>1.2</v>
      </c>
      <c r="C60" s="46">
        <f>0.3*$H60</f>
        <v>0.3</v>
      </c>
      <c r="D60" s="46">
        <f>0*$H60</f>
        <v>0</v>
      </c>
      <c r="E60" s="46">
        <f>1*$H60</f>
        <v>1</v>
      </c>
      <c r="F60" s="46">
        <f>0*$H60</f>
        <v>0</v>
      </c>
      <c r="G60" s="46">
        <f>0*$H60</f>
        <v>0</v>
      </c>
      <c r="H60" s="47">
        <v>1</v>
      </c>
    </row>
    <row r="61" spans="1:8" x14ac:dyDescent="0.3">
      <c r="A61" s="45" t="s">
        <v>20</v>
      </c>
      <c r="B61" s="46">
        <f>6*$H61</f>
        <v>30</v>
      </c>
      <c r="C61" s="46">
        <f>1.3*$H61</f>
        <v>6.5</v>
      </c>
      <c r="D61" s="46">
        <f>0.1*$H61</f>
        <v>0.5</v>
      </c>
      <c r="E61" s="46">
        <f>0.2*$H61</f>
        <v>1</v>
      </c>
      <c r="F61" s="46">
        <f>0.3*$H61</f>
        <v>1.5</v>
      </c>
      <c r="G61" s="46">
        <f>0.1*$H61</f>
        <v>0.5</v>
      </c>
      <c r="H61" s="47">
        <v>5</v>
      </c>
    </row>
    <row r="62" spans="1:8" x14ac:dyDescent="0.3">
      <c r="A62" s="41" t="s">
        <v>21</v>
      </c>
      <c r="B62" s="32">
        <f>2.2*$H62</f>
        <v>0</v>
      </c>
      <c r="C62" s="32">
        <f>0.5*$H62</f>
        <v>0</v>
      </c>
      <c r="D62" s="32">
        <f>0.1*$H62</f>
        <v>0</v>
      </c>
      <c r="E62" s="32">
        <f>0.1*$H62</f>
        <v>0</v>
      </c>
      <c r="F62" s="32">
        <f>0.3*$H62</f>
        <v>0</v>
      </c>
      <c r="G62" s="32">
        <f>0*$H62</f>
        <v>0</v>
      </c>
      <c r="H62" s="42"/>
    </row>
    <row r="63" spans="1:8" x14ac:dyDescent="0.3">
      <c r="A63" s="45" t="s">
        <v>22</v>
      </c>
      <c r="B63" s="46">
        <f>0*$H63</f>
        <v>0</v>
      </c>
      <c r="C63" s="46">
        <f>0*$H63</f>
        <v>0</v>
      </c>
      <c r="D63" s="46">
        <f>0*$H63</f>
        <v>0</v>
      </c>
      <c r="E63" s="46">
        <f>0*$H63</f>
        <v>0</v>
      </c>
      <c r="F63" s="46">
        <f>0*$H63</f>
        <v>0</v>
      </c>
      <c r="G63" s="46">
        <f>0*$H63</f>
        <v>0</v>
      </c>
      <c r="H63" s="47"/>
    </row>
    <row r="64" spans="1:8" x14ac:dyDescent="0.3">
      <c r="A64" s="41" t="s">
        <v>23</v>
      </c>
      <c r="B64" s="32">
        <f>8.2*$H64</f>
        <v>0</v>
      </c>
      <c r="C64" s="32">
        <f>1.9*$H64</f>
        <v>0</v>
      </c>
      <c r="D64" s="32">
        <f>0*$H64</f>
        <v>0</v>
      </c>
      <c r="E64" s="32">
        <f>0.3*$H64</f>
        <v>0</v>
      </c>
      <c r="F64" s="32">
        <f>0.4*$H64</f>
        <v>0</v>
      </c>
      <c r="G64" s="32">
        <f>0.2*$H64</f>
        <v>0</v>
      </c>
      <c r="H64" s="42"/>
    </row>
    <row r="65" spans="1:8" x14ac:dyDescent="0.3">
      <c r="A65" s="45" t="s">
        <v>24</v>
      </c>
      <c r="B65" s="46">
        <f>2.7*$H65</f>
        <v>0</v>
      </c>
      <c r="C65" s="46">
        <f>0.7*$H65</f>
        <v>0</v>
      </c>
      <c r="D65" s="46">
        <f>0*$H65</f>
        <v>0</v>
      </c>
      <c r="E65" s="46">
        <f>0.1*$H65</f>
        <v>0</v>
      </c>
      <c r="F65" s="46">
        <f>0.4*$H65</f>
        <v>0</v>
      </c>
      <c r="G65" s="46">
        <f>0*$H65</f>
        <v>0</v>
      </c>
      <c r="H65" s="47"/>
    </row>
    <row r="66" spans="1:8" x14ac:dyDescent="0.3">
      <c r="A66" s="41" t="s">
        <v>25</v>
      </c>
      <c r="B66" s="32">
        <f>6.5*$H66</f>
        <v>0</v>
      </c>
      <c r="C66" s="32">
        <f>1.2*$H66</f>
        <v>0</v>
      </c>
      <c r="D66" s="32">
        <f>0.3*$H66</f>
        <v>0</v>
      </c>
      <c r="E66" s="32">
        <f>0.3*$H66</f>
        <v>0</v>
      </c>
      <c r="F66" s="32">
        <f>0.8*$H66</f>
        <v>0</v>
      </c>
      <c r="G66" s="32">
        <f>0.2*$H66</f>
        <v>0</v>
      </c>
      <c r="H66" s="42"/>
    </row>
    <row r="67" spans="1:8" x14ac:dyDescent="0.3">
      <c r="A67" s="45" t="s">
        <v>26</v>
      </c>
      <c r="B67" s="46">
        <f>1.5*$H67</f>
        <v>0</v>
      </c>
      <c r="C67" s="46">
        <f>0.3*$H67</f>
        <v>0</v>
      </c>
      <c r="D67" s="46">
        <f>0*$H67</f>
        <v>0</v>
      </c>
      <c r="E67" s="46">
        <f>0.1*$H67</f>
        <v>0</v>
      </c>
      <c r="F67" s="46">
        <f>0.1*$H67</f>
        <v>0</v>
      </c>
      <c r="G67" s="46">
        <f>0*$H67</f>
        <v>0</v>
      </c>
      <c r="H67" s="47"/>
    </row>
    <row r="68" spans="1:8" x14ac:dyDescent="0.3">
      <c r="A68" s="41" t="s">
        <v>27</v>
      </c>
      <c r="B68" s="32">
        <f>5.7*$H68</f>
        <v>0</v>
      </c>
      <c r="C68" s="32">
        <f>1*$H68</f>
        <v>0</v>
      </c>
      <c r="D68" s="32">
        <f>0.3*$H68</f>
        <v>0</v>
      </c>
      <c r="E68" s="32">
        <f>0.2*$H68</f>
        <v>0</v>
      </c>
      <c r="F68" s="32">
        <f>0.5*$H68</f>
        <v>0</v>
      </c>
      <c r="G68" s="32">
        <f>0.2*$H68</f>
        <v>0</v>
      </c>
      <c r="H68" s="42"/>
    </row>
    <row r="69" spans="1:8" x14ac:dyDescent="0.3">
      <c r="A69" s="45" t="s">
        <v>28</v>
      </c>
      <c r="B69" s="46">
        <f t="shared" ref="B69:G69" si="9">0*$H69</f>
        <v>0</v>
      </c>
      <c r="C69" s="46">
        <f t="shared" si="9"/>
        <v>0</v>
      </c>
      <c r="D69" s="46">
        <f t="shared" si="9"/>
        <v>0</v>
      </c>
      <c r="E69" s="46">
        <f t="shared" si="9"/>
        <v>0</v>
      </c>
      <c r="F69" s="46">
        <f t="shared" si="9"/>
        <v>0</v>
      </c>
      <c r="G69" s="46">
        <f t="shared" si="9"/>
        <v>0</v>
      </c>
      <c r="H69" s="47"/>
    </row>
    <row r="70" spans="1:8" x14ac:dyDescent="0.3">
      <c r="A70" s="41" t="s">
        <v>29</v>
      </c>
      <c r="B70" s="32">
        <f>2.5*$H70</f>
        <v>0</v>
      </c>
      <c r="C70" s="32">
        <f>0.6*$H70</f>
        <v>0</v>
      </c>
      <c r="D70" s="32">
        <f>0.1*$H70</f>
        <v>0</v>
      </c>
      <c r="E70" s="32">
        <f>0.1*$H70</f>
        <v>0</v>
      </c>
      <c r="F70" s="32">
        <f>0.3*$H70</f>
        <v>0</v>
      </c>
      <c r="G70" s="32">
        <f>0*$H70</f>
        <v>0</v>
      </c>
      <c r="H70" s="42"/>
    </row>
    <row r="71" spans="1:8" x14ac:dyDescent="0.3">
      <c r="A71" s="41" t="s">
        <v>31</v>
      </c>
      <c r="B71" s="32">
        <f>0*$H71</f>
        <v>0</v>
      </c>
      <c r="C71" s="32">
        <f>0*$H71</f>
        <v>0</v>
      </c>
      <c r="D71" s="32">
        <f>0*$H71</f>
        <v>0</v>
      </c>
      <c r="E71" s="32">
        <f>0*$H71</f>
        <v>0</v>
      </c>
      <c r="F71" s="32">
        <f>0*$H71</f>
        <v>0</v>
      </c>
      <c r="G71" s="32">
        <f>0*$H71</f>
        <v>0</v>
      </c>
      <c r="H71" s="42"/>
    </row>
    <row r="72" spans="1:8" x14ac:dyDescent="0.3">
      <c r="A72" s="41" t="s">
        <v>30</v>
      </c>
      <c r="B72" s="32">
        <f>4*$H72</f>
        <v>12</v>
      </c>
      <c r="C72" s="32">
        <f>1*$H72</f>
        <v>3</v>
      </c>
      <c r="D72" s="32">
        <f>0*$H72</f>
        <v>0</v>
      </c>
      <c r="E72" s="32">
        <f>0*$H72</f>
        <v>0</v>
      </c>
      <c r="F72" s="32">
        <f>0*$H72</f>
        <v>0</v>
      </c>
      <c r="G72" s="32">
        <f>0*$H72</f>
        <v>0</v>
      </c>
      <c r="H72" s="42">
        <v>3</v>
      </c>
    </row>
    <row r="73" spans="1:8" x14ac:dyDescent="0.3">
      <c r="A73" s="41" t="s">
        <v>33</v>
      </c>
      <c r="B73" s="32">
        <f>7.1*$H73</f>
        <v>0</v>
      </c>
      <c r="C73" s="32">
        <f>1.6*$H73</f>
        <v>0</v>
      </c>
      <c r="D73" s="32">
        <f>0.1*$H73</f>
        <v>0</v>
      </c>
      <c r="E73" s="32">
        <f>0.3*$H73</f>
        <v>0</v>
      </c>
      <c r="F73" s="32">
        <f>0.6*$H73</f>
        <v>0</v>
      </c>
      <c r="G73" s="32">
        <f>0*$H73</f>
        <v>0</v>
      </c>
      <c r="H73" s="42"/>
    </row>
    <row r="74" spans="1:8" x14ac:dyDescent="0.3">
      <c r="A74" s="41" t="s">
        <v>34</v>
      </c>
      <c r="B74" s="32">
        <f>SUBTOTAL(109,Table2734[Calories])</f>
        <v>73.2</v>
      </c>
      <c r="C74" s="32">
        <f>SUBTOTAL(109,Table2734[Carbs])</f>
        <v>15.8</v>
      </c>
      <c r="D74" s="32">
        <f>SUBTOTAL(109,Table2734[Fat])</f>
        <v>0.5</v>
      </c>
      <c r="E74" s="32">
        <f>SUBTOTAL(109,Table2734[Protein])</f>
        <v>2</v>
      </c>
      <c r="F74" s="32">
        <f>SUBTOTAL(109,Table2734[Fiber])</f>
        <v>1.5</v>
      </c>
      <c r="G74" s="32">
        <f>SUBTOTAL(109,Table2734[Sugar])</f>
        <v>0.5</v>
      </c>
      <c r="H74" s="42">
        <f>SUBTOTAL(109,Table2734[Serving by TSP])</f>
        <v>15</v>
      </c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5E708-54CB-4C11-8E7B-CE8BBC994AAB}">
  <sheetPr codeName="Sheet26"/>
  <dimension ref="A1:J68"/>
  <sheetViews>
    <sheetView workbookViewId="0"/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6.285156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s="68" customFormat="1" x14ac:dyDescent="0.3">
      <c r="A2" s="1" t="s">
        <v>229</v>
      </c>
      <c r="B2" s="5">
        <f>110*$H2</f>
        <v>0</v>
      </c>
      <c r="C2" s="5">
        <f>0*$H2</f>
        <v>0</v>
      </c>
      <c r="D2" s="5">
        <f>3*$H2</f>
        <v>0</v>
      </c>
      <c r="E2" s="5">
        <f>22*$H2</f>
        <v>0</v>
      </c>
      <c r="F2" s="5">
        <f>0*$H2</f>
        <v>0</v>
      </c>
      <c r="G2" s="5">
        <f>0*$H2</f>
        <v>0</v>
      </c>
      <c r="H2" s="5"/>
      <c r="I2" s="22" t="s">
        <v>204</v>
      </c>
      <c r="J2" s="68" t="b">
        <f>NOT(ISERROR(MATCH(A2,Index[Item],0)))</f>
        <v>1</v>
      </c>
    </row>
    <row r="3" spans="1:10" s="68" customFormat="1" x14ac:dyDescent="0.3">
      <c r="A3" s="1" t="s">
        <v>245</v>
      </c>
      <c r="B3" s="5">
        <f>260*$H3</f>
        <v>260</v>
      </c>
      <c r="C3" s="5">
        <f>47*$H3</f>
        <v>47</v>
      </c>
      <c r="D3" s="5">
        <f>2*$H3</f>
        <v>2</v>
      </c>
      <c r="E3" s="5">
        <f>14*$H3</f>
        <v>14</v>
      </c>
      <c r="F3" s="5">
        <f>6*$H3</f>
        <v>6</v>
      </c>
      <c r="G3" s="5">
        <f>2*$H3</f>
        <v>2</v>
      </c>
      <c r="H3" s="5">
        <v>1</v>
      </c>
      <c r="I3" s="22" t="s">
        <v>246</v>
      </c>
      <c r="J3" s="68" t="b">
        <f>NOT(ISERROR(MATCH(A3,Index[Item],0)))</f>
        <v>1</v>
      </c>
    </row>
    <row r="4" spans="1:10" s="68" customFormat="1" ht="37.5" x14ac:dyDescent="0.3">
      <c r="A4" s="1" t="s">
        <v>310</v>
      </c>
      <c r="B4" s="5">
        <f>25*$H4</f>
        <v>0</v>
      </c>
      <c r="C4" s="5">
        <f>5*$H4</f>
        <v>0</v>
      </c>
      <c r="D4" s="5">
        <f>0*$H4</f>
        <v>0</v>
      </c>
      <c r="E4" s="5">
        <f>0.5*$H4</f>
        <v>0</v>
      </c>
      <c r="F4" s="5">
        <f>0*$H4</f>
        <v>0</v>
      </c>
      <c r="G4" s="5">
        <f>3*$H4</f>
        <v>0</v>
      </c>
      <c r="H4" s="5"/>
      <c r="I4" s="22" t="s">
        <v>307</v>
      </c>
      <c r="J4" s="68" t="b">
        <f>NOT(ISERROR(MATCH(A4,Index[Item],0)))</f>
        <v>1</v>
      </c>
    </row>
    <row r="5" spans="1:10" s="68" customFormat="1" x14ac:dyDescent="0.3">
      <c r="A5" s="1" t="s">
        <v>318</v>
      </c>
      <c r="B5" s="5">
        <f>10*$H5</f>
        <v>3.3000000000000003</v>
      </c>
      <c r="C5" s="5">
        <f>1*$H5</f>
        <v>0.33</v>
      </c>
      <c r="D5" s="5">
        <f>0*$H5</f>
        <v>0</v>
      </c>
      <c r="E5" s="5">
        <f>1*$H5</f>
        <v>0.33</v>
      </c>
      <c r="F5" s="5">
        <f>0*$H5</f>
        <v>0</v>
      </c>
      <c r="G5" s="5">
        <f>0*$H5</f>
        <v>0</v>
      </c>
      <c r="H5" s="5">
        <v>0.33</v>
      </c>
      <c r="I5" s="22" t="s">
        <v>307</v>
      </c>
      <c r="J5" s="68" t="b">
        <f>NOT(ISERROR(MATCH(A5,Index[Item],0)))</f>
        <v>1</v>
      </c>
    </row>
    <row r="6" spans="1:10" s="68" customFormat="1" x14ac:dyDescent="0.3">
      <c r="A6" s="1" t="s">
        <v>308</v>
      </c>
      <c r="B6" s="5">
        <f>60*$H6</f>
        <v>0</v>
      </c>
      <c r="C6" s="5">
        <f>17*$H6</f>
        <v>0</v>
      </c>
      <c r="D6" s="5">
        <f>0*$H6</f>
        <v>0</v>
      </c>
      <c r="E6" s="5">
        <f>0*$H6</f>
        <v>0</v>
      </c>
      <c r="F6" s="5">
        <f>0*$H6</f>
        <v>0</v>
      </c>
      <c r="G6" s="5">
        <f>17*$H6</f>
        <v>0</v>
      </c>
      <c r="H6" s="5"/>
      <c r="I6" s="22" t="s">
        <v>309</v>
      </c>
      <c r="J6" s="68" t="b">
        <f>NOT(ISERROR(MATCH(A6,Index[Item],0)))</f>
        <v>1</v>
      </c>
    </row>
    <row r="7" spans="1:10" s="68" customFormat="1" x14ac:dyDescent="0.3">
      <c r="A7" s="1" t="s">
        <v>306</v>
      </c>
      <c r="B7" s="5">
        <f>60*$H7</f>
        <v>0</v>
      </c>
      <c r="C7" s="5">
        <f>16*$H7</f>
        <v>0</v>
      </c>
      <c r="D7" s="5">
        <f t="shared" ref="D7:G14" si="0">0*$H7</f>
        <v>0</v>
      </c>
      <c r="E7" s="5">
        <f>0*$H7</f>
        <v>0</v>
      </c>
      <c r="F7" s="5">
        <f>1*$H7</f>
        <v>0</v>
      </c>
      <c r="G7" s="5">
        <f>15*$H7</f>
        <v>0</v>
      </c>
      <c r="H7" s="5"/>
      <c r="I7" s="22" t="s">
        <v>307</v>
      </c>
      <c r="J7" s="68" t="b">
        <f>NOT(ISERROR(MATCH(A7,Index[Item],0)))</f>
        <v>1</v>
      </c>
    </row>
    <row r="8" spans="1:10" s="68" customFormat="1" x14ac:dyDescent="0.3">
      <c r="A8" s="1" t="s">
        <v>303</v>
      </c>
      <c r="B8" s="5">
        <f>30*$H8</f>
        <v>15</v>
      </c>
      <c r="C8" s="5">
        <f>8*$H8</f>
        <v>4</v>
      </c>
      <c r="D8" s="5">
        <f t="shared" si="0"/>
        <v>0</v>
      </c>
      <c r="E8" s="5">
        <f t="shared" si="0"/>
        <v>0</v>
      </c>
      <c r="F8" s="5">
        <f t="shared" si="0"/>
        <v>0</v>
      </c>
      <c r="G8" s="5">
        <f>8*$H8</f>
        <v>4</v>
      </c>
      <c r="H8" s="5">
        <v>0.5</v>
      </c>
      <c r="I8" s="22" t="s">
        <v>304</v>
      </c>
      <c r="J8" s="68" t="b">
        <f>NOT(ISERROR(MATCH(A8,Index[Item],0)))</f>
        <v>1</v>
      </c>
    </row>
    <row r="9" spans="1:10" s="68" customFormat="1" x14ac:dyDescent="0.3">
      <c r="A9" s="1" t="s">
        <v>305</v>
      </c>
      <c r="B9" s="5">
        <f>30*$H9</f>
        <v>0</v>
      </c>
      <c r="C9" s="5">
        <f>8*$H9</f>
        <v>0</v>
      </c>
      <c r="D9" s="5">
        <f t="shared" si="0"/>
        <v>0</v>
      </c>
      <c r="E9" s="5">
        <f t="shared" si="0"/>
        <v>0</v>
      </c>
      <c r="F9" s="5">
        <f t="shared" si="0"/>
        <v>0</v>
      </c>
      <c r="G9" s="5">
        <f>8*$H9</f>
        <v>0</v>
      </c>
      <c r="H9" s="5"/>
      <c r="I9" s="22" t="s">
        <v>304</v>
      </c>
      <c r="J9" s="68" t="b">
        <f>NOT(ISERROR(MATCH(A9,Index[Item],0)))</f>
        <v>1</v>
      </c>
    </row>
    <row r="10" spans="1:10" s="68" customFormat="1" ht="37.5" x14ac:dyDescent="0.3">
      <c r="A10" s="1" t="s">
        <v>311</v>
      </c>
      <c r="B10" s="5">
        <f>32*$H10</f>
        <v>0</v>
      </c>
      <c r="C10" s="5">
        <f>0*$H10</f>
        <v>0</v>
      </c>
      <c r="D10" s="5">
        <f t="shared" si="0"/>
        <v>0</v>
      </c>
      <c r="E10" s="5">
        <f>0*$H10</f>
        <v>0</v>
      </c>
      <c r="F10" s="5">
        <f t="shared" si="0"/>
        <v>0</v>
      </c>
      <c r="G10" s="5">
        <f>0*$H10</f>
        <v>0</v>
      </c>
      <c r="H10" s="5"/>
      <c r="I10" s="22" t="s">
        <v>312</v>
      </c>
      <c r="J10" s="68" t="b">
        <f>NOT(ISERROR(MATCH(A10,Index[Item],0)))</f>
        <v>1</v>
      </c>
    </row>
    <row r="11" spans="1:10" s="68" customFormat="1" ht="37.5" x14ac:dyDescent="0.3">
      <c r="A11" s="1" t="s">
        <v>317</v>
      </c>
      <c r="B11" s="5">
        <f>120*$H11</f>
        <v>0</v>
      </c>
      <c r="C11" s="5">
        <f>0*$H11</f>
        <v>0</v>
      </c>
      <c r="D11" s="5">
        <f>14*$H11</f>
        <v>0</v>
      </c>
      <c r="E11" s="5">
        <f>0*$H11</f>
        <v>0</v>
      </c>
      <c r="F11" s="5">
        <f t="shared" si="0"/>
        <v>0</v>
      </c>
      <c r="G11" s="5">
        <f>0*$H11</f>
        <v>0</v>
      </c>
      <c r="H11" s="5"/>
      <c r="I11" s="22" t="s">
        <v>307</v>
      </c>
      <c r="J11" s="68" t="b">
        <f>NOT(ISERROR(MATCH(A11,Index[Item],0)))</f>
        <v>1</v>
      </c>
    </row>
    <row r="12" spans="1:10" s="68" customFormat="1" x14ac:dyDescent="0.3">
      <c r="A12" s="1" t="s">
        <v>338</v>
      </c>
      <c r="B12" s="5">
        <f>120*$H12</f>
        <v>39.6</v>
      </c>
      <c r="C12" s="5">
        <f>0*$H12</f>
        <v>0</v>
      </c>
      <c r="D12" s="5">
        <f>14*$H12</f>
        <v>4.62</v>
      </c>
      <c r="E12" s="5">
        <f>0*$H12</f>
        <v>0</v>
      </c>
      <c r="F12" s="5">
        <f t="shared" si="0"/>
        <v>0</v>
      </c>
      <c r="G12" s="5">
        <f>0*$H12</f>
        <v>0</v>
      </c>
      <c r="H12" s="5">
        <v>0.33</v>
      </c>
      <c r="I12" s="22" t="s">
        <v>307</v>
      </c>
      <c r="J12" s="68" t="b">
        <f>NOT(ISERROR(MATCH(A12,Index[Item],0)))</f>
        <v>1</v>
      </c>
    </row>
    <row r="13" spans="1:10" s="68" customFormat="1" x14ac:dyDescent="0.3">
      <c r="A13" s="1" t="s">
        <v>337</v>
      </c>
      <c r="B13" s="5">
        <f>120*$H13</f>
        <v>0</v>
      </c>
      <c r="C13" s="5">
        <f>0*$H13</f>
        <v>0</v>
      </c>
      <c r="D13" s="5">
        <f>14*$H13</f>
        <v>0</v>
      </c>
      <c r="E13" s="5">
        <f>0*$H13</f>
        <v>0</v>
      </c>
      <c r="F13" s="5">
        <f t="shared" si="0"/>
        <v>0</v>
      </c>
      <c r="G13" s="5">
        <f>0*$H13</f>
        <v>0</v>
      </c>
      <c r="H13" s="5"/>
      <c r="I13" s="22" t="s">
        <v>307</v>
      </c>
      <c r="J13" s="68" t="b">
        <f>NOT(ISERROR(MATCH(A13,Index[Item],0)))</f>
        <v>1</v>
      </c>
    </row>
    <row r="14" spans="1:10" s="68" customFormat="1" x14ac:dyDescent="0.3">
      <c r="A14" s="1" t="s">
        <v>313</v>
      </c>
      <c r="B14" s="5">
        <f>0*$H14</f>
        <v>0</v>
      </c>
      <c r="C14" s="5">
        <f t="shared" ref="C14:F15" si="1">0*$H14</f>
        <v>0</v>
      </c>
      <c r="D14" s="5">
        <f t="shared" si="1"/>
        <v>0</v>
      </c>
      <c r="E14" s="5">
        <f t="shared" si="1"/>
        <v>0</v>
      </c>
      <c r="F14" s="5">
        <f t="shared" si="0"/>
        <v>0</v>
      </c>
      <c r="G14" s="5">
        <f t="shared" si="0"/>
        <v>0</v>
      </c>
      <c r="H14" s="5"/>
      <c r="I14" s="22" t="s">
        <v>307</v>
      </c>
      <c r="J14" s="68" t="b">
        <f>NOT(ISERROR(MATCH(A14,Index[Item],0)))</f>
        <v>1</v>
      </c>
    </row>
    <row r="15" spans="1:10" s="68" customFormat="1" ht="37.5" x14ac:dyDescent="0.3">
      <c r="A15" s="1" t="s">
        <v>341</v>
      </c>
      <c r="B15" s="5">
        <f>10*$H15</f>
        <v>0</v>
      </c>
      <c r="C15" s="5">
        <f>2*$H15</f>
        <v>0</v>
      </c>
      <c r="D15" s="5">
        <f>0*$H15</f>
        <v>0</v>
      </c>
      <c r="E15" s="5">
        <f t="shared" si="1"/>
        <v>0</v>
      </c>
      <c r="F15" s="5">
        <f t="shared" si="1"/>
        <v>0</v>
      </c>
      <c r="G15" s="5">
        <f>2*$H15</f>
        <v>0</v>
      </c>
      <c r="H15" s="5"/>
      <c r="I15" s="22" t="s">
        <v>307</v>
      </c>
      <c r="J15" s="68" t="b">
        <f>NOT(ISERROR(MATCH(A15,Index[Item],0)))</f>
        <v>1</v>
      </c>
    </row>
    <row r="16" spans="1:10" s="68" customFormat="1" ht="37.5" x14ac:dyDescent="0.3">
      <c r="A16" s="1" t="s">
        <v>316</v>
      </c>
      <c r="B16" s="5">
        <f>20*$H16</f>
        <v>0</v>
      </c>
      <c r="C16" s="5">
        <f>5*$H16</f>
        <v>0</v>
      </c>
      <c r="D16" s="5">
        <f>0*$H16</f>
        <v>0</v>
      </c>
      <c r="E16" s="5">
        <f>0*$H16</f>
        <v>0</v>
      </c>
      <c r="F16" s="5">
        <f>0*$H16</f>
        <v>0</v>
      </c>
      <c r="G16" s="5">
        <f>4*$H16</f>
        <v>0</v>
      </c>
      <c r="H16" s="5"/>
      <c r="I16" s="22" t="s">
        <v>302</v>
      </c>
      <c r="J16" s="68" t="b">
        <f>NOT(ISERROR(MATCH(A16,Index[Item],0)))</f>
        <v>1</v>
      </c>
    </row>
    <row r="17" spans="1:10" s="68" customFormat="1" ht="37.5" x14ac:dyDescent="0.3">
      <c r="A17" s="1" t="s">
        <v>314</v>
      </c>
      <c r="B17" s="5">
        <f>90*$H17</f>
        <v>0</v>
      </c>
      <c r="C17" s="5">
        <f>20*$H17</f>
        <v>0</v>
      </c>
      <c r="D17" s="5">
        <f>1*$H17</f>
        <v>0</v>
      </c>
      <c r="E17" s="5">
        <f>0*$H17</f>
        <v>0</v>
      </c>
      <c r="F17" s="5">
        <f>0*$H17</f>
        <v>0</v>
      </c>
      <c r="G17" s="5">
        <f>18*$H17</f>
        <v>0</v>
      </c>
      <c r="H17" s="5"/>
      <c r="I17" s="22" t="s">
        <v>315</v>
      </c>
      <c r="J17" s="68" t="b">
        <f>NOT(ISERROR(MATCH(A17,Index[Item],0)))</f>
        <v>1</v>
      </c>
    </row>
    <row r="18" spans="1:10" s="68" customFormat="1" ht="37.5" x14ac:dyDescent="0.3">
      <c r="A18" s="1" t="s">
        <v>320</v>
      </c>
      <c r="B18" s="5">
        <f>40*$H18</f>
        <v>0</v>
      </c>
      <c r="C18" s="5">
        <f>8*$H18</f>
        <v>0</v>
      </c>
      <c r="D18" s="5">
        <f>0*$H18</f>
        <v>0</v>
      </c>
      <c r="E18" s="5">
        <f>1*$H18</f>
        <v>0</v>
      </c>
      <c r="F18" s="5">
        <f>1*$H18</f>
        <v>0</v>
      </c>
      <c r="G18" s="5">
        <f>5*$H18</f>
        <v>0</v>
      </c>
      <c r="H18" s="5"/>
      <c r="I18" s="22" t="s">
        <v>321</v>
      </c>
      <c r="J18" s="68" t="b">
        <f>NOT(ISERROR(MATCH(A18,Index[Item],0)))</f>
        <v>1</v>
      </c>
    </row>
    <row r="19" spans="1:10" s="68" customFormat="1" x14ac:dyDescent="0.3">
      <c r="A19" s="1" t="s">
        <v>301</v>
      </c>
      <c r="B19" s="5">
        <f>30*$H19</f>
        <v>0</v>
      </c>
      <c r="C19" s="5">
        <f>8*$H19</f>
        <v>0</v>
      </c>
      <c r="D19" s="5">
        <f t="shared" ref="D19:G19" si="2">0*$H19</f>
        <v>0</v>
      </c>
      <c r="E19" s="5">
        <f t="shared" si="2"/>
        <v>0</v>
      </c>
      <c r="F19" s="5">
        <f t="shared" si="2"/>
        <v>0</v>
      </c>
      <c r="G19" s="5">
        <f t="shared" si="2"/>
        <v>0</v>
      </c>
      <c r="H19" s="5"/>
      <c r="I19" s="22" t="s">
        <v>302</v>
      </c>
      <c r="J19" s="68" t="b">
        <f>NOT(ISERROR(MATCH(A19,Index[Item],0)))</f>
        <v>1</v>
      </c>
    </row>
    <row r="20" spans="1:10" s="68" customFormat="1" x14ac:dyDescent="0.3">
      <c r="A20" s="1" t="s">
        <v>300</v>
      </c>
      <c r="B20" s="5">
        <f>0*$H20</f>
        <v>0</v>
      </c>
      <c r="C20" s="5">
        <f t="shared" ref="C20:G20" si="3">0*$H20</f>
        <v>0</v>
      </c>
      <c r="D20" s="5">
        <f t="shared" si="3"/>
        <v>0</v>
      </c>
      <c r="E20" s="5">
        <f t="shared" si="3"/>
        <v>0</v>
      </c>
      <c r="F20" s="5">
        <f t="shared" si="3"/>
        <v>0</v>
      </c>
      <c r="G20" s="5">
        <f t="shared" si="3"/>
        <v>0</v>
      </c>
      <c r="H20" s="5"/>
      <c r="I20" s="22" t="s">
        <v>299</v>
      </c>
      <c r="J20" s="68" t="b">
        <f>NOT(ISERROR(MATCH(A20,Index[Item],0)))</f>
        <v>1</v>
      </c>
    </row>
    <row r="21" spans="1:10" s="68" customFormat="1" x14ac:dyDescent="0.3">
      <c r="A21" s="1" t="s">
        <v>543</v>
      </c>
      <c r="B21" s="5">
        <f>28*$H21</f>
        <v>28</v>
      </c>
      <c r="C21" s="5">
        <f>6.7*$H21</f>
        <v>6.7</v>
      </c>
      <c r="D21" s="5">
        <f t="shared" ref="D21:D26" si="4">0.2*$H21</f>
        <v>0.2</v>
      </c>
      <c r="E21" s="5">
        <f>1.9*$H21</f>
        <v>1.9</v>
      </c>
      <c r="F21" s="5">
        <f>1.2*$H21</f>
        <v>1.2</v>
      </c>
      <c r="G21" s="5">
        <f>3.2*$H21</f>
        <v>3.2</v>
      </c>
      <c r="H21" s="5">
        <v>1</v>
      </c>
      <c r="I21" s="22" t="s">
        <v>96</v>
      </c>
      <c r="J21" s="68" t="b">
        <f>NOT(ISERROR(MATCH(A21,Index[Item],0)))</f>
        <v>1</v>
      </c>
    </row>
    <row r="22" spans="1:10" s="68" customFormat="1" x14ac:dyDescent="0.3">
      <c r="A22" s="1" t="s">
        <v>27</v>
      </c>
      <c r="B22" s="5">
        <f>28*$H22</f>
        <v>0</v>
      </c>
      <c r="C22" s="5">
        <f>6.7*$H22</f>
        <v>0</v>
      </c>
      <c r="D22" s="5">
        <f t="shared" si="4"/>
        <v>0</v>
      </c>
      <c r="E22" s="5">
        <f>0.9*$H22</f>
        <v>0</v>
      </c>
      <c r="F22" s="5">
        <f>1.2*$H22</f>
        <v>0</v>
      </c>
      <c r="G22" s="5">
        <f>4.4*$H22</f>
        <v>0</v>
      </c>
      <c r="H22" s="5"/>
      <c r="I22" s="22" t="s">
        <v>96</v>
      </c>
      <c r="J22" s="68" t="b">
        <f>NOT(ISERROR(MATCH(A22,Index[Item],0)))</f>
        <v>1</v>
      </c>
    </row>
    <row r="23" spans="1:10" s="68" customFormat="1" x14ac:dyDescent="0.3">
      <c r="A23" s="1" t="s">
        <v>98</v>
      </c>
      <c r="B23" s="5">
        <f>28*$H23</f>
        <v>0</v>
      </c>
      <c r="C23" s="5">
        <f>6.7*$H23</f>
        <v>0</v>
      </c>
      <c r="D23" s="5">
        <f t="shared" si="4"/>
        <v>0</v>
      </c>
      <c r="E23" s="5">
        <f>0.9*$H23</f>
        <v>0</v>
      </c>
      <c r="F23" s="5">
        <f>1.2*$H23</f>
        <v>0</v>
      </c>
      <c r="G23" s="5">
        <f>4.4*$H23</f>
        <v>0</v>
      </c>
      <c r="H23" s="5"/>
      <c r="I23" s="22" t="s">
        <v>96</v>
      </c>
      <c r="J23" s="68" t="b">
        <f>NOT(ISERROR(MATCH(A23,Index[Item],0)))</f>
        <v>1</v>
      </c>
    </row>
    <row r="24" spans="1:10" s="68" customFormat="1" x14ac:dyDescent="0.3">
      <c r="A24" s="1" t="s">
        <v>99</v>
      </c>
      <c r="B24" s="5">
        <f>27*$H24</f>
        <v>0</v>
      </c>
      <c r="C24" s="5">
        <f>6.3*$H24</f>
        <v>0</v>
      </c>
      <c r="D24" s="5">
        <f t="shared" si="4"/>
        <v>0</v>
      </c>
      <c r="E24" s="5">
        <f>1*$H24</f>
        <v>0</v>
      </c>
      <c r="F24" s="5">
        <f>0.9*$H24</f>
        <v>0</v>
      </c>
      <c r="G24" s="5">
        <f>0*$H24</f>
        <v>0</v>
      </c>
      <c r="H24" s="5"/>
      <c r="I24" s="22" t="s">
        <v>96</v>
      </c>
      <c r="J24" s="68" t="b">
        <f>NOT(ISERROR(MATCH(A24,Index[Item],0)))</f>
        <v>1</v>
      </c>
    </row>
    <row r="25" spans="1:10" s="68" customFormat="1" x14ac:dyDescent="0.3">
      <c r="A25" s="1" t="s">
        <v>102</v>
      </c>
      <c r="B25" s="5">
        <f>44*$H25</f>
        <v>0</v>
      </c>
      <c r="C25" s="5">
        <f>10*$H25</f>
        <v>0</v>
      </c>
      <c r="D25" s="5">
        <f t="shared" si="4"/>
        <v>0</v>
      </c>
      <c r="E25" s="5">
        <f>1.4*$H25</f>
        <v>0</v>
      </c>
      <c r="F25" s="5">
        <f>1.4*$H25</f>
        <v>0</v>
      </c>
      <c r="G25" s="5">
        <f>4.7*$H25</f>
        <v>0</v>
      </c>
      <c r="H25" s="5"/>
      <c r="I25" s="22" t="s">
        <v>96</v>
      </c>
      <c r="J25" s="68" t="b">
        <f>NOT(ISERROR(MATCH(A25,Index[Item],0)))</f>
        <v>1</v>
      </c>
    </row>
    <row r="26" spans="1:10" s="68" customFormat="1" x14ac:dyDescent="0.3">
      <c r="A26" s="1" t="s">
        <v>95</v>
      </c>
      <c r="B26" s="5">
        <f>32*$H26</f>
        <v>0</v>
      </c>
      <c r="C26" s="5">
        <f>7.3*$H26</f>
        <v>0</v>
      </c>
      <c r="D26" s="5">
        <f t="shared" si="4"/>
        <v>0</v>
      </c>
      <c r="E26" s="5">
        <f>1.8*$H26</f>
        <v>0</v>
      </c>
      <c r="F26" s="5">
        <f t="shared" ref="F26" si="5">2.7*$H26</f>
        <v>0</v>
      </c>
      <c r="G26" s="5">
        <f>2.3*$H26</f>
        <v>0</v>
      </c>
      <c r="H26" s="5"/>
      <c r="I26" s="22" t="s">
        <v>96</v>
      </c>
      <c r="J26" s="68" t="b">
        <f>NOT(ISERROR(MATCH(A26,Index[Item],0)))</f>
        <v>1</v>
      </c>
    </row>
    <row r="27" spans="1:10" s="68" customFormat="1" x14ac:dyDescent="0.3">
      <c r="A27" s="1" t="s">
        <v>101</v>
      </c>
      <c r="B27" s="5">
        <f>29*$H27</f>
        <v>0</v>
      </c>
      <c r="C27" s="5">
        <f>6.5*$H27</f>
        <v>0</v>
      </c>
      <c r="D27" s="5">
        <f>0.4*$H27</f>
        <v>0</v>
      </c>
      <c r="E27" s="5">
        <f>0.9*$H27</f>
        <v>0</v>
      </c>
      <c r="F27" s="5">
        <f>2.8*$H27</f>
        <v>0</v>
      </c>
      <c r="G27" s="5">
        <f>4.1*$H27</f>
        <v>0</v>
      </c>
      <c r="H27" s="5"/>
      <c r="I27" s="22" t="s">
        <v>96</v>
      </c>
      <c r="J27" s="68" t="b">
        <f>NOT(ISERROR(MATCH(A27,Index[Item],0)))</f>
        <v>1</v>
      </c>
    </row>
    <row r="28" spans="1:10" s="68" customFormat="1" x14ac:dyDescent="0.3">
      <c r="A28" s="1" t="s">
        <v>100</v>
      </c>
      <c r="B28" s="5">
        <f>27*$H28</f>
        <v>0</v>
      </c>
      <c r="C28" s="5">
        <f>5.4*$H28</f>
        <v>0</v>
      </c>
      <c r="D28" s="5">
        <f>0.5*$H28</f>
        <v>0</v>
      </c>
      <c r="E28" s="5">
        <f>1.7*$H28</f>
        <v>0</v>
      </c>
      <c r="F28" s="5">
        <f>3.4*$H28</f>
        <v>0</v>
      </c>
      <c r="G28" s="5">
        <f>2*$H28</f>
        <v>0</v>
      </c>
      <c r="H28" s="5"/>
      <c r="I28" s="22" t="s">
        <v>96</v>
      </c>
      <c r="J28" s="68" t="b">
        <f>NOT(ISERROR(MATCH(A28,Index[Item],0)))</f>
        <v>1</v>
      </c>
    </row>
    <row r="29" spans="1:10" s="68" customFormat="1" x14ac:dyDescent="0.3">
      <c r="A29" s="1" t="s">
        <v>108</v>
      </c>
      <c r="B29" s="5">
        <f>34*$H29</f>
        <v>0</v>
      </c>
      <c r="C29" s="5">
        <f>6.6*$H29</f>
        <v>0</v>
      </c>
      <c r="D29" s="5">
        <f>0.4*$H29</f>
        <v>0</v>
      </c>
      <c r="E29" s="5">
        <f>2.8*$H29</f>
        <v>0</v>
      </c>
      <c r="F29" s="5">
        <f>2.6*$H29</f>
        <v>0</v>
      </c>
      <c r="G29" s="5">
        <f>1.7*$H29</f>
        <v>0</v>
      </c>
      <c r="H29" s="5"/>
      <c r="I29" s="22" t="s">
        <v>96</v>
      </c>
      <c r="J29" s="68" t="b">
        <f>NOT(ISERROR(MATCH(A29,Index[Item],0)))</f>
        <v>1</v>
      </c>
    </row>
    <row r="30" spans="1:10" s="68" customFormat="1" x14ac:dyDescent="0.3">
      <c r="A30" s="1" t="s">
        <v>109</v>
      </c>
      <c r="B30" s="5">
        <f>35*$H30</f>
        <v>0</v>
      </c>
      <c r="C30" s="5">
        <f>7.9*$H30</f>
        <v>0</v>
      </c>
      <c r="D30" s="5">
        <f>0.3*$H30</f>
        <v>0</v>
      </c>
      <c r="E30" s="5">
        <f>1.9*$H30</f>
        <v>0</v>
      </c>
      <c r="F30" s="5">
        <f>3.2*$H30</f>
        <v>0</v>
      </c>
      <c r="G30" s="5">
        <f>3.6*$H30</f>
        <v>0</v>
      </c>
      <c r="H30" s="5"/>
      <c r="I30" s="22" t="s">
        <v>96</v>
      </c>
      <c r="J30" s="68" t="b">
        <f>NOT(ISERROR(MATCH(A30,Index[Item],0)))</f>
        <v>1</v>
      </c>
    </row>
    <row r="31" spans="1:10" s="68" customFormat="1" x14ac:dyDescent="0.3">
      <c r="A31" s="1" t="s">
        <v>110</v>
      </c>
      <c r="B31" s="5">
        <f>18*$H31</f>
        <v>0</v>
      </c>
      <c r="C31" s="5">
        <f>4*$H31</f>
        <v>0</v>
      </c>
      <c r="D31" s="5">
        <f>0.2*$H31</f>
        <v>0</v>
      </c>
      <c r="E31" s="5">
        <f>0.8*$H31</f>
        <v>0</v>
      </c>
      <c r="F31" s="5">
        <f>1.6*$H31</f>
        <v>0</v>
      </c>
      <c r="G31" s="5">
        <f>2.4*$H31</f>
        <v>0</v>
      </c>
      <c r="H31" s="5"/>
      <c r="I31" s="22" t="s">
        <v>96</v>
      </c>
      <c r="J31" s="68" t="b">
        <f>NOT(ISERROR(MATCH(A31,Index[Item],0)))</f>
        <v>1</v>
      </c>
    </row>
    <row r="32" spans="1:10" s="68" customFormat="1" x14ac:dyDescent="0.3">
      <c r="A32" s="1" t="s">
        <v>111</v>
      </c>
      <c r="B32" s="5">
        <f>4.5*$H32</f>
        <v>0</v>
      </c>
      <c r="C32" s="5">
        <f>1*$H32</f>
        <v>0</v>
      </c>
      <c r="D32" s="5">
        <f>0*$H32</f>
        <v>0</v>
      </c>
      <c r="E32" s="5">
        <f>0.2*$H32</f>
        <v>0</v>
      </c>
      <c r="F32" s="5">
        <f>0.1*$H32</f>
        <v>0</v>
      </c>
      <c r="G32" s="5">
        <f>0*$H32</f>
        <v>0</v>
      </c>
      <c r="H32" s="5"/>
      <c r="I32" s="22" t="s">
        <v>112</v>
      </c>
      <c r="J32" s="68" t="b">
        <f>NOT(ISERROR(MATCH(A32,Index[Item],0)))</f>
        <v>1</v>
      </c>
    </row>
    <row r="33" spans="1:10" s="68" customFormat="1" x14ac:dyDescent="0.3">
      <c r="A33" s="1" t="s">
        <v>115</v>
      </c>
      <c r="B33" s="5">
        <f>25*$H33</f>
        <v>0</v>
      </c>
      <c r="C33" s="5">
        <f>5*$H33</f>
        <v>0</v>
      </c>
      <c r="D33" s="5">
        <f>0*$H33</f>
        <v>0</v>
      </c>
      <c r="E33" s="5">
        <f>0*$H33</f>
        <v>0</v>
      </c>
      <c r="F33" s="5">
        <f>2*$H33</f>
        <v>0</v>
      </c>
      <c r="G33" s="5">
        <f>1*$H33</f>
        <v>0</v>
      </c>
      <c r="H33" s="5"/>
      <c r="I33" s="22" t="s">
        <v>116</v>
      </c>
      <c r="J33" s="68" t="b">
        <f>NOT(ISERROR(MATCH(A33,Index[Item],0)))</f>
        <v>1</v>
      </c>
    </row>
    <row r="34" spans="1:10" s="68" customFormat="1" ht="37.5" x14ac:dyDescent="0.3">
      <c r="A34" s="1" t="s">
        <v>117</v>
      </c>
      <c r="B34" s="5">
        <f>50*$H34</f>
        <v>0</v>
      </c>
      <c r="C34" s="5">
        <f>10*$H34</f>
        <v>0</v>
      </c>
      <c r="D34" s="5">
        <f t="shared" ref="D34:D37" si="6">0*$H34</f>
        <v>0</v>
      </c>
      <c r="E34" s="5">
        <f>3*$H34</f>
        <v>0</v>
      </c>
      <c r="F34" s="5">
        <f>3*$H34</f>
        <v>0</v>
      </c>
      <c r="G34" s="5">
        <f>4*$H34</f>
        <v>0</v>
      </c>
      <c r="H34" s="5"/>
      <c r="I34" s="22" t="s">
        <v>118</v>
      </c>
      <c r="J34" s="68" t="b">
        <f>NOT(ISERROR(MATCH(A34,Index[Item],0)))</f>
        <v>1</v>
      </c>
    </row>
    <row r="35" spans="1:10" s="68" customFormat="1" ht="37.5" x14ac:dyDescent="0.3">
      <c r="A35" s="1" t="s">
        <v>119</v>
      </c>
      <c r="B35" s="5">
        <f>60*$H35</f>
        <v>0</v>
      </c>
      <c r="C35" s="5">
        <f>11*$H35</f>
        <v>0</v>
      </c>
      <c r="D35" s="5">
        <f t="shared" si="6"/>
        <v>0</v>
      </c>
      <c r="E35" s="5">
        <f>2*$H35</f>
        <v>0</v>
      </c>
      <c r="F35" s="5">
        <f>3*$H35</f>
        <v>0</v>
      </c>
      <c r="G35" s="5">
        <f>4*$H35</f>
        <v>0</v>
      </c>
      <c r="H35" s="5"/>
      <c r="I35" s="22" t="s">
        <v>118</v>
      </c>
      <c r="J35" s="68" t="b">
        <f>NOT(ISERROR(MATCH(A35,Index[Item],0)))</f>
        <v>1</v>
      </c>
    </row>
    <row r="36" spans="1:10" s="68" customFormat="1" ht="56.25" x14ac:dyDescent="0.3">
      <c r="A36" s="1" t="s">
        <v>120</v>
      </c>
      <c r="B36" s="5">
        <f>35*$H36</f>
        <v>0</v>
      </c>
      <c r="C36" s="5">
        <f>5*$H36</f>
        <v>0</v>
      </c>
      <c r="D36" s="5">
        <f>0*$H36</f>
        <v>0</v>
      </c>
      <c r="E36" s="5">
        <f>1*$H36</f>
        <v>0</v>
      </c>
      <c r="F36" s="5">
        <f>2*$H36</f>
        <v>0</v>
      </c>
      <c r="G36" s="5">
        <f>3*$H36</f>
        <v>0</v>
      </c>
      <c r="H36" s="5"/>
      <c r="I36" s="22" t="s">
        <v>121</v>
      </c>
      <c r="J36" s="68" t="b">
        <f>NOT(ISERROR(MATCH(A36,Index[Item],0)))</f>
        <v>1</v>
      </c>
    </row>
    <row r="37" spans="1:10" s="68" customFormat="1" ht="56.25" x14ac:dyDescent="0.3">
      <c r="A37" s="1" t="s">
        <v>122</v>
      </c>
      <c r="B37" s="5">
        <f>40*$H37</f>
        <v>0</v>
      </c>
      <c r="C37" s="5">
        <f>8*$H37</f>
        <v>0</v>
      </c>
      <c r="D37" s="5">
        <f t="shared" si="6"/>
        <v>0</v>
      </c>
      <c r="E37" s="5">
        <f>1*$H37</f>
        <v>0</v>
      </c>
      <c r="F37" s="5">
        <f>2*$H37</f>
        <v>0</v>
      </c>
      <c r="G37" s="5">
        <f>3*$H37</f>
        <v>0</v>
      </c>
      <c r="H37" s="5"/>
      <c r="I37" s="22" t="s">
        <v>123</v>
      </c>
      <c r="J37" s="68" t="b">
        <f>NOT(ISERROR(MATCH(A37,Index[Item],0)))</f>
        <v>1</v>
      </c>
    </row>
    <row r="38" spans="1:10" s="68" customFormat="1" x14ac:dyDescent="0.3">
      <c r="A38" s="1" t="s">
        <v>232</v>
      </c>
      <c r="B38" s="5">
        <f>72*$H38</f>
        <v>0</v>
      </c>
      <c r="C38" s="5">
        <f>0.4*$H38</f>
        <v>0</v>
      </c>
      <c r="D38" s="5">
        <f>4.8*$H38</f>
        <v>0</v>
      </c>
      <c r="E38" s="5">
        <f>6.3*$H38</f>
        <v>0</v>
      </c>
      <c r="F38" s="5">
        <f t="shared" ref="F38" si="7">0*$H38</f>
        <v>0</v>
      </c>
      <c r="G38" s="5">
        <f>0.2*$H38</f>
        <v>0</v>
      </c>
      <c r="H38" s="5"/>
      <c r="I38" s="22"/>
      <c r="J38" s="68" t="b">
        <f>NOT(ISERROR(MATCH(A38,Index[Item],0)))</f>
        <v>1</v>
      </c>
    </row>
    <row r="39" spans="1:10" s="68" customFormat="1" x14ac:dyDescent="0.3">
      <c r="A39" s="1" t="s">
        <v>481</v>
      </c>
      <c r="B39" s="5">
        <f>Table273479[[#Totals],[Calories]]</f>
        <v>14</v>
      </c>
      <c r="C39" s="5">
        <f>Table273479[[#Totals],[Carbs]]</f>
        <v>3.6</v>
      </c>
      <c r="D39" s="5">
        <f>Table273479[[#Totals],[Fat]]</f>
        <v>0.2</v>
      </c>
      <c r="E39" s="5">
        <f>Table273479[[#Totals],[Protein]]</f>
        <v>2.4</v>
      </c>
      <c r="F39" s="5">
        <f>Table273479[[#Totals],[Fiber]]</f>
        <v>1.2</v>
      </c>
      <c r="G39" s="5">
        <f>Table273479[[#Totals],[Sugar]]</f>
        <v>0</v>
      </c>
      <c r="H39" s="5">
        <f>Table273479[[#Totals],[Serving by TSP]]</f>
        <v>4</v>
      </c>
      <c r="I39" s="22"/>
      <c r="J39" s="68" t="b">
        <f>NOT(ISERROR(MATCH(A39,Index[Item],0)))</f>
        <v>1</v>
      </c>
    </row>
    <row r="40" spans="1:10" s="68" customFormat="1" x14ac:dyDescent="0.3">
      <c r="A40" s="1" t="s">
        <v>544</v>
      </c>
      <c r="B40" s="5">
        <f>SUBTOTAL(109,Soba[Calories])/Soba[[#Totals],[Measurement]]</f>
        <v>359.90000000000003</v>
      </c>
      <c r="C40" s="5">
        <f>SUBTOTAL(109,Soba[Carbs])/Soba[[#Totals],[Measurement]]</f>
        <v>61.63</v>
      </c>
      <c r="D40" s="5">
        <f>SUBTOTAL(109,Soba[[Fat ]])/Soba[[#Totals],[Measurement]]</f>
        <v>7.0200000000000005</v>
      </c>
      <c r="E40" s="5">
        <f>SUBTOTAL(109,Soba[Protein])/Soba[[#Totals],[Measurement]]</f>
        <v>18.63</v>
      </c>
      <c r="F40" s="5">
        <f>SUBTOTAL(109,Soba[Fiber])/Soba[[#Totals],[Measurement]]</f>
        <v>8.4</v>
      </c>
      <c r="G40" s="5">
        <f>SUBTOTAL(109,Soba[Sugar])/Soba[[#Totals],[Measurement]]</f>
        <v>9.1999999999999993</v>
      </c>
      <c r="H40" s="5">
        <f>SUBTOTAL(109,Soba[Servings])/Soba[[#Totals],[Measurement]]</f>
        <v>7.16</v>
      </c>
      <c r="I40" s="22" t="s">
        <v>553</v>
      </c>
      <c r="J40" s="2"/>
    </row>
    <row r="41" spans="1:10" s="68" customFormat="1" x14ac:dyDescent="0.3">
      <c r="A41" s="1"/>
      <c r="B41" s="5"/>
      <c r="C41" s="5"/>
      <c r="D41" s="5"/>
      <c r="E41" s="5"/>
      <c r="F41" s="5"/>
      <c r="G41" s="5"/>
      <c r="H41" s="5"/>
    </row>
    <row r="42" spans="1:10" s="68" customFormat="1" x14ac:dyDescent="0.3">
      <c r="A42" s="43" t="s">
        <v>0</v>
      </c>
      <c r="B42" s="44" t="s">
        <v>1</v>
      </c>
      <c r="C42" s="44" t="s">
        <v>2</v>
      </c>
      <c r="D42" s="44" t="s">
        <v>3</v>
      </c>
      <c r="E42" s="44" t="s">
        <v>4</v>
      </c>
      <c r="F42" s="44" t="s">
        <v>5</v>
      </c>
      <c r="G42" s="44" t="s">
        <v>6</v>
      </c>
      <c r="H42" s="44" t="s">
        <v>7</v>
      </c>
    </row>
    <row r="43" spans="1:10" s="68" customFormat="1" ht="42.75" customHeight="1" x14ac:dyDescent="0.3">
      <c r="A43" s="45" t="s">
        <v>8</v>
      </c>
      <c r="B43" s="46">
        <f>1.6*$H43</f>
        <v>0</v>
      </c>
      <c r="C43" s="46">
        <f>0.3*$H43</f>
        <v>0</v>
      </c>
      <c r="D43" s="46">
        <f>0*$H43</f>
        <v>0</v>
      </c>
      <c r="E43" s="46">
        <f>0.2*$H43</f>
        <v>0</v>
      </c>
      <c r="F43" s="46">
        <f>0.3*$H43</f>
        <v>0</v>
      </c>
      <c r="G43" s="46">
        <f>0*$H43</f>
        <v>0</v>
      </c>
      <c r="H43" s="47"/>
    </row>
    <row r="44" spans="1:10" s="68" customFormat="1" x14ac:dyDescent="0.3">
      <c r="A44" s="45" t="s">
        <v>9</v>
      </c>
      <c r="B44" s="46">
        <f>5.8*$H44</f>
        <v>5.8</v>
      </c>
      <c r="C44" s="46">
        <f>1.5*$H44</f>
        <v>1.5</v>
      </c>
      <c r="D44" s="46">
        <f>0.1*$H44</f>
        <v>0.1</v>
      </c>
      <c r="E44" s="46">
        <f>0.2*$H44</f>
        <v>0.2</v>
      </c>
      <c r="F44" s="46">
        <f>0.6*$H44</f>
        <v>0.6</v>
      </c>
      <c r="G44" s="46">
        <f>0*$H44</f>
        <v>0</v>
      </c>
      <c r="H44" s="47">
        <v>1</v>
      </c>
    </row>
    <row r="45" spans="1:10" s="68" customFormat="1" x14ac:dyDescent="0.3">
      <c r="A45" s="41" t="s">
        <v>10</v>
      </c>
      <c r="B45" s="32">
        <f>7.6*$H45</f>
        <v>0</v>
      </c>
      <c r="C45" s="32">
        <f>1.3*$H45</f>
        <v>0</v>
      </c>
      <c r="D45" s="32">
        <f>0.4*$H45</f>
        <v>0</v>
      </c>
      <c r="E45" s="32">
        <f>0.4*$H45</f>
        <v>0</v>
      </c>
      <c r="F45" s="32">
        <f>0.9*$H45</f>
        <v>0</v>
      </c>
      <c r="G45" s="32">
        <f>0.2*$H45</f>
        <v>0</v>
      </c>
      <c r="H45" s="42"/>
    </row>
    <row r="46" spans="1:10" x14ac:dyDescent="0.3">
      <c r="A46" s="45" t="s">
        <v>11</v>
      </c>
      <c r="B46" s="46">
        <f>48*$H46</f>
        <v>0</v>
      </c>
      <c r="C46" s="46">
        <f>8*$H46</f>
        <v>0</v>
      </c>
      <c r="D46" s="46">
        <f>0*$H46</f>
        <v>0</v>
      </c>
      <c r="E46" s="46">
        <f>0*$H46</f>
        <v>0</v>
      </c>
      <c r="F46" s="46">
        <f>0*$H46</f>
        <v>0</v>
      </c>
      <c r="G46" s="46">
        <f>0*$H46</f>
        <v>0</v>
      </c>
      <c r="H46" s="47"/>
      <c r="I46" s="2"/>
    </row>
    <row r="47" spans="1:10" x14ac:dyDescent="0.3">
      <c r="A47" s="41" t="s">
        <v>12</v>
      </c>
      <c r="B47" s="32">
        <f>6.4*$H47</f>
        <v>0</v>
      </c>
      <c r="C47" s="32">
        <f>2.1*$H47</f>
        <v>0</v>
      </c>
      <c r="D47" s="32">
        <f>0*$H46</f>
        <v>0</v>
      </c>
      <c r="E47" s="32">
        <f>0.1*$H47</f>
        <v>0</v>
      </c>
      <c r="F47" s="32">
        <f>1.4*$H47</f>
        <v>0</v>
      </c>
      <c r="G47" s="32">
        <f>0.1*$H47</f>
        <v>0</v>
      </c>
      <c r="H47" s="42"/>
      <c r="I47" s="2"/>
    </row>
    <row r="48" spans="1:10" x14ac:dyDescent="0.3">
      <c r="A48" s="45" t="s">
        <v>13</v>
      </c>
      <c r="B48" s="46">
        <f>1.7*$H48</f>
        <v>0</v>
      </c>
      <c r="C48" s="46">
        <f>0.3*$H48</f>
        <v>0</v>
      </c>
      <c r="D48" s="46">
        <f>0*$H48</f>
        <v>0</v>
      </c>
      <c r="E48" s="46">
        <f>0.1*$H48</f>
        <v>0</v>
      </c>
      <c r="F48" s="46">
        <f>0.1*$H48</f>
        <v>0</v>
      </c>
      <c r="G48" s="46">
        <f>0*$H48</f>
        <v>0</v>
      </c>
      <c r="H48" s="47"/>
      <c r="I48" s="2"/>
    </row>
    <row r="49" spans="1:9" ht="37.5" x14ac:dyDescent="0.3">
      <c r="A49" s="41" t="s">
        <v>14</v>
      </c>
      <c r="B49" s="32">
        <f>5.7*$H49</f>
        <v>0</v>
      </c>
      <c r="C49" s="32">
        <f>1*$H49</f>
        <v>0</v>
      </c>
      <c r="D49" s="32">
        <f>0*$H49</f>
        <v>0</v>
      </c>
      <c r="E49" s="32">
        <f>0.2*$H49</f>
        <v>0</v>
      </c>
      <c r="F49" s="32">
        <f>0.5*$H49</f>
        <v>0</v>
      </c>
      <c r="G49" s="32">
        <f>0.2*$H49</f>
        <v>0</v>
      </c>
      <c r="H49" s="42"/>
      <c r="I49" s="2"/>
    </row>
    <row r="50" spans="1:9" x14ac:dyDescent="0.3">
      <c r="A50" s="45" t="s">
        <v>15</v>
      </c>
      <c r="B50" s="46">
        <f>7.6*$H50</f>
        <v>0</v>
      </c>
      <c r="C50" s="46">
        <f>0.9*$H50</f>
        <v>0</v>
      </c>
      <c r="D50" s="46">
        <f>0.5*$H50</f>
        <v>0</v>
      </c>
      <c r="E50" s="46">
        <f>0.4*$H50</f>
        <v>0</v>
      </c>
      <c r="F50" s="46">
        <f>0.2*$H50</f>
        <v>0</v>
      </c>
      <c r="G50" s="46">
        <f>0.1*$H50</f>
        <v>0</v>
      </c>
      <c r="H50" s="47"/>
      <c r="I50" s="2"/>
    </row>
    <row r="51" spans="1:9" x14ac:dyDescent="0.3">
      <c r="A51" s="41" t="s">
        <v>16</v>
      </c>
      <c r="B51" s="32">
        <f>(36/5)*$H51</f>
        <v>0</v>
      </c>
      <c r="C51" s="32">
        <f>(5/5)*$H51</f>
        <v>0</v>
      </c>
      <c r="D51" s="32">
        <f>(1.2/5)*$H51</f>
        <v>0</v>
      </c>
      <c r="E51" s="32">
        <f>(1.3/5)*$H51</f>
        <v>0</v>
      </c>
      <c r="F51" s="32">
        <f>(3/5)*$H51</f>
        <v>0</v>
      </c>
      <c r="G51" s="32">
        <f>(0.2/5)*$H51</f>
        <v>0</v>
      </c>
      <c r="H51" s="42"/>
      <c r="I51" s="2"/>
    </row>
    <row r="52" spans="1:9" x14ac:dyDescent="0.3">
      <c r="A52" s="45" t="s">
        <v>17</v>
      </c>
      <c r="B52" s="46">
        <f>5*$H52</f>
        <v>0</v>
      </c>
      <c r="C52" s="46">
        <f>1*$H52</f>
        <v>0</v>
      </c>
      <c r="D52" s="46">
        <f>0*$H52</f>
        <v>0</v>
      </c>
      <c r="E52" s="46">
        <f>0*$H52</f>
        <v>0</v>
      </c>
      <c r="F52" s="46">
        <f>0*$H52</f>
        <v>0</v>
      </c>
      <c r="G52" s="46">
        <f>0*$H52</f>
        <v>0</v>
      </c>
      <c r="H52" s="47"/>
      <c r="I52" s="2"/>
    </row>
    <row r="53" spans="1:9" x14ac:dyDescent="0.3">
      <c r="A53" s="41" t="s">
        <v>18</v>
      </c>
      <c r="B53" s="32">
        <f>10*$H53</f>
        <v>0</v>
      </c>
      <c r="C53" s="32">
        <f>2.3*$H53</f>
        <v>0</v>
      </c>
      <c r="D53" s="32">
        <f>0*$H53</f>
        <v>0</v>
      </c>
      <c r="E53" s="32">
        <f>0.5*$H53</f>
        <v>0</v>
      </c>
      <c r="F53" s="32">
        <f>0.3*$H53</f>
        <v>0</v>
      </c>
      <c r="G53" s="32">
        <f>0.1*$H53</f>
        <v>0</v>
      </c>
      <c r="H53" s="42"/>
      <c r="I53" s="2"/>
    </row>
    <row r="54" spans="1:9" x14ac:dyDescent="0.3">
      <c r="A54" s="45" t="s">
        <v>19</v>
      </c>
      <c r="B54" s="46">
        <f>1.2*$H54</f>
        <v>1.2</v>
      </c>
      <c r="C54" s="46">
        <f>0.3*$H54</f>
        <v>0.3</v>
      </c>
      <c r="D54" s="46">
        <f>0*$H54</f>
        <v>0</v>
      </c>
      <c r="E54" s="46">
        <f>1*$H54</f>
        <v>1</v>
      </c>
      <c r="F54" s="46">
        <f>0*$H54</f>
        <v>0</v>
      </c>
      <c r="G54" s="46">
        <f>0*$H54</f>
        <v>0</v>
      </c>
      <c r="H54" s="47">
        <v>1</v>
      </c>
      <c r="I54" s="2"/>
    </row>
    <row r="55" spans="1:9" x14ac:dyDescent="0.3">
      <c r="A55" s="45" t="s">
        <v>20</v>
      </c>
      <c r="B55" s="46">
        <f>6*$H55</f>
        <v>0</v>
      </c>
      <c r="C55" s="46">
        <f>1.3*$H55</f>
        <v>0</v>
      </c>
      <c r="D55" s="46">
        <f>0.1*$H55</f>
        <v>0</v>
      </c>
      <c r="E55" s="46">
        <f>0.2*$H55</f>
        <v>0</v>
      </c>
      <c r="F55" s="46">
        <f>0.3*$H55</f>
        <v>0</v>
      </c>
      <c r="G55" s="46">
        <f>0.1*$H55</f>
        <v>0</v>
      </c>
      <c r="H55" s="47"/>
      <c r="I55" s="2"/>
    </row>
    <row r="56" spans="1:9" x14ac:dyDescent="0.3">
      <c r="A56" s="41" t="s">
        <v>21</v>
      </c>
      <c r="B56" s="32">
        <f>2.2*$H56</f>
        <v>0</v>
      </c>
      <c r="C56" s="32">
        <f>0.5*$H56</f>
        <v>0</v>
      </c>
      <c r="D56" s="32">
        <f>0.1*$H56</f>
        <v>0</v>
      </c>
      <c r="E56" s="32">
        <f>0.1*$H56</f>
        <v>0</v>
      </c>
      <c r="F56" s="32">
        <f>0.3*$H56</f>
        <v>0</v>
      </c>
      <c r="G56" s="32">
        <f>0*$H56</f>
        <v>0</v>
      </c>
      <c r="H56" s="42"/>
      <c r="I56" s="2"/>
    </row>
    <row r="57" spans="1:9" x14ac:dyDescent="0.3">
      <c r="A57" s="45" t="s">
        <v>22</v>
      </c>
      <c r="B57" s="46">
        <f>0*$H57</f>
        <v>0</v>
      </c>
      <c r="C57" s="46">
        <f>0*$H57</f>
        <v>0</v>
      </c>
      <c r="D57" s="46">
        <f>0*$H57</f>
        <v>0</v>
      </c>
      <c r="E57" s="46">
        <f>0*$H57</f>
        <v>0</v>
      </c>
      <c r="F57" s="46">
        <f>0*$H57</f>
        <v>0</v>
      </c>
      <c r="G57" s="46">
        <f>0*$H57</f>
        <v>0</v>
      </c>
      <c r="H57" s="47">
        <v>1</v>
      </c>
      <c r="I57" s="2"/>
    </row>
    <row r="58" spans="1:9" x14ac:dyDescent="0.3">
      <c r="A58" s="41" t="s">
        <v>23</v>
      </c>
      <c r="B58" s="32">
        <f>8.2*$H58</f>
        <v>0</v>
      </c>
      <c r="C58" s="32">
        <f>1.9*$H58</f>
        <v>0</v>
      </c>
      <c r="D58" s="32">
        <f>0*$H58</f>
        <v>0</v>
      </c>
      <c r="E58" s="32">
        <f>0.3*$H58</f>
        <v>0</v>
      </c>
      <c r="F58" s="32">
        <f>0.4*$H58</f>
        <v>0</v>
      </c>
      <c r="G58" s="32">
        <f>0.2*$H58</f>
        <v>0</v>
      </c>
      <c r="H58" s="42"/>
      <c r="I58" s="2"/>
    </row>
    <row r="59" spans="1:9" x14ac:dyDescent="0.3">
      <c r="A59" s="45" t="s">
        <v>24</v>
      </c>
      <c r="B59" s="46">
        <f>2.7*$H59</f>
        <v>0</v>
      </c>
      <c r="C59" s="46">
        <f>0.7*$H59</f>
        <v>0</v>
      </c>
      <c r="D59" s="46">
        <f>0*$H59</f>
        <v>0</v>
      </c>
      <c r="E59" s="46">
        <f>0.1*$H59</f>
        <v>0</v>
      </c>
      <c r="F59" s="46">
        <f>0.4*$H59</f>
        <v>0</v>
      </c>
      <c r="G59" s="46">
        <f>0*$H59</f>
        <v>0</v>
      </c>
      <c r="H59" s="47"/>
      <c r="I59" s="2"/>
    </row>
    <row r="60" spans="1:9" x14ac:dyDescent="0.3">
      <c r="A60" s="41" t="s">
        <v>25</v>
      </c>
      <c r="B60" s="32">
        <f>6.5*$H60</f>
        <v>0</v>
      </c>
      <c r="C60" s="32">
        <f>1.2*$H60</f>
        <v>0</v>
      </c>
      <c r="D60" s="32">
        <f>0.3*$H60</f>
        <v>0</v>
      </c>
      <c r="E60" s="32">
        <f>0.3*$H60</f>
        <v>0</v>
      </c>
      <c r="F60" s="32">
        <f>0.8*$H60</f>
        <v>0</v>
      </c>
      <c r="G60" s="32">
        <f>0.2*$H60</f>
        <v>0</v>
      </c>
      <c r="H60" s="42"/>
      <c r="I60" s="2"/>
    </row>
    <row r="61" spans="1:9" x14ac:dyDescent="0.3">
      <c r="A61" s="45" t="s">
        <v>26</v>
      </c>
      <c r="B61" s="46">
        <f>1.5*$H61</f>
        <v>0</v>
      </c>
      <c r="C61" s="46">
        <f>0.3*$H61</f>
        <v>0</v>
      </c>
      <c r="D61" s="46">
        <f>0*$H61</f>
        <v>0</v>
      </c>
      <c r="E61" s="46">
        <f>0.1*$H61</f>
        <v>0</v>
      </c>
      <c r="F61" s="46">
        <f>0.1*$H61</f>
        <v>0</v>
      </c>
      <c r="G61" s="46">
        <f>0*$H61</f>
        <v>0</v>
      </c>
      <c r="H61" s="47"/>
      <c r="I61" s="2"/>
    </row>
    <row r="62" spans="1:9" x14ac:dyDescent="0.3">
      <c r="A62" s="41" t="s">
        <v>27</v>
      </c>
      <c r="B62" s="32">
        <f>5.7*$H62</f>
        <v>0</v>
      </c>
      <c r="C62" s="32">
        <f>1*$H62</f>
        <v>0</v>
      </c>
      <c r="D62" s="32">
        <f>0.3*$H62</f>
        <v>0</v>
      </c>
      <c r="E62" s="32">
        <f>0.2*$H62</f>
        <v>0</v>
      </c>
      <c r="F62" s="32">
        <f>0.5*$H62</f>
        <v>0</v>
      </c>
      <c r="G62" s="32">
        <f>0.2*$H62</f>
        <v>0</v>
      </c>
      <c r="H62" s="42"/>
      <c r="I62" s="2"/>
    </row>
    <row r="63" spans="1:9" x14ac:dyDescent="0.3">
      <c r="A63" s="45" t="s">
        <v>28</v>
      </c>
      <c r="B63" s="46">
        <f t="shared" ref="B63:G63" si="8">0*$H63</f>
        <v>0</v>
      </c>
      <c r="C63" s="46">
        <f t="shared" si="8"/>
        <v>0</v>
      </c>
      <c r="D63" s="46">
        <f t="shared" si="8"/>
        <v>0</v>
      </c>
      <c r="E63" s="46">
        <f t="shared" si="8"/>
        <v>0</v>
      </c>
      <c r="F63" s="46">
        <f t="shared" si="8"/>
        <v>0</v>
      </c>
      <c r="G63" s="46">
        <f t="shared" si="8"/>
        <v>0</v>
      </c>
      <c r="H63" s="47"/>
      <c r="I63" s="2"/>
    </row>
    <row r="64" spans="1:9" x14ac:dyDescent="0.3">
      <c r="A64" s="41" t="s">
        <v>29</v>
      </c>
      <c r="B64" s="32">
        <f>2.5*$H64</f>
        <v>0</v>
      </c>
      <c r="C64" s="32">
        <f>0.6*$H64</f>
        <v>0</v>
      </c>
      <c r="D64" s="32">
        <f>0.1*$H64</f>
        <v>0</v>
      </c>
      <c r="E64" s="32">
        <f>0.1*$H64</f>
        <v>0</v>
      </c>
      <c r="F64" s="32">
        <f>0.3*$H64</f>
        <v>0</v>
      </c>
      <c r="G64" s="32">
        <f>0*$H64</f>
        <v>0</v>
      </c>
      <c r="H64" s="42"/>
      <c r="I64" s="2"/>
    </row>
    <row r="65" spans="1:9" x14ac:dyDescent="0.3">
      <c r="A65" s="41" t="s">
        <v>31</v>
      </c>
      <c r="B65" s="32">
        <f>0*$H65</f>
        <v>0</v>
      </c>
      <c r="C65" s="32">
        <f>0*$H65</f>
        <v>0</v>
      </c>
      <c r="D65" s="32">
        <f>0*$H65</f>
        <v>0</v>
      </c>
      <c r="E65" s="32">
        <f>0*$H65</f>
        <v>0</v>
      </c>
      <c r="F65" s="32">
        <f>0*$H65</f>
        <v>0</v>
      </c>
      <c r="G65" s="32">
        <f>0*$H65</f>
        <v>0</v>
      </c>
      <c r="H65" s="42"/>
      <c r="I65" s="2"/>
    </row>
    <row r="66" spans="1:9" x14ac:dyDescent="0.3">
      <c r="A66" s="41" t="s">
        <v>30</v>
      </c>
      <c r="B66" s="32">
        <f>4*$H66</f>
        <v>0</v>
      </c>
      <c r="C66" s="32">
        <f>1*$H66</f>
        <v>0</v>
      </c>
      <c r="D66" s="32">
        <f>0*$H66</f>
        <v>0</v>
      </c>
      <c r="E66" s="32">
        <f>0*$H66</f>
        <v>0</v>
      </c>
      <c r="F66" s="32">
        <f>0*$H66</f>
        <v>0</v>
      </c>
      <c r="G66" s="32">
        <f>0*$H66</f>
        <v>0</v>
      </c>
      <c r="H66" s="42"/>
      <c r="I66" s="2"/>
    </row>
    <row r="67" spans="1:9" x14ac:dyDescent="0.3">
      <c r="A67" s="41" t="s">
        <v>33</v>
      </c>
      <c r="B67" s="32">
        <f>7.1*$H67</f>
        <v>0</v>
      </c>
      <c r="C67" s="32">
        <f>1.6*$H67</f>
        <v>0</v>
      </c>
      <c r="D67" s="32">
        <f>0.1*$H67</f>
        <v>0</v>
      </c>
      <c r="E67" s="32">
        <f>0.3*$H67</f>
        <v>0</v>
      </c>
      <c r="F67" s="32">
        <f>0.6*$H67</f>
        <v>0</v>
      </c>
      <c r="G67" s="32">
        <f>0*$H67</f>
        <v>0</v>
      </c>
      <c r="H67" s="42"/>
      <c r="I67" s="2"/>
    </row>
    <row r="68" spans="1:9" x14ac:dyDescent="0.3">
      <c r="A68" s="41" t="s">
        <v>34</v>
      </c>
      <c r="B68" s="32">
        <f>SUBTOTAL(109,Table27343536[Calories])</f>
        <v>7</v>
      </c>
      <c r="C68" s="32">
        <f>SUBTOTAL(109,Table27343536[Carbs])</f>
        <v>1.8</v>
      </c>
      <c r="D68" s="32">
        <f>SUBTOTAL(109,Table27343536[Fat])</f>
        <v>0.1</v>
      </c>
      <c r="E68" s="32">
        <f>SUBTOTAL(109,Table27343536[Protein])</f>
        <v>1.2</v>
      </c>
      <c r="F68" s="32">
        <f>SUBTOTAL(109,Table27343536[Fiber])</f>
        <v>0.6</v>
      </c>
      <c r="G68" s="32">
        <f>SUBTOTAL(109,Table27343536[Sugar])</f>
        <v>0</v>
      </c>
      <c r="H68" s="42">
        <f>SUBTOTAL(109,Table27343536[Serving by TSP])</f>
        <v>3</v>
      </c>
      <c r="I68" s="2"/>
    </row>
  </sheetData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1AB3A-0EA7-41C6-BD8F-5553F7B3ADEE}">
  <sheetPr codeName="Sheet18"/>
  <dimension ref="A1:J50"/>
  <sheetViews>
    <sheetView workbookViewId="0">
      <selection activeCell="A2" sqref="A2"/>
    </sheetView>
  </sheetViews>
  <sheetFormatPr defaultColWidth="9.140625" defaultRowHeight="18.75" x14ac:dyDescent="0.3"/>
  <cols>
    <col min="1" max="1" width="28.7109375" style="1" customWidth="1"/>
    <col min="2" max="2" width="13.28515625" style="2" customWidth="1"/>
    <col min="3" max="3" width="11.7109375" style="2" customWidth="1"/>
    <col min="4" max="4" width="10.7109375" style="2" customWidth="1"/>
    <col min="5" max="5" width="12.85546875" style="2" customWidth="1"/>
    <col min="6" max="6" width="12.5703125" style="2" customWidth="1"/>
    <col min="7" max="7" width="9.85546875" style="2" customWidth="1"/>
    <col min="8" max="8" width="21.140625" style="2" customWidth="1"/>
    <col min="9" max="9" width="20.28515625" style="2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60" t="s">
        <v>38</v>
      </c>
      <c r="J1" s="2" t="s">
        <v>536</v>
      </c>
    </row>
    <row r="2" spans="1:10" x14ac:dyDescent="0.3">
      <c r="A2" s="1" t="s">
        <v>229</v>
      </c>
      <c r="B2" s="5">
        <f>110*$H2</f>
        <v>220</v>
      </c>
      <c r="C2" s="5">
        <f>0*$H2</f>
        <v>0</v>
      </c>
      <c r="D2" s="5">
        <f>3*$H2</f>
        <v>6</v>
      </c>
      <c r="E2" s="5">
        <f>22*$H2</f>
        <v>44</v>
      </c>
      <c r="F2" s="5">
        <f>0*$H2</f>
        <v>0</v>
      </c>
      <c r="G2" s="5">
        <f>0*$H2</f>
        <v>0</v>
      </c>
      <c r="H2" s="5">
        <v>2</v>
      </c>
      <c r="I2" s="23" t="s">
        <v>204</v>
      </c>
      <c r="J2" s="68" t="b">
        <f>NOT(ISERROR(MATCH(A2,Index[Item],0)))</f>
        <v>1</v>
      </c>
    </row>
    <row r="3" spans="1:10" x14ac:dyDescent="0.3">
      <c r="A3" s="1" t="s">
        <v>103</v>
      </c>
      <c r="B3" s="5">
        <f>17*$H3</f>
        <v>32.299999999999997</v>
      </c>
      <c r="C3" s="5">
        <f>3.3*$H3</f>
        <v>6.27</v>
      </c>
      <c r="D3" s="5">
        <f>0.3*$H3</f>
        <v>0.56999999999999995</v>
      </c>
      <c r="E3" s="5">
        <f>1.2*$H3</f>
        <v>2.2799999999999998</v>
      </c>
      <c r="F3" s="5">
        <f>2.1*$H3</f>
        <v>3.9899999999999998</v>
      </c>
      <c r="G3" s="5">
        <f t="shared" ref="G3" si="0">1.2*$H3</f>
        <v>2.2799999999999998</v>
      </c>
      <c r="H3" s="5">
        <v>1.9</v>
      </c>
      <c r="I3" s="23" t="s">
        <v>96</v>
      </c>
      <c r="J3" s="68" t="b">
        <f>NOT(ISERROR(MATCH(A3,Index[Item],0)))</f>
        <v>1</v>
      </c>
    </row>
    <row r="4" spans="1:10" x14ac:dyDescent="0.3">
      <c r="A4" s="1" t="s">
        <v>543</v>
      </c>
      <c r="B4" s="5">
        <f>28*$H4</f>
        <v>0</v>
      </c>
      <c r="C4" s="5">
        <f>6.7*$H4</f>
        <v>0</v>
      </c>
      <c r="D4" s="5">
        <f>0.2*$H4</f>
        <v>0</v>
      </c>
      <c r="E4" s="5">
        <f>1.9*$H4</f>
        <v>0</v>
      </c>
      <c r="F4" s="5">
        <f>1.2*$H4</f>
        <v>0</v>
      </c>
      <c r="G4" s="5">
        <f>3.2*$H4</f>
        <v>0</v>
      </c>
      <c r="H4" s="5"/>
      <c r="I4" s="23" t="s">
        <v>96</v>
      </c>
      <c r="J4" s="68" t="b">
        <f>NOT(ISERROR(MATCH(A4,Index[Item],0)))</f>
        <v>1</v>
      </c>
    </row>
    <row r="5" spans="1:10" x14ac:dyDescent="0.3">
      <c r="A5" s="1" t="s">
        <v>27</v>
      </c>
      <c r="B5" s="5">
        <f>28*$H5</f>
        <v>0</v>
      </c>
      <c r="C5" s="5">
        <f>6.7*$H5</f>
        <v>0</v>
      </c>
      <c r="D5" s="5">
        <f>0.2*$H5</f>
        <v>0</v>
      </c>
      <c r="E5" s="5">
        <f>0.9*$H5</f>
        <v>0</v>
      </c>
      <c r="F5" s="5">
        <f>1.2*$H5</f>
        <v>0</v>
      </c>
      <c r="G5" s="5">
        <f>4.4*$H5</f>
        <v>0</v>
      </c>
      <c r="H5" s="5"/>
      <c r="I5" s="23" t="s">
        <v>96</v>
      </c>
      <c r="J5" s="68" t="b">
        <f>NOT(ISERROR(MATCH(A5,Index[Item],0)))</f>
        <v>1</v>
      </c>
    </row>
    <row r="6" spans="1:10" x14ac:dyDescent="0.3">
      <c r="A6" s="1" t="s">
        <v>102</v>
      </c>
      <c r="B6" s="5">
        <f>44*$H6</f>
        <v>66</v>
      </c>
      <c r="C6" s="5">
        <f>10*$H6</f>
        <v>15</v>
      </c>
      <c r="D6" s="5">
        <f>0.2*$H6</f>
        <v>0.30000000000000004</v>
      </c>
      <c r="E6" s="5">
        <f>1.4*$H6</f>
        <v>2.0999999999999996</v>
      </c>
      <c r="F6" s="5">
        <f>1.4*$H6</f>
        <v>2.0999999999999996</v>
      </c>
      <c r="G6" s="5">
        <f>4.7*$H6</f>
        <v>7.0500000000000007</v>
      </c>
      <c r="H6" s="5">
        <v>1.5</v>
      </c>
      <c r="I6" s="23" t="s">
        <v>96</v>
      </c>
      <c r="J6" s="68" t="b">
        <f>NOT(ISERROR(MATCH(A6,Index[Item],0)))</f>
        <v>1</v>
      </c>
    </row>
    <row r="7" spans="1:10" x14ac:dyDescent="0.3">
      <c r="A7" s="1" t="s">
        <v>95</v>
      </c>
      <c r="B7" s="5">
        <f>32*$H7</f>
        <v>0</v>
      </c>
      <c r="C7" s="5">
        <f>7.3*$H7</f>
        <v>0</v>
      </c>
      <c r="D7" s="5">
        <f>0.2*$H7</f>
        <v>0</v>
      </c>
      <c r="E7" s="5">
        <f>1.8*$H7</f>
        <v>0</v>
      </c>
      <c r="F7" s="5">
        <f t="shared" ref="F7" si="1">2.7*$H7</f>
        <v>0</v>
      </c>
      <c r="G7" s="5">
        <f>2.3*$H7</f>
        <v>0</v>
      </c>
      <c r="H7" s="5"/>
      <c r="I7" s="23" t="s">
        <v>96</v>
      </c>
      <c r="J7" s="68" t="b">
        <f>NOT(ISERROR(MATCH(A7,Index[Item],0)))</f>
        <v>1</v>
      </c>
    </row>
    <row r="8" spans="1:10" x14ac:dyDescent="0.3">
      <c r="A8" s="1" t="s">
        <v>101</v>
      </c>
      <c r="B8" s="5">
        <f>29*$H8</f>
        <v>0</v>
      </c>
      <c r="C8" s="5">
        <f>6.5*$H8</f>
        <v>0</v>
      </c>
      <c r="D8" s="5">
        <f>0.4*$H8</f>
        <v>0</v>
      </c>
      <c r="E8" s="5">
        <f>0.9*$H8</f>
        <v>0</v>
      </c>
      <c r="F8" s="5">
        <f>2.8*$H8</f>
        <v>0</v>
      </c>
      <c r="G8" s="5">
        <f>4.1*$H8</f>
        <v>0</v>
      </c>
      <c r="H8" s="5"/>
      <c r="I8" s="23" t="s">
        <v>96</v>
      </c>
      <c r="J8" s="68" t="b">
        <f>NOT(ISERROR(MATCH(A8,Index[Item],0)))</f>
        <v>1</v>
      </c>
    </row>
    <row r="9" spans="1:10" x14ac:dyDescent="0.3">
      <c r="A9" s="1" t="s">
        <v>100</v>
      </c>
      <c r="B9" s="5">
        <f>27*$H9</f>
        <v>0</v>
      </c>
      <c r="C9" s="5">
        <f>5.4*$H9</f>
        <v>0</v>
      </c>
      <c r="D9" s="5">
        <f>0.5*$H9</f>
        <v>0</v>
      </c>
      <c r="E9" s="5">
        <f>1.7*$H9</f>
        <v>0</v>
      </c>
      <c r="F9" s="5">
        <f>3.4*$H9</f>
        <v>0</v>
      </c>
      <c r="G9" s="5">
        <f>2*$H9</f>
        <v>0</v>
      </c>
      <c r="H9" s="5"/>
      <c r="I9" s="23" t="s">
        <v>96</v>
      </c>
      <c r="J9" s="68" t="b">
        <f>NOT(ISERROR(MATCH(A9,Index[Item],0)))</f>
        <v>1</v>
      </c>
    </row>
    <row r="10" spans="1:10" x14ac:dyDescent="0.3">
      <c r="A10" s="1" t="s">
        <v>104</v>
      </c>
      <c r="B10" s="5">
        <f>18*$H10</f>
        <v>15.66</v>
      </c>
      <c r="C10" s="5">
        <f>3.9*$H10</f>
        <v>3.3929999999999998</v>
      </c>
      <c r="D10" s="5">
        <f>0.2*$H10</f>
        <v>0.17400000000000002</v>
      </c>
      <c r="E10" s="5">
        <f>0.9*$H10</f>
        <v>0.78300000000000003</v>
      </c>
      <c r="F10" s="5">
        <f>1.2*$H10</f>
        <v>1.044</v>
      </c>
      <c r="G10" s="5">
        <f>2.6*$H10</f>
        <v>2.262</v>
      </c>
      <c r="H10" s="5">
        <v>0.87</v>
      </c>
      <c r="I10" s="23" t="s">
        <v>96</v>
      </c>
      <c r="J10" s="68" t="b">
        <f>NOT(ISERROR(MATCH(A10,Index[Item],0)))</f>
        <v>1</v>
      </c>
    </row>
    <row r="11" spans="1:10" x14ac:dyDescent="0.3">
      <c r="A11" s="1" t="s">
        <v>335</v>
      </c>
      <c r="B11" s="5">
        <f>160*$H11</f>
        <v>160</v>
      </c>
      <c r="C11" s="5">
        <f>1*$H11</f>
        <v>1</v>
      </c>
      <c r="D11" s="5">
        <f>18*$H11</f>
        <v>18</v>
      </c>
      <c r="E11" s="5">
        <f>1*$H11</f>
        <v>1</v>
      </c>
      <c r="F11" s="5">
        <f>0*$H11</f>
        <v>0</v>
      </c>
      <c r="G11" s="5">
        <f>0*$H11</f>
        <v>0</v>
      </c>
      <c r="H11" s="5">
        <v>1</v>
      </c>
      <c r="I11" s="23"/>
      <c r="J11" s="68" t="b">
        <f>NOT(ISERROR(MATCH(A11,Index[Item],0)))</f>
        <v>1</v>
      </c>
    </row>
    <row r="12" spans="1:10" x14ac:dyDescent="0.3">
      <c r="A12" s="1" t="s">
        <v>336</v>
      </c>
      <c r="B12" s="5">
        <f>150*$H12</f>
        <v>150</v>
      </c>
      <c r="C12" s="5">
        <f>1*$H12</f>
        <v>1</v>
      </c>
      <c r="D12" s="5">
        <f>16*$H12</f>
        <v>16</v>
      </c>
      <c r="E12" s="5">
        <f>1*$H12</f>
        <v>1</v>
      </c>
      <c r="F12" s="5">
        <f>0*$H12</f>
        <v>0</v>
      </c>
      <c r="G12" s="5">
        <f>1*$H12</f>
        <v>1</v>
      </c>
      <c r="H12" s="5">
        <v>1</v>
      </c>
      <c r="I12" s="23"/>
      <c r="J12" s="68" t="b">
        <f>NOT(ISERROR(MATCH(A12,Index[Item],0)))</f>
        <v>1</v>
      </c>
    </row>
    <row r="13" spans="1:10" x14ac:dyDescent="0.3">
      <c r="A13" s="1" t="s">
        <v>81</v>
      </c>
      <c r="B13" s="5">
        <f>120*$H13</f>
        <v>0</v>
      </c>
      <c r="C13" s="5">
        <f>2*$H13</f>
        <v>0</v>
      </c>
      <c r="D13" s="5">
        <f>9*$H13</f>
        <v>0</v>
      </c>
      <c r="E13" s="5">
        <f>6*$H13</f>
        <v>0</v>
      </c>
      <c r="F13" s="5">
        <f t="shared" ref="F13:G21" si="2">0*$H13</f>
        <v>0</v>
      </c>
      <c r="G13" s="5">
        <f>0*$H13</f>
        <v>0</v>
      </c>
      <c r="H13" s="5"/>
      <c r="I13" s="23" t="s">
        <v>80</v>
      </c>
      <c r="J13" s="68" t="b">
        <f>NOT(ISERROR(MATCH(A13,Index[Item],0)))</f>
        <v>1</v>
      </c>
    </row>
    <row r="14" spans="1:10" x14ac:dyDescent="0.3">
      <c r="A14" s="1" t="s">
        <v>79</v>
      </c>
      <c r="B14" s="5">
        <f>110*$H14</f>
        <v>220</v>
      </c>
      <c r="C14" s="5">
        <f>0.5*$H14</f>
        <v>1</v>
      </c>
      <c r="D14" s="5">
        <f>9*$H14</f>
        <v>18</v>
      </c>
      <c r="E14" s="5">
        <f>7*$H14</f>
        <v>14</v>
      </c>
      <c r="F14" s="5">
        <f>0*$H14</f>
        <v>0</v>
      </c>
      <c r="G14" s="5">
        <f>0*$H14</f>
        <v>0</v>
      </c>
      <c r="H14" s="5">
        <v>2</v>
      </c>
      <c r="I14" s="23" t="s">
        <v>80</v>
      </c>
      <c r="J14" s="68" t="b">
        <f>NOT(ISERROR(MATCH(A14,Index[Item],0)))</f>
        <v>1</v>
      </c>
    </row>
    <row r="15" spans="1:10" x14ac:dyDescent="0.3">
      <c r="A15" s="1" t="s">
        <v>82</v>
      </c>
      <c r="B15" s="5">
        <f>100*$H15</f>
        <v>0</v>
      </c>
      <c r="C15" s="5">
        <f>1*$H15</f>
        <v>0</v>
      </c>
      <c r="D15" s="5">
        <f>8*$H15</f>
        <v>0</v>
      </c>
      <c r="E15" s="5">
        <f>6*$H15</f>
        <v>0</v>
      </c>
      <c r="F15" s="5">
        <f t="shared" si="2"/>
        <v>0</v>
      </c>
      <c r="G15" s="5">
        <f>0.5*$H15</f>
        <v>0</v>
      </c>
      <c r="H15" s="5"/>
      <c r="I15" s="23" t="s">
        <v>80</v>
      </c>
      <c r="J15" s="68" t="b">
        <f>NOT(ISERROR(MATCH(A15,Index[Item],0)))</f>
        <v>1</v>
      </c>
    </row>
    <row r="16" spans="1:10" x14ac:dyDescent="0.3">
      <c r="A16" s="1" t="s">
        <v>83</v>
      </c>
      <c r="B16" s="5">
        <f>90*$H16</f>
        <v>0</v>
      </c>
      <c r="C16" s="5">
        <f>2*$H16</f>
        <v>0</v>
      </c>
      <c r="D16" s="5">
        <f>6*$H16</f>
        <v>0</v>
      </c>
      <c r="E16" s="5">
        <f>7*$H16</f>
        <v>0</v>
      </c>
      <c r="F16" s="5">
        <f t="shared" si="2"/>
        <v>0</v>
      </c>
      <c r="G16" s="5">
        <f>0*$H16</f>
        <v>0</v>
      </c>
      <c r="H16" s="5"/>
      <c r="I16" s="23" t="s">
        <v>80</v>
      </c>
      <c r="J16" s="68" t="b">
        <f>NOT(ISERROR(MATCH(A16,Index[Item],0)))</f>
        <v>1</v>
      </c>
    </row>
    <row r="17" spans="1:10" x14ac:dyDescent="0.3">
      <c r="A17" s="1" t="s">
        <v>84</v>
      </c>
      <c r="B17" s="5">
        <f>110*$H17</f>
        <v>0</v>
      </c>
      <c r="C17" s="5">
        <f>0.5*$H17</f>
        <v>0</v>
      </c>
      <c r="D17" s="5">
        <f>9*$H17</f>
        <v>0</v>
      </c>
      <c r="E17" s="5">
        <f>6*$H17</f>
        <v>0</v>
      </c>
      <c r="F17" s="5">
        <f t="shared" si="2"/>
        <v>0</v>
      </c>
      <c r="G17" s="5">
        <f>0.5*$H17</f>
        <v>0</v>
      </c>
      <c r="H17" s="5"/>
      <c r="I17" s="23" t="s">
        <v>80</v>
      </c>
      <c r="J17" s="68" t="b">
        <f>NOT(ISERROR(MATCH(A17,Index[Item],0)))</f>
        <v>1</v>
      </c>
    </row>
    <row r="18" spans="1:10" x14ac:dyDescent="0.3">
      <c r="A18" s="1" t="s">
        <v>85</v>
      </c>
      <c r="B18" s="5">
        <f>80*$H18</f>
        <v>0</v>
      </c>
      <c r="C18" s="5">
        <f>2*$H18</f>
        <v>0</v>
      </c>
      <c r="D18" s="5">
        <f>6*$H18</f>
        <v>0</v>
      </c>
      <c r="E18" s="5">
        <f>7*$H18</f>
        <v>0</v>
      </c>
      <c r="F18" s="5">
        <f>0*$H18</f>
        <v>0</v>
      </c>
      <c r="G18" s="5">
        <f>0.5*$H18</f>
        <v>0</v>
      </c>
      <c r="H18" s="5"/>
      <c r="I18" s="23" t="s">
        <v>80</v>
      </c>
      <c r="J18" s="68" t="b">
        <f>NOT(ISERROR(MATCH(A18,Index[Item],0)))</f>
        <v>1</v>
      </c>
    </row>
    <row r="19" spans="1:10" ht="37.5" x14ac:dyDescent="0.3">
      <c r="A19" s="1" t="s">
        <v>86</v>
      </c>
      <c r="B19" s="5">
        <f>90*$H19</f>
        <v>0</v>
      </c>
      <c r="C19" s="5">
        <f>1*$H19</f>
        <v>0</v>
      </c>
      <c r="D19" s="5">
        <f>7*$H19</f>
        <v>0</v>
      </c>
      <c r="E19" s="5">
        <f>6*$H19</f>
        <v>0</v>
      </c>
      <c r="F19" s="5">
        <f t="shared" si="2"/>
        <v>0</v>
      </c>
      <c r="G19" s="5">
        <f t="shared" si="2"/>
        <v>0</v>
      </c>
      <c r="H19" s="5"/>
      <c r="I19" s="23" t="s">
        <v>80</v>
      </c>
      <c r="J19" s="68" t="b">
        <f>NOT(ISERROR(MATCH(A19,Index[Item],0)))</f>
        <v>1</v>
      </c>
    </row>
    <row r="20" spans="1:10" ht="37.5" x14ac:dyDescent="0.3">
      <c r="A20" s="1" t="s">
        <v>87</v>
      </c>
      <c r="B20" s="5">
        <f>80*$H20</f>
        <v>0</v>
      </c>
      <c r="C20" s="5">
        <f>2*$H20</f>
        <v>0</v>
      </c>
      <c r="D20" s="5">
        <f>6*$H20</f>
        <v>0</v>
      </c>
      <c r="E20" s="5">
        <f>7*$H20</f>
        <v>0</v>
      </c>
      <c r="F20" s="5">
        <f>0*$H20</f>
        <v>0</v>
      </c>
      <c r="G20" s="5">
        <f>0.5*$H20</f>
        <v>0</v>
      </c>
      <c r="H20" s="5"/>
      <c r="I20" s="23" t="s">
        <v>80</v>
      </c>
      <c r="J20" s="68" t="b">
        <f>NOT(ISERROR(MATCH(A20,Index[Item],0)))</f>
        <v>1</v>
      </c>
    </row>
    <row r="21" spans="1:10" x14ac:dyDescent="0.3">
      <c r="A21" s="1" t="s">
        <v>88</v>
      </c>
      <c r="B21" s="5">
        <f>20*$H21</f>
        <v>40</v>
      </c>
      <c r="C21" s="5">
        <f>0*$H21</f>
        <v>0</v>
      </c>
      <c r="D21" s="5">
        <f>1.5*$H21</f>
        <v>3</v>
      </c>
      <c r="E21" s="5">
        <f>2*$H21</f>
        <v>4</v>
      </c>
      <c r="F21" s="5">
        <f t="shared" si="2"/>
        <v>0</v>
      </c>
      <c r="G21" s="5">
        <f t="shared" si="2"/>
        <v>0</v>
      </c>
      <c r="H21" s="5">
        <v>2</v>
      </c>
      <c r="I21" s="23" t="s">
        <v>89</v>
      </c>
      <c r="J21" s="68" t="b">
        <f>NOT(ISERROR(MATCH(A21,Index[Item],0)))</f>
        <v>1</v>
      </c>
    </row>
    <row r="22" spans="1:10" x14ac:dyDescent="0.3">
      <c r="A22" s="1" t="s">
        <v>481</v>
      </c>
      <c r="B22" s="5">
        <f>Table38[[#Totals],[Calories]]</f>
        <v>14</v>
      </c>
      <c r="C22" s="5">
        <f>Table38[[#Totals],[Carbs]]</f>
        <v>3.6</v>
      </c>
      <c r="D22" s="5">
        <f>Table38[[#Totals],[Fat]]</f>
        <v>0.2</v>
      </c>
      <c r="E22" s="5">
        <f>Table38[[#Totals],[Protein]]</f>
        <v>2.4</v>
      </c>
      <c r="F22" s="5">
        <f>Table38[[#Totals],[Fiber]]</f>
        <v>1.2</v>
      </c>
      <c r="G22" s="5">
        <f>Table38[[#Totals],[Sugar]]</f>
        <v>0</v>
      </c>
      <c r="H22" s="5">
        <f>Table38[[#Totals],[Serving by TSP]]</f>
        <v>4</v>
      </c>
      <c r="I22" s="23"/>
      <c r="J22" s="68" t="b">
        <f>NOT(ISERROR(MATCH(A22,Index[Item],0)))</f>
        <v>1</v>
      </c>
    </row>
    <row r="23" spans="1:10" x14ac:dyDescent="0.3">
      <c r="A23" s="1" t="s">
        <v>544</v>
      </c>
      <c r="B23" s="5">
        <f>SUBTOTAL(109,Salad[Calories])/Salad[[#Totals],[Measurement]]</f>
        <v>917.96</v>
      </c>
      <c r="C23" s="5">
        <f>SUBTOTAL(109,Salad[Carbs])/Salad[[#Totals],[Measurement]]</f>
        <v>31.263000000000002</v>
      </c>
      <c r="D23" s="5">
        <f>SUBTOTAL(109,Salad[[Fat ]])/Salad[[#Totals],[Measurement]]</f>
        <v>62.244</v>
      </c>
      <c r="E23" s="5">
        <f>SUBTOTAL(109,Salad[Protein])/Salad[[#Totals],[Measurement]]</f>
        <v>71.563000000000017</v>
      </c>
      <c r="F23" s="5">
        <f>SUBTOTAL(109,Salad[Fiber])/Salad[[#Totals],[Measurement]]</f>
        <v>8.3339999999999996</v>
      </c>
      <c r="G23" s="5">
        <f>SUBTOTAL(109,Salad[Sugar])/Salad[[#Totals],[Measurement]]</f>
        <v>12.592000000000001</v>
      </c>
      <c r="H23" s="5">
        <f>SUBTOTAL(109,Salad[Servings])/Salad[[#Totals],[Measurement]]</f>
        <v>16.27</v>
      </c>
      <c r="I23" s="23" t="s">
        <v>553</v>
      </c>
    </row>
    <row r="24" spans="1:10" x14ac:dyDescent="0.3">
      <c r="I24" s="2"/>
    </row>
    <row r="25" spans="1:10" x14ac:dyDescent="0.3">
      <c r="A25" s="10" t="s">
        <v>0</v>
      </c>
      <c r="B25" s="11" t="s">
        <v>1</v>
      </c>
      <c r="C25" s="11" t="s">
        <v>2</v>
      </c>
      <c r="D25" s="11" t="s">
        <v>3</v>
      </c>
      <c r="E25" s="11" t="s">
        <v>4</v>
      </c>
      <c r="F25" s="11" t="s">
        <v>5</v>
      </c>
      <c r="G25" s="11" t="s">
        <v>6</v>
      </c>
      <c r="H25" s="11" t="s">
        <v>7</v>
      </c>
      <c r="I25" s="2"/>
    </row>
    <row r="26" spans="1:10" x14ac:dyDescent="0.3">
      <c r="A26" s="8" t="s">
        <v>8</v>
      </c>
      <c r="B26" s="6">
        <f>1.6*$H26</f>
        <v>0</v>
      </c>
      <c r="C26" s="6">
        <f>0.3*$H26</f>
        <v>0</v>
      </c>
      <c r="D26" s="6">
        <f>0*$H26</f>
        <v>0</v>
      </c>
      <c r="E26" s="6">
        <f>0.2*$H26</f>
        <v>0</v>
      </c>
      <c r="F26" s="6">
        <f>0.3*$H26</f>
        <v>0</v>
      </c>
      <c r="G26" s="6">
        <f>0*$H26</f>
        <v>0</v>
      </c>
      <c r="H26" s="3"/>
      <c r="I26" s="2"/>
    </row>
    <row r="27" spans="1:10" x14ac:dyDescent="0.3">
      <c r="A27" s="8" t="s">
        <v>9</v>
      </c>
      <c r="B27" s="6">
        <f>5.8*$H27</f>
        <v>11.6</v>
      </c>
      <c r="C27" s="6">
        <f>1.5*$H27</f>
        <v>3</v>
      </c>
      <c r="D27" s="6">
        <f>0.1*$H27</f>
        <v>0.2</v>
      </c>
      <c r="E27" s="6">
        <f>0.2*$H27</f>
        <v>0.4</v>
      </c>
      <c r="F27" s="6">
        <f>0.6*$H27</f>
        <v>1.2</v>
      </c>
      <c r="G27" s="6">
        <f>0*$H27</f>
        <v>0</v>
      </c>
      <c r="H27" s="3">
        <v>2</v>
      </c>
      <c r="I27" s="2"/>
    </row>
    <row r="28" spans="1:10" x14ac:dyDescent="0.3">
      <c r="A28" s="25" t="s">
        <v>10</v>
      </c>
      <c r="B28" s="24">
        <f>7.6*$H28</f>
        <v>0</v>
      </c>
      <c r="C28" s="24">
        <f>1.3*$H28</f>
        <v>0</v>
      </c>
      <c r="D28" s="24">
        <f>0.4*$H28</f>
        <v>0</v>
      </c>
      <c r="E28" s="24">
        <f>0.4*$H28</f>
        <v>0</v>
      </c>
      <c r="F28" s="24">
        <f>0.9*$H28</f>
        <v>0</v>
      </c>
      <c r="G28" s="24">
        <f>0.2*$H28</f>
        <v>0</v>
      </c>
      <c r="H28" s="26"/>
      <c r="I28" s="2"/>
    </row>
    <row r="29" spans="1:10" x14ac:dyDescent="0.3">
      <c r="A29" s="9" t="s">
        <v>11</v>
      </c>
      <c r="B29" s="7">
        <f>48*$H29</f>
        <v>0</v>
      </c>
      <c r="C29" s="7">
        <f>8*$H29</f>
        <v>0</v>
      </c>
      <c r="D29" s="7">
        <f>0*$H29</f>
        <v>0</v>
      </c>
      <c r="E29" s="7">
        <f>0*$H29</f>
        <v>0</v>
      </c>
      <c r="F29" s="7">
        <f>0*$H29</f>
        <v>0</v>
      </c>
      <c r="G29" s="7">
        <f>0*$H29</f>
        <v>0</v>
      </c>
      <c r="H29" s="4"/>
      <c r="I29" s="2"/>
    </row>
    <row r="30" spans="1:10" x14ac:dyDescent="0.3">
      <c r="A30" s="25" t="s">
        <v>12</v>
      </c>
      <c r="B30" s="24">
        <f>6.4*$H30</f>
        <v>0</v>
      </c>
      <c r="C30" s="24">
        <f>2.1*$H30</f>
        <v>0</v>
      </c>
      <c r="D30" s="24">
        <f>0*$H29</f>
        <v>0</v>
      </c>
      <c r="E30" s="24">
        <f>0.1*$H30</f>
        <v>0</v>
      </c>
      <c r="F30" s="24">
        <f>1.4*$H30</f>
        <v>0</v>
      </c>
      <c r="G30" s="24">
        <f>0.1*$H30</f>
        <v>0</v>
      </c>
      <c r="H30" s="26"/>
      <c r="I30" s="2"/>
    </row>
    <row r="31" spans="1:10" x14ac:dyDescent="0.3">
      <c r="A31" s="8" t="s">
        <v>13</v>
      </c>
      <c r="B31" s="6">
        <f>1.7*$H31</f>
        <v>0</v>
      </c>
      <c r="C31" s="6">
        <f>0.3*$H31</f>
        <v>0</v>
      </c>
      <c r="D31" s="6">
        <f>0*$H31</f>
        <v>0</v>
      </c>
      <c r="E31" s="6">
        <f>0.1*$H31</f>
        <v>0</v>
      </c>
      <c r="F31" s="6">
        <f>0.1*$H31</f>
        <v>0</v>
      </c>
      <c r="G31" s="6">
        <f>0*$H31</f>
        <v>0</v>
      </c>
      <c r="H31" s="3"/>
      <c r="I31" s="2"/>
    </row>
    <row r="32" spans="1:10" ht="37.5" x14ac:dyDescent="0.3">
      <c r="A32" s="8" t="s">
        <v>14</v>
      </c>
      <c r="B32" s="6">
        <f>5.7*$H32</f>
        <v>0</v>
      </c>
      <c r="C32" s="6">
        <f>1*$H32</f>
        <v>0</v>
      </c>
      <c r="D32" s="6">
        <f>0*$H32</f>
        <v>0</v>
      </c>
      <c r="E32" s="6">
        <f>0.2*$H32</f>
        <v>0</v>
      </c>
      <c r="F32" s="6">
        <f>0.5*$H32</f>
        <v>0</v>
      </c>
      <c r="G32" s="6">
        <f>0.2*$H32</f>
        <v>0</v>
      </c>
      <c r="H32" s="3"/>
      <c r="I32" s="2"/>
    </row>
    <row r="33" spans="1:9" x14ac:dyDescent="0.3">
      <c r="A33" s="9" t="s">
        <v>15</v>
      </c>
      <c r="B33" s="7">
        <f>7.6*$H33</f>
        <v>0</v>
      </c>
      <c r="C33" s="7">
        <f>0.9*$H33</f>
        <v>0</v>
      </c>
      <c r="D33" s="7">
        <f>0.5*$H33</f>
        <v>0</v>
      </c>
      <c r="E33" s="7">
        <f>0.4*$H33</f>
        <v>0</v>
      </c>
      <c r="F33" s="7">
        <f>0.2*$H33</f>
        <v>0</v>
      </c>
      <c r="G33" s="7">
        <f>0.1*$H33</f>
        <v>0</v>
      </c>
      <c r="H33" s="4"/>
      <c r="I33" s="2"/>
    </row>
    <row r="34" spans="1:9" x14ac:dyDescent="0.3">
      <c r="A34" s="8" t="s">
        <v>16</v>
      </c>
      <c r="B34" s="6">
        <f>(36/5)*$H34</f>
        <v>0</v>
      </c>
      <c r="C34" s="6">
        <f>(5/5)*$H34</f>
        <v>0</v>
      </c>
      <c r="D34" s="6">
        <f>(1.2/5)*$H34</f>
        <v>0</v>
      </c>
      <c r="E34" s="6">
        <f>(1.3/5)*$H34</f>
        <v>0</v>
      </c>
      <c r="F34" s="6">
        <f>(3/5)*$H34</f>
        <v>0</v>
      </c>
      <c r="G34" s="6">
        <f>(0.2/5)*$H34</f>
        <v>0</v>
      </c>
      <c r="H34" s="3"/>
      <c r="I34" s="2"/>
    </row>
    <row r="35" spans="1:9" x14ac:dyDescent="0.3">
      <c r="A35" s="8" t="s">
        <v>17</v>
      </c>
      <c r="B35" s="6">
        <f>5*$H35</f>
        <v>0</v>
      </c>
      <c r="C35" s="6">
        <f>1*$H35</f>
        <v>0</v>
      </c>
      <c r="D35" s="6">
        <f>0*$H35</f>
        <v>0</v>
      </c>
      <c r="E35" s="6">
        <f>0*$H35</f>
        <v>0</v>
      </c>
      <c r="F35" s="6">
        <f>0*$H35</f>
        <v>0</v>
      </c>
      <c r="G35" s="6">
        <f>0*$H35</f>
        <v>0</v>
      </c>
      <c r="H35" s="3"/>
      <c r="I35" s="2"/>
    </row>
    <row r="36" spans="1:9" x14ac:dyDescent="0.3">
      <c r="A36" s="25" t="s">
        <v>18</v>
      </c>
      <c r="B36" s="24">
        <f>10*$H36</f>
        <v>0</v>
      </c>
      <c r="C36" s="24">
        <f>2.3*$H36</f>
        <v>0</v>
      </c>
      <c r="D36" s="24">
        <f>0*$H36</f>
        <v>0</v>
      </c>
      <c r="E36" s="24">
        <f>0.5*$H36</f>
        <v>0</v>
      </c>
      <c r="F36" s="24">
        <f>0.3*$H36</f>
        <v>0</v>
      </c>
      <c r="G36" s="24">
        <f>0.1*$H36</f>
        <v>0</v>
      </c>
      <c r="H36" s="26"/>
      <c r="I36" s="2"/>
    </row>
    <row r="37" spans="1:9" x14ac:dyDescent="0.3">
      <c r="A37" s="8" t="s">
        <v>19</v>
      </c>
      <c r="B37" s="6">
        <f>1.2*$H37</f>
        <v>2.4</v>
      </c>
      <c r="C37" s="6">
        <f>0.3*$H37</f>
        <v>0.6</v>
      </c>
      <c r="D37" s="6">
        <f>0*$H37</f>
        <v>0</v>
      </c>
      <c r="E37" s="6">
        <f>1*$H37</f>
        <v>2</v>
      </c>
      <c r="F37" s="6">
        <f>0*$H37</f>
        <v>0</v>
      </c>
      <c r="G37" s="6">
        <f>0*$H37</f>
        <v>0</v>
      </c>
      <c r="H37" s="3">
        <v>2</v>
      </c>
      <c r="I37" s="2"/>
    </row>
    <row r="38" spans="1:9" x14ac:dyDescent="0.3">
      <c r="A38" s="8" t="s">
        <v>20</v>
      </c>
      <c r="B38" s="6">
        <f>6*$H38</f>
        <v>0</v>
      </c>
      <c r="C38" s="6">
        <f>1.3*$H38</f>
        <v>0</v>
      </c>
      <c r="D38" s="6">
        <f>0.1*$H38</f>
        <v>0</v>
      </c>
      <c r="E38" s="6">
        <f>0.2*$H38</f>
        <v>0</v>
      </c>
      <c r="F38" s="6">
        <f>0.3*$H38</f>
        <v>0</v>
      </c>
      <c r="G38" s="6">
        <f>0.1*$H38</f>
        <v>0</v>
      </c>
      <c r="H38" s="3"/>
      <c r="I38" s="2"/>
    </row>
    <row r="39" spans="1:9" x14ac:dyDescent="0.3">
      <c r="A39" s="25" t="s">
        <v>21</v>
      </c>
      <c r="B39" s="24">
        <f>2.2*$H39</f>
        <v>0</v>
      </c>
      <c r="C39" s="24">
        <f>0.5*$H39</f>
        <v>0</v>
      </c>
      <c r="D39" s="24">
        <f>0.1*$H39</f>
        <v>0</v>
      </c>
      <c r="E39" s="24">
        <f>0.1*$H39</f>
        <v>0</v>
      </c>
      <c r="F39" s="24">
        <f>0.3*$H39</f>
        <v>0</v>
      </c>
      <c r="G39" s="24">
        <f>0*$H39</f>
        <v>0</v>
      </c>
      <c r="H39" s="26"/>
      <c r="I39" s="2"/>
    </row>
    <row r="40" spans="1:9" x14ac:dyDescent="0.3">
      <c r="A40" s="8" t="s">
        <v>22</v>
      </c>
      <c r="B40" s="6">
        <f>0*$H40</f>
        <v>0</v>
      </c>
      <c r="C40" s="6">
        <f>0*$H40</f>
        <v>0</v>
      </c>
      <c r="D40" s="6">
        <f>0*$H40</f>
        <v>0</v>
      </c>
      <c r="E40" s="6">
        <f>0*$H40</f>
        <v>0</v>
      </c>
      <c r="F40" s="6">
        <f>0*$H40</f>
        <v>0</v>
      </c>
      <c r="G40" s="6">
        <f>0*$H40</f>
        <v>0</v>
      </c>
      <c r="H40" s="3"/>
      <c r="I40" s="2"/>
    </row>
    <row r="41" spans="1:9" x14ac:dyDescent="0.3">
      <c r="A41" s="25" t="s">
        <v>23</v>
      </c>
      <c r="B41" s="24">
        <f>8.2*$H41</f>
        <v>0</v>
      </c>
      <c r="C41" s="24">
        <f>1.9*$H41</f>
        <v>0</v>
      </c>
      <c r="D41" s="24">
        <f>0*$H41</f>
        <v>0</v>
      </c>
      <c r="E41" s="24">
        <f>0.3*$H41</f>
        <v>0</v>
      </c>
      <c r="F41" s="24">
        <f>0.4*$H41</f>
        <v>0</v>
      </c>
      <c r="G41" s="24">
        <f>0.2*$H41</f>
        <v>0</v>
      </c>
      <c r="H41" s="26"/>
      <c r="I41" s="2"/>
    </row>
    <row r="42" spans="1:9" x14ac:dyDescent="0.3">
      <c r="A42" s="9" t="s">
        <v>24</v>
      </c>
      <c r="B42" s="7">
        <f>2.7*$H42</f>
        <v>0</v>
      </c>
      <c r="C42" s="7">
        <f>0.7*$H42</f>
        <v>0</v>
      </c>
      <c r="D42" s="7">
        <f>0*$H42</f>
        <v>0</v>
      </c>
      <c r="E42" s="7">
        <f>0.1*$H42</f>
        <v>0</v>
      </c>
      <c r="F42" s="7">
        <f>0.4*$H42</f>
        <v>0</v>
      </c>
      <c r="G42" s="7">
        <f>0*$H42</f>
        <v>0</v>
      </c>
      <c r="H42" s="4"/>
      <c r="I42" s="2"/>
    </row>
    <row r="43" spans="1:9" x14ac:dyDescent="0.3">
      <c r="A43" s="8" t="s">
        <v>25</v>
      </c>
      <c r="B43" s="6">
        <f>6.5*$H43</f>
        <v>0</v>
      </c>
      <c r="C43" s="6">
        <f>1.2*$H43</f>
        <v>0</v>
      </c>
      <c r="D43" s="6">
        <f>0.3*$H43</f>
        <v>0</v>
      </c>
      <c r="E43" s="6">
        <f>0.3*$H43</f>
        <v>0</v>
      </c>
      <c r="F43" s="6">
        <f>0.8*$H43</f>
        <v>0</v>
      </c>
      <c r="G43" s="6">
        <f>0.2*$H43</f>
        <v>0</v>
      </c>
      <c r="H43" s="3"/>
      <c r="I43" s="2"/>
    </row>
    <row r="44" spans="1:9" x14ac:dyDescent="0.3">
      <c r="A44" s="8" t="s">
        <v>26</v>
      </c>
      <c r="B44" s="6">
        <f>1.5*$H44</f>
        <v>0</v>
      </c>
      <c r="C44" s="6">
        <f>0.3*$H44</f>
        <v>0</v>
      </c>
      <c r="D44" s="6">
        <f>0*$H44</f>
        <v>0</v>
      </c>
      <c r="E44" s="6">
        <f>0.1*$H44</f>
        <v>0</v>
      </c>
      <c r="F44" s="6">
        <f>0.1*$H44</f>
        <v>0</v>
      </c>
      <c r="G44" s="6">
        <f>0*$H44</f>
        <v>0</v>
      </c>
      <c r="H44" s="3"/>
      <c r="I44" s="2"/>
    </row>
    <row r="45" spans="1:9" x14ac:dyDescent="0.3">
      <c r="A45" s="25" t="s">
        <v>27</v>
      </c>
      <c r="B45" s="24">
        <f>5.7*$H45</f>
        <v>0</v>
      </c>
      <c r="C45" s="24">
        <f>1*$H45</f>
        <v>0</v>
      </c>
      <c r="D45" s="24">
        <f>0.3*$H45</f>
        <v>0</v>
      </c>
      <c r="E45" s="24">
        <f>0.2*$H45</f>
        <v>0</v>
      </c>
      <c r="F45" s="24">
        <f>0.5*$H45</f>
        <v>0</v>
      </c>
      <c r="G45" s="24">
        <f>0.2*$H45</f>
        <v>0</v>
      </c>
      <c r="H45" s="26"/>
      <c r="I45" s="2"/>
    </row>
    <row r="46" spans="1:9" x14ac:dyDescent="0.3">
      <c r="A46" s="12" t="s">
        <v>28</v>
      </c>
      <c r="B46" s="13">
        <f t="shared" ref="B46:G46" si="3">0*$H46</f>
        <v>0</v>
      </c>
      <c r="C46" s="13">
        <f t="shared" si="3"/>
        <v>0</v>
      </c>
      <c r="D46" s="13">
        <f t="shared" si="3"/>
        <v>0</v>
      </c>
      <c r="E46" s="13">
        <f t="shared" si="3"/>
        <v>0</v>
      </c>
      <c r="F46" s="13">
        <f t="shared" si="3"/>
        <v>0</v>
      </c>
      <c r="G46" s="13">
        <f t="shared" si="3"/>
        <v>0</v>
      </c>
      <c r="H46" s="14"/>
      <c r="I46" s="2"/>
    </row>
    <row r="47" spans="1:9" x14ac:dyDescent="0.3">
      <c r="A47" s="8" t="s">
        <v>29</v>
      </c>
      <c r="B47" s="6">
        <f>2.5*$H47</f>
        <v>0</v>
      </c>
      <c r="C47" s="6">
        <f>0.6*$H47</f>
        <v>0</v>
      </c>
      <c r="D47" s="6">
        <f>0.1*$H47</f>
        <v>0</v>
      </c>
      <c r="E47" s="6">
        <f>0.1*$H47</f>
        <v>0</v>
      </c>
      <c r="F47" s="6">
        <f>0.3*$H47</f>
        <v>0</v>
      </c>
      <c r="G47" s="6">
        <f>0*$H47</f>
        <v>0</v>
      </c>
      <c r="H47" s="3"/>
      <c r="I47" s="2"/>
    </row>
    <row r="48" spans="1:9" x14ac:dyDescent="0.3">
      <c r="A48" s="8" t="s">
        <v>31</v>
      </c>
      <c r="B48" s="6">
        <f>0*$H48</f>
        <v>0</v>
      </c>
      <c r="C48" s="6">
        <f>0*$H48</f>
        <v>0</v>
      </c>
      <c r="D48" s="6">
        <f>0*$H48</f>
        <v>0</v>
      </c>
      <c r="E48" s="6">
        <f>0*$H48</f>
        <v>0</v>
      </c>
      <c r="F48" s="6">
        <f>0*$H48</f>
        <v>0</v>
      </c>
      <c r="G48" s="6">
        <f>0*$H48</f>
        <v>0</v>
      </c>
      <c r="H48" s="3"/>
      <c r="I48" s="2"/>
    </row>
    <row r="49" spans="1:9" x14ac:dyDescent="0.3">
      <c r="A49" s="8" t="s">
        <v>33</v>
      </c>
      <c r="B49" s="6">
        <f>7.1*$H49</f>
        <v>0</v>
      </c>
      <c r="C49" s="6">
        <f>1.6*$H49</f>
        <v>0</v>
      </c>
      <c r="D49" s="6">
        <f>0.1*$H49</f>
        <v>0</v>
      </c>
      <c r="E49" s="6">
        <f>0.3*$H49</f>
        <v>0</v>
      </c>
      <c r="F49" s="6">
        <f>0.6*$H49</f>
        <v>0</v>
      </c>
      <c r="G49" s="6">
        <f>0*$H49</f>
        <v>0</v>
      </c>
      <c r="H49" s="3"/>
      <c r="I49" s="2"/>
    </row>
    <row r="50" spans="1:9" x14ac:dyDescent="0.3">
      <c r="A50" s="8" t="s">
        <v>34</v>
      </c>
      <c r="B50" s="6">
        <f>SUBTOTAL(109,Table38[Calories])</f>
        <v>14</v>
      </c>
      <c r="C50" s="6">
        <f>SUBTOTAL(109,Table38[Carbs])</f>
        <v>3.6</v>
      </c>
      <c r="D50" s="6">
        <f>SUBTOTAL(109,Table38[Fat])</f>
        <v>0.2</v>
      </c>
      <c r="E50" s="6">
        <f>SUBTOTAL(109,Table38[Protein])</f>
        <v>2.4</v>
      </c>
      <c r="F50" s="6">
        <f>SUBTOTAL(109,Table38[Fiber])</f>
        <v>1.2</v>
      </c>
      <c r="G50" s="6">
        <f>SUBTOTAL(109,Table38[Sugar])</f>
        <v>0</v>
      </c>
      <c r="H50" s="3">
        <f>SUBTOTAL(109,Table38[Serving by TSP])</f>
        <v>4</v>
      </c>
      <c r="I50" s="2"/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00FD-CB65-4E2D-B69C-F5197929190A}">
  <sheetPr codeName="Sheet14"/>
  <dimension ref="A1:J51"/>
  <sheetViews>
    <sheetView workbookViewId="0">
      <selection activeCell="A2" sqref="A2"/>
    </sheetView>
  </sheetViews>
  <sheetFormatPr defaultColWidth="9.140625" defaultRowHeight="18.75" x14ac:dyDescent="0.3"/>
  <cols>
    <col min="1" max="1" width="26.42578125" style="1" customWidth="1"/>
    <col min="2" max="2" width="12.5703125" style="2" customWidth="1"/>
    <col min="3" max="3" width="10" style="2" customWidth="1"/>
    <col min="4" max="4" width="9.140625" style="2"/>
    <col min="5" max="5" width="11.7109375" style="2" customWidth="1"/>
    <col min="6" max="6" width="9.42578125" style="2" customWidth="1"/>
    <col min="7" max="7" width="9.85546875" style="2" customWidth="1"/>
    <col min="8" max="8" width="21.140625" style="2" customWidth="1"/>
    <col min="9" max="9" width="23.28515625" style="2" customWidth="1"/>
    <col min="10" max="16384" width="9.140625" style="2"/>
  </cols>
  <sheetData>
    <row r="1" spans="1:10" x14ac:dyDescent="0.3">
      <c r="A1" s="1" t="s">
        <v>35</v>
      </c>
      <c r="B1" s="2" t="s">
        <v>1</v>
      </c>
      <c r="C1" s="2" t="s">
        <v>2</v>
      </c>
      <c r="D1" s="2" t="s">
        <v>36</v>
      </c>
      <c r="E1" s="2" t="s">
        <v>4</v>
      </c>
      <c r="F1" s="2" t="s">
        <v>5</v>
      </c>
      <c r="G1" s="2" t="s">
        <v>6</v>
      </c>
      <c r="H1" s="2" t="s">
        <v>37</v>
      </c>
      <c r="I1" s="2" t="s">
        <v>38</v>
      </c>
      <c r="J1" s="2" t="s">
        <v>536</v>
      </c>
    </row>
    <row r="2" spans="1:10" ht="37.5" x14ac:dyDescent="0.3">
      <c r="A2" s="1" t="s">
        <v>171</v>
      </c>
      <c r="B2" s="5">
        <f>410*$H2</f>
        <v>0</v>
      </c>
      <c r="C2" s="5">
        <f>3*$H2</f>
        <v>0</v>
      </c>
      <c r="D2" s="5">
        <f>30*$H2</f>
        <v>0</v>
      </c>
      <c r="E2" s="5">
        <f>33*$H2</f>
        <v>0</v>
      </c>
      <c r="F2" s="5">
        <f>0*$H2</f>
        <v>0</v>
      </c>
      <c r="G2" s="5">
        <f>1*$H2</f>
        <v>0</v>
      </c>
      <c r="H2" s="5"/>
      <c r="J2" s="5" t="b">
        <f>NOT(ISERROR(MATCH(A2,Index[Item],0)))</f>
        <v>1</v>
      </c>
    </row>
    <row r="3" spans="1:10" ht="37.5" x14ac:dyDescent="0.3">
      <c r="A3" s="1" t="s">
        <v>169</v>
      </c>
      <c r="B3" s="5">
        <f>370*$H3</f>
        <v>0</v>
      </c>
      <c r="C3" s="5">
        <f>3*$H3</f>
        <v>0</v>
      </c>
      <c r="D3" s="5">
        <f>29*$H3</f>
        <v>0</v>
      </c>
      <c r="E3" s="5">
        <f>24*$H3</f>
        <v>0</v>
      </c>
      <c r="F3" s="5">
        <f>1*$H3</f>
        <v>0</v>
      </c>
      <c r="G3" s="5">
        <f>1*$H3</f>
        <v>0</v>
      </c>
      <c r="H3" s="5"/>
      <c r="J3" s="5" t="b">
        <f>NOT(ISERROR(MATCH(A3,Index[Item],0)))</f>
        <v>1</v>
      </c>
    </row>
    <row r="4" spans="1:10" x14ac:dyDescent="0.3">
      <c r="A4" s="1" t="s">
        <v>170</v>
      </c>
      <c r="B4" s="5">
        <f>250*$H4</f>
        <v>0</v>
      </c>
      <c r="C4" s="5">
        <f>0*$H4</f>
        <v>0</v>
      </c>
      <c r="D4" s="5">
        <f>20*$H4</f>
        <v>0</v>
      </c>
      <c r="E4" s="5">
        <f>17*$H4</f>
        <v>0</v>
      </c>
      <c r="F4" s="5">
        <f>0*$H4</f>
        <v>0</v>
      </c>
      <c r="G4" s="5">
        <f>0*$H4</f>
        <v>0</v>
      </c>
      <c r="H4" s="5"/>
      <c r="J4" s="5" t="b">
        <f>NOT(ISERROR(MATCH(A4,Index[Item],0)))</f>
        <v>1</v>
      </c>
    </row>
    <row r="5" spans="1:10" ht="37.5" x14ac:dyDescent="0.3">
      <c r="A5" s="1" t="s">
        <v>168</v>
      </c>
      <c r="B5" s="5">
        <f>290*H5</f>
        <v>580</v>
      </c>
      <c r="C5" s="5">
        <f>0*H5</f>
        <v>0</v>
      </c>
      <c r="D5" s="5">
        <f>23*H5</f>
        <v>46</v>
      </c>
      <c r="E5" s="5">
        <f>19*H5</f>
        <v>38</v>
      </c>
      <c r="F5" s="5">
        <f>0*H5</f>
        <v>0</v>
      </c>
      <c r="G5" s="5">
        <f>0*H5</f>
        <v>0</v>
      </c>
      <c r="H5" s="5">
        <v>2</v>
      </c>
      <c r="J5" s="5" t="b">
        <f>NOT(ISERROR(MATCH(A5,Index[Item],0)))</f>
        <v>1</v>
      </c>
    </row>
    <row r="6" spans="1:10" x14ac:dyDescent="0.3">
      <c r="A6" s="1" t="s">
        <v>167</v>
      </c>
      <c r="B6" s="5">
        <f>200*H6</f>
        <v>0</v>
      </c>
      <c r="C6" s="5">
        <f>0*H6</f>
        <v>0</v>
      </c>
      <c r="D6" s="5">
        <f>10*H6</f>
        <v>0</v>
      </c>
      <c r="E6" s="5">
        <f>23*H6</f>
        <v>0</v>
      </c>
      <c r="F6" s="5">
        <f>0*H6</f>
        <v>0</v>
      </c>
      <c r="G6" s="5">
        <f>0*H6</f>
        <v>0</v>
      </c>
      <c r="H6" s="5"/>
      <c r="J6" s="5" t="b">
        <f>NOT(ISERROR(MATCH(A6,Index[Item],0)))</f>
        <v>1</v>
      </c>
    </row>
    <row r="7" spans="1:10" x14ac:dyDescent="0.3">
      <c r="A7" s="1" t="s">
        <v>543</v>
      </c>
      <c r="B7" s="5">
        <f>28*$H7</f>
        <v>0</v>
      </c>
      <c r="C7" s="5">
        <f>6.7*$H7</f>
        <v>0</v>
      </c>
      <c r="D7" s="5">
        <f>0.2*$H7</f>
        <v>0</v>
      </c>
      <c r="E7" s="5">
        <f>1.9*$H7</f>
        <v>0</v>
      </c>
      <c r="F7" s="5">
        <f>1.2*$H7</f>
        <v>0</v>
      </c>
      <c r="G7" s="5">
        <f>3.2*$H7</f>
        <v>0</v>
      </c>
      <c r="H7" s="5"/>
      <c r="I7" s="2" t="s">
        <v>96</v>
      </c>
      <c r="J7" s="5" t="b">
        <f>NOT(ISERROR(MATCH(A7,Index[Item],0)))</f>
        <v>1</v>
      </c>
    </row>
    <row r="8" spans="1:10" x14ac:dyDescent="0.3">
      <c r="A8" s="1" t="s">
        <v>27</v>
      </c>
      <c r="B8" s="5">
        <f>28*$H8</f>
        <v>0</v>
      </c>
      <c r="C8" s="5">
        <f>6.7*$H8</f>
        <v>0</v>
      </c>
      <c r="D8" s="5">
        <f>0.2*$H8</f>
        <v>0</v>
      </c>
      <c r="E8" s="5">
        <f>0.9*$H8</f>
        <v>0</v>
      </c>
      <c r="F8" s="5">
        <f>1.2*$H8</f>
        <v>0</v>
      </c>
      <c r="G8" s="5">
        <f>4.4*$H8</f>
        <v>0</v>
      </c>
      <c r="H8" s="5"/>
      <c r="I8" s="2" t="s">
        <v>96</v>
      </c>
      <c r="J8" s="5" t="b">
        <f>NOT(ISERROR(MATCH(A8,Index[Item],0)))</f>
        <v>1</v>
      </c>
    </row>
    <row r="9" spans="1:10" x14ac:dyDescent="0.3">
      <c r="A9" s="1" t="s">
        <v>102</v>
      </c>
      <c r="B9" s="5">
        <f>44*$H9</f>
        <v>0</v>
      </c>
      <c r="C9" s="5">
        <f>10*$H9</f>
        <v>0</v>
      </c>
      <c r="D9" s="5">
        <f>0.2*$H9</f>
        <v>0</v>
      </c>
      <c r="E9" s="5">
        <f>1.4*$H9</f>
        <v>0</v>
      </c>
      <c r="F9" s="5">
        <f>1.4*$H9</f>
        <v>0</v>
      </c>
      <c r="G9" s="5">
        <f>4.7*$H9</f>
        <v>0</v>
      </c>
      <c r="H9" s="5"/>
      <c r="I9" s="2" t="s">
        <v>96</v>
      </c>
      <c r="J9" s="5" t="b">
        <f>NOT(ISERROR(MATCH(A9,Index[Item],0)))</f>
        <v>1</v>
      </c>
    </row>
    <row r="10" spans="1:10" x14ac:dyDescent="0.3">
      <c r="A10" s="1" t="s">
        <v>95</v>
      </c>
      <c r="B10" s="5">
        <f>32*$H10</f>
        <v>0</v>
      </c>
      <c r="C10" s="5">
        <f>7.3*$H10</f>
        <v>0</v>
      </c>
      <c r="D10" s="5">
        <f>0.2*$H10</f>
        <v>0</v>
      </c>
      <c r="E10" s="5">
        <f>1.8*$H10</f>
        <v>0</v>
      </c>
      <c r="F10" s="5">
        <f t="shared" ref="F10" si="0">2.7*$H10</f>
        <v>0</v>
      </c>
      <c r="G10" s="5">
        <f>2.3*$H10</f>
        <v>0</v>
      </c>
      <c r="H10" s="5"/>
      <c r="I10" s="2" t="s">
        <v>96</v>
      </c>
      <c r="J10" s="5" t="b">
        <f>NOT(ISERROR(MATCH(A10,Index[Item],0)))</f>
        <v>1</v>
      </c>
    </row>
    <row r="11" spans="1:10" x14ac:dyDescent="0.3">
      <c r="A11" s="1" t="s">
        <v>101</v>
      </c>
      <c r="B11" s="5">
        <f>29*$H11</f>
        <v>0</v>
      </c>
      <c r="C11" s="5">
        <f>6.5*$H11</f>
        <v>0</v>
      </c>
      <c r="D11" s="5">
        <f>0.4*$H11</f>
        <v>0</v>
      </c>
      <c r="E11" s="5">
        <f>0.9*$H11</f>
        <v>0</v>
      </c>
      <c r="F11" s="5">
        <f>2.8*$H11</f>
        <v>0</v>
      </c>
      <c r="G11" s="5">
        <f>4.1*$H11</f>
        <v>0</v>
      </c>
      <c r="H11" s="5"/>
      <c r="I11" s="2" t="s">
        <v>96</v>
      </c>
      <c r="J11" s="5" t="b">
        <f>NOT(ISERROR(MATCH(A11,Index[Item],0)))</f>
        <v>1</v>
      </c>
    </row>
    <row r="12" spans="1:10" x14ac:dyDescent="0.3">
      <c r="A12" s="1" t="s">
        <v>100</v>
      </c>
      <c r="B12" s="5">
        <f>27*$H12</f>
        <v>0</v>
      </c>
      <c r="C12" s="5">
        <f>5.4*$H12</f>
        <v>0</v>
      </c>
      <c r="D12" s="5">
        <f>0.5*$H12</f>
        <v>0</v>
      </c>
      <c r="E12" s="5">
        <f>1.7*$H12</f>
        <v>0</v>
      </c>
      <c r="F12" s="5">
        <f>3.4*$H12</f>
        <v>0</v>
      </c>
      <c r="G12" s="5">
        <f>2*$H12</f>
        <v>0</v>
      </c>
      <c r="H12" s="5"/>
      <c r="I12" s="2" t="s">
        <v>96</v>
      </c>
      <c r="J12" s="5" t="b">
        <f>NOT(ISERROR(MATCH(A12,Index[Item],0)))</f>
        <v>1</v>
      </c>
    </row>
    <row r="13" spans="1:10" x14ac:dyDescent="0.3">
      <c r="A13" s="1" t="s">
        <v>84</v>
      </c>
      <c r="B13" s="5">
        <f>110*$H13</f>
        <v>0</v>
      </c>
      <c r="C13" s="5">
        <f>0.5*$H13</f>
        <v>0</v>
      </c>
      <c r="D13" s="5">
        <f>9*$H13</f>
        <v>0</v>
      </c>
      <c r="E13" s="5">
        <f>6*$H13</f>
        <v>0</v>
      </c>
      <c r="F13" s="5">
        <f t="shared" ref="F13" si="1">0*$H13</f>
        <v>0</v>
      </c>
      <c r="G13" s="5">
        <f>0.5*$H13</f>
        <v>0</v>
      </c>
      <c r="H13" s="5"/>
      <c r="I13" s="2" t="s">
        <v>80</v>
      </c>
      <c r="J13" s="5" t="b">
        <f>NOT(ISERROR(MATCH(A13,Index[Item],0)))</f>
        <v>1</v>
      </c>
    </row>
    <row r="14" spans="1:10" x14ac:dyDescent="0.3">
      <c r="A14" s="1" t="s">
        <v>79</v>
      </c>
      <c r="B14" s="5">
        <f>110*$H14</f>
        <v>0</v>
      </c>
      <c r="C14" s="5">
        <f>1*$H14</f>
        <v>0</v>
      </c>
      <c r="D14" s="5">
        <f>9*$H14</f>
        <v>0</v>
      </c>
      <c r="E14" s="5">
        <f>6*$H14</f>
        <v>0</v>
      </c>
      <c r="F14" s="5">
        <f>0*$H14</f>
        <v>0</v>
      </c>
      <c r="G14" s="5">
        <f>0*$H14</f>
        <v>0</v>
      </c>
      <c r="H14" s="5"/>
      <c r="I14" s="2" t="s">
        <v>80</v>
      </c>
      <c r="J14" s="5" t="b">
        <f>NOT(ISERROR(MATCH(A14,Index[Item],0)))</f>
        <v>1</v>
      </c>
    </row>
    <row r="15" spans="1:10" x14ac:dyDescent="0.3">
      <c r="A15" s="1" t="s">
        <v>81</v>
      </c>
      <c r="B15" s="5">
        <f>120*$H15</f>
        <v>0</v>
      </c>
      <c r="C15" s="5">
        <f>2*$H15</f>
        <v>0</v>
      </c>
      <c r="D15" s="5">
        <f>9*$H15</f>
        <v>0</v>
      </c>
      <c r="E15" s="5">
        <f>6*$H15</f>
        <v>0</v>
      </c>
      <c r="F15" s="5">
        <f>0*$H15</f>
        <v>0</v>
      </c>
      <c r="G15" s="5">
        <f>0*$H15</f>
        <v>0</v>
      </c>
      <c r="H15" s="5"/>
      <c r="I15" s="2" t="s">
        <v>80</v>
      </c>
      <c r="J15" s="5" t="b">
        <f>NOT(ISERROR(MATCH(A15,Index[Item],0)))</f>
        <v>1</v>
      </c>
    </row>
    <row r="16" spans="1:10" x14ac:dyDescent="0.3">
      <c r="A16" s="1" t="s">
        <v>82</v>
      </c>
      <c r="B16" s="5">
        <f>100*$H16</f>
        <v>0</v>
      </c>
      <c r="C16" s="5">
        <f>1*$H16</f>
        <v>0</v>
      </c>
      <c r="D16" s="5">
        <f>8*$H16</f>
        <v>0</v>
      </c>
      <c r="E16" s="5">
        <f>6*$H16</f>
        <v>0</v>
      </c>
      <c r="F16" s="5">
        <f t="shared" ref="F16:F17" si="2">0*$H16</f>
        <v>0</v>
      </c>
      <c r="G16" s="5">
        <f>0.5*$H16</f>
        <v>0</v>
      </c>
      <c r="H16" s="5"/>
      <c r="I16" s="2" t="s">
        <v>80</v>
      </c>
      <c r="J16" s="5" t="b">
        <f>NOT(ISERROR(MATCH(A16,Index[Item],0)))</f>
        <v>1</v>
      </c>
    </row>
    <row r="17" spans="1:10" x14ac:dyDescent="0.3">
      <c r="A17" s="1" t="s">
        <v>83</v>
      </c>
      <c r="B17" s="5">
        <f>90*$H17</f>
        <v>0</v>
      </c>
      <c r="C17" s="5">
        <f>2*$H17</f>
        <v>0</v>
      </c>
      <c r="D17" s="5">
        <f>6*$H17</f>
        <v>0</v>
      </c>
      <c r="E17" s="5">
        <f>7*$H17</f>
        <v>0</v>
      </c>
      <c r="F17" s="5">
        <f t="shared" si="2"/>
        <v>0</v>
      </c>
      <c r="G17" s="5">
        <f>0*$H17</f>
        <v>0</v>
      </c>
      <c r="H17" s="5"/>
      <c r="I17" s="2" t="s">
        <v>80</v>
      </c>
      <c r="J17" s="5" t="b">
        <f>NOT(ISERROR(MATCH(A17,Index[Item],0)))</f>
        <v>1</v>
      </c>
    </row>
    <row r="18" spans="1:10" x14ac:dyDescent="0.3">
      <c r="A18" s="1" t="s">
        <v>85</v>
      </c>
      <c r="B18" s="5">
        <f>80*$H18</f>
        <v>0</v>
      </c>
      <c r="C18" s="5">
        <f>2*$H18</f>
        <v>0</v>
      </c>
      <c r="D18" s="5">
        <f>6*$H18</f>
        <v>0</v>
      </c>
      <c r="E18" s="5">
        <f>7*$H18</f>
        <v>0</v>
      </c>
      <c r="F18" s="5">
        <f>0*$H18</f>
        <v>0</v>
      </c>
      <c r="G18" s="5">
        <f>0.5*$H18</f>
        <v>0</v>
      </c>
      <c r="H18" s="5"/>
      <c r="I18" s="2" t="s">
        <v>80</v>
      </c>
      <c r="J18" s="5" t="b">
        <f>NOT(ISERROR(MATCH(A18,Index[Item],0)))</f>
        <v>1</v>
      </c>
    </row>
    <row r="19" spans="1:10" ht="37.5" x14ac:dyDescent="0.3">
      <c r="A19" s="1" t="s">
        <v>86</v>
      </c>
      <c r="B19" s="5">
        <f>90*$H19</f>
        <v>0</v>
      </c>
      <c r="C19" s="5">
        <f>1*$H19</f>
        <v>0</v>
      </c>
      <c r="D19" s="5">
        <f>7*$H19</f>
        <v>0</v>
      </c>
      <c r="E19" s="5">
        <f>6*$H19</f>
        <v>0</v>
      </c>
      <c r="F19" s="5">
        <f>0*$H19</f>
        <v>0</v>
      </c>
      <c r="G19" s="5">
        <f>0*$H19</f>
        <v>0</v>
      </c>
      <c r="H19" s="5"/>
      <c r="I19" s="2" t="s">
        <v>80</v>
      </c>
      <c r="J19" s="5" t="b">
        <f>NOT(ISERROR(MATCH(A19,Index[Item],0)))</f>
        <v>1</v>
      </c>
    </row>
    <row r="20" spans="1:10" ht="37.5" x14ac:dyDescent="0.3">
      <c r="A20" s="1" t="s">
        <v>87</v>
      </c>
      <c r="B20" s="5">
        <f>80*$H20</f>
        <v>0</v>
      </c>
      <c r="C20" s="5">
        <f>2*$H20</f>
        <v>0</v>
      </c>
      <c r="D20" s="5">
        <f>6*$H20</f>
        <v>0</v>
      </c>
      <c r="E20" s="5">
        <f>7*$H20</f>
        <v>0</v>
      </c>
      <c r="F20" s="5">
        <f>0*$H20</f>
        <v>0</v>
      </c>
      <c r="G20" s="5">
        <f>0.5*$H20</f>
        <v>0</v>
      </c>
      <c r="H20" s="5"/>
      <c r="I20" s="2" t="s">
        <v>80</v>
      </c>
      <c r="J20" s="5" t="b">
        <f>NOT(ISERROR(MATCH(A20,Index[Item],0)))</f>
        <v>1</v>
      </c>
    </row>
    <row r="21" spans="1:10" x14ac:dyDescent="0.3">
      <c r="A21" s="1" t="s">
        <v>88</v>
      </c>
      <c r="B21" s="5">
        <f>20*$H21</f>
        <v>0</v>
      </c>
      <c r="C21" s="5">
        <f>0*$H21</f>
        <v>0</v>
      </c>
      <c r="D21" s="5">
        <f>1.5*$H21</f>
        <v>0</v>
      </c>
      <c r="E21" s="5">
        <f>2*$H21</f>
        <v>0</v>
      </c>
      <c r="F21" s="5">
        <f>0*$H21</f>
        <v>0</v>
      </c>
      <c r="G21" s="5">
        <f>0*$H21</f>
        <v>0</v>
      </c>
      <c r="H21" s="5"/>
      <c r="I21" s="2" t="s">
        <v>80</v>
      </c>
      <c r="J21" s="5" t="b">
        <f>NOT(ISERROR(MATCH(A21,Index[Item],0)))</f>
        <v>1</v>
      </c>
    </row>
    <row r="22" spans="1:10" x14ac:dyDescent="0.3">
      <c r="A22" s="1" t="s">
        <v>158</v>
      </c>
      <c r="B22" s="5">
        <f>70*$H22</f>
        <v>70</v>
      </c>
      <c r="C22" s="5">
        <f>17*$H22</f>
        <v>17</v>
      </c>
      <c r="D22" s="5">
        <f>0.5*$H22</f>
        <v>0.5</v>
      </c>
      <c r="E22" s="5">
        <f>4*$H22</f>
        <v>4</v>
      </c>
      <c r="F22" s="5">
        <f>4*$H22</f>
        <v>4</v>
      </c>
      <c r="G22" s="5">
        <f>2*$H22</f>
        <v>2</v>
      </c>
      <c r="H22" s="5">
        <v>1</v>
      </c>
      <c r="I22" s="2" t="s">
        <v>159</v>
      </c>
      <c r="J22" s="5" t="b">
        <f>NOT(ISERROR(MATCH(A22,Index[Item],0)))</f>
        <v>1</v>
      </c>
    </row>
    <row r="23" spans="1:10" x14ac:dyDescent="0.3">
      <c r="A23" s="1" t="s">
        <v>481</v>
      </c>
      <c r="B23" s="5">
        <f t="shared" ref="B23:G23" si="3">B51</f>
        <v>14</v>
      </c>
      <c r="C23" s="5">
        <f t="shared" si="3"/>
        <v>3.6</v>
      </c>
      <c r="D23" s="5">
        <f t="shared" si="3"/>
        <v>0.2</v>
      </c>
      <c r="E23" s="5">
        <f t="shared" si="3"/>
        <v>2.4</v>
      </c>
      <c r="F23" s="5">
        <f t="shared" si="3"/>
        <v>1.2</v>
      </c>
      <c r="G23" s="5">
        <f t="shared" si="3"/>
        <v>0</v>
      </c>
      <c r="H23" s="5"/>
      <c r="J23" s="5" t="b">
        <f>NOT(ISERROR(MATCH(A23,Index[Item],0)))</f>
        <v>1</v>
      </c>
    </row>
    <row r="24" spans="1:10" x14ac:dyDescent="0.3">
      <c r="A24" s="1" t="s">
        <v>544</v>
      </c>
      <c r="B24" s="5">
        <f>SUBTOTAL(109,Burgers[Calories])/Burgers[[#Totals],[Measurement]]</f>
        <v>664</v>
      </c>
      <c r="C24" s="5">
        <f>SUBTOTAL(109,Burgers[Carbs])/Burgers[[#Totals],[Measurement]]</f>
        <v>20.6</v>
      </c>
      <c r="D24" s="5">
        <f>SUBTOTAL(109,Burgers[[Fat ]])/Burgers[[#Totals],[Measurement]]</f>
        <v>46.7</v>
      </c>
      <c r="E24" s="5">
        <f>SUBTOTAL(109,Burgers[Protein])/Burgers[[#Totals],[Measurement]]</f>
        <v>44.4</v>
      </c>
      <c r="F24" s="5">
        <f>SUBTOTAL(109,Burgers[Fiber])/Burgers[[#Totals],[Measurement]]</f>
        <v>5.2</v>
      </c>
      <c r="G24" s="5">
        <f>SUBTOTAL(109,Burgers[Sugar])/Burgers[[#Totals],[Measurement]]</f>
        <v>2</v>
      </c>
      <c r="H24" s="5">
        <f>SUBTOTAL(109,Burgers[Servings])/Burgers[[#Totals],[Measurement]]</f>
        <v>3</v>
      </c>
      <c r="I24" s="2" t="s">
        <v>553</v>
      </c>
    </row>
    <row r="26" spans="1:10" x14ac:dyDescent="0.3">
      <c r="A26" s="10" t="s">
        <v>0</v>
      </c>
      <c r="B26" s="11" t="s">
        <v>1</v>
      </c>
      <c r="C26" s="11" t="s">
        <v>2</v>
      </c>
      <c r="D26" s="11" t="s">
        <v>3</v>
      </c>
      <c r="E26" s="11" t="s">
        <v>4</v>
      </c>
      <c r="F26" s="11" t="s">
        <v>5</v>
      </c>
      <c r="G26" s="11" t="s">
        <v>6</v>
      </c>
      <c r="H26" s="11" t="s">
        <v>7</v>
      </c>
    </row>
    <row r="27" spans="1:10" x14ac:dyDescent="0.3">
      <c r="A27" s="8" t="s">
        <v>8</v>
      </c>
      <c r="B27" s="6">
        <f>1.6*$H27</f>
        <v>0</v>
      </c>
      <c r="C27" s="6">
        <f>0.3*$H27</f>
        <v>0</v>
      </c>
      <c r="D27" s="6">
        <f>0*$H27</f>
        <v>0</v>
      </c>
      <c r="E27" s="6">
        <f>0.2*$H27</f>
        <v>0</v>
      </c>
      <c r="F27" s="6">
        <f>0.3*$H27</f>
        <v>0</v>
      </c>
      <c r="G27" s="6">
        <f>0*$H27</f>
        <v>0</v>
      </c>
      <c r="H27" s="3"/>
    </row>
    <row r="28" spans="1:10" x14ac:dyDescent="0.3">
      <c r="A28" s="9" t="s">
        <v>9</v>
      </c>
      <c r="B28" s="7">
        <f>5.8*$H28</f>
        <v>11.6</v>
      </c>
      <c r="C28" s="7">
        <f>1.5*$H28</f>
        <v>3</v>
      </c>
      <c r="D28" s="7">
        <f>0.1*$H28</f>
        <v>0.2</v>
      </c>
      <c r="E28" s="7">
        <f>0.2*$H28</f>
        <v>0.4</v>
      </c>
      <c r="F28" s="7">
        <f>0.6*$H28</f>
        <v>1.2</v>
      </c>
      <c r="G28" s="7">
        <f>0*$H28</f>
        <v>0</v>
      </c>
      <c r="H28" s="4">
        <v>2</v>
      </c>
    </row>
    <row r="29" spans="1:10" x14ac:dyDescent="0.3">
      <c r="A29" s="8" t="s">
        <v>10</v>
      </c>
      <c r="B29" s="6">
        <f>7.6*$H29</f>
        <v>0</v>
      </c>
      <c r="C29" s="6">
        <f>1.3*$H29</f>
        <v>0</v>
      </c>
      <c r="D29" s="6">
        <f>0.4*$H29</f>
        <v>0</v>
      </c>
      <c r="E29" s="6">
        <f>0.4*$H29</f>
        <v>0</v>
      </c>
      <c r="F29" s="6">
        <f>0.9*$H29</f>
        <v>0</v>
      </c>
      <c r="G29" s="6">
        <f>0.2*$H29</f>
        <v>0</v>
      </c>
      <c r="H29" s="3"/>
    </row>
    <row r="30" spans="1:10" x14ac:dyDescent="0.3">
      <c r="A30" s="9" t="s">
        <v>11</v>
      </c>
      <c r="B30" s="7">
        <f>48*$H30</f>
        <v>0</v>
      </c>
      <c r="C30" s="7">
        <f>8*$H30</f>
        <v>0</v>
      </c>
      <c r="D30" s="7">
        <f>0*$H30</f>
        <v>0</v>
      </c>
      <c r="E30" s="7">
        <f>0*$H30</f>
        <v>0</v>
      </c>
      <c r="F30" s="7">
        <f>0*$H30</f>
        <v>0</v>
      </c>
      <c r="G30" s="7">
        <f>0*$H30</f>
        <v>0</v>
      </c>
      <c r="H30" s="4"/>
    </row>
    <row r="31" spans="1:10" x14ac:dyDescent="0.3">
      <c r="A31" s="8" t="s">
        <v>12</v>
      </c>
      <c r="B31" s="6">
        <f>6.4*$H31</f>
        <v>0</v>
      </c>
      <c r="C31" s="6">
        <f>2.1*$H31</f>
        <v>0</v>
      </c>
      <c r="D31" s="6">
        <f>0*$H30</f>
        <v>0</v>
      </c>
      <c r="E31" s="6">
        <f>0.1*$H31</f>
        <v>0</v>
      </c>
      <c r="F31" s="6">
        <f>1.4*$H31</f>
        <v>0</v>
      </c>
      <c r="G31" s="6">
        <f>0.1*$H31</f>
        <v>0</v>
      </c>
      <c r="H31" s="3"/>
    </row>
    <row r="32" spans="1:10" x14ac:dyDescent="0.3">
      <c r="A32" s="9" t="s">
        <v>13</v>
      </c>
      <c r="B32" s="7">
        <f>1.7*$H32</f>
        <v>0</v>
      </c>
      <c r="C32" s="7">
        <f>0.3*$H32</f>
        <v>0</v>
      </c>
      <c r="D32" s="7">
        <f>0*$H32</f>
        <v>0</v>
      </c>
      <c r="E32" s="7">
        <f>0.1*$H32</f>
        <v>0</v>
      </c>
      <c r="F32" s="7">
        <f>0.1*$H32</f>
        <v>0</v>
      </c>
      <c r="G32" s="7">
        <f>0*$H32</f>
        <v>0</v>
      </c>
      <c r="H32" s="4"/>
    </row>
    <row r="33" spans="1:8" ht="37.5" x14ac:dyDescent="0.3">
      <c r="A33" s="8" t="s">
        <v>14</v>
      </c>
      <c r="B33" s="6">
        <f>5.7*$H33</f>
        <v>0</v>
      </c>
      <c r="C33" s="6">
        <f>1*$H33</f>
        <v>0</v>
      </c>
      <c r="D33" s="6">
        <f>0*$H33</f>
        <v>0</v>
      </c>
      <c r="E33" s="6">
        <f>0.2*$H33</f>
        <v>0</v>
      </c>
      <c r="F33" s="6">
        <f>0.5*$H33</f>
        <v>0</v>
      </c>
      <c r="G33" s="6">
        <f>0.2*$H33</f>
        <v>0</v>
      </c>
      <c r="H33" s="3"/>
    </row>
    <row r="34" spans="1:8" x14ac:dyDescent="0.3">
      <c r="A34" s="9" t="s">
        <v>15</v>
      </c>
      <c r="B34" s="7">
        <f>7.6*$H34</f>
        <v>0</v>
      </c>
      <c r="C34" s="7">
        <f>0.9*$H34</f>
        <v>0</v>
      </c>
      <c r="D34" s="7">
        <f>0.5*$H34</f>
        <v>0</v>
      </c>
      <c r="E34" s="7">
        <f>0.4*$H34</f>
        <v>0</v>
      </c>
      <c r="F34" s="7">
        <f>0.2*$H34</f>
        <v>0</v>
      </c>
      <c r="G34" s="7">
        <f>0.1*$H34</f>
        <v>0</v>
      </c>
      <c r="H34" s="4"/>
    </row>
    <row r="35" spans="1:8" x14ac:dyDescent="0.3">
      <c r="A35" s="8" t="s">
        <v>16</v>
      </c>
      <c r="B35" s="6">
        <f>(36/5)*$H35</f>
        <v>0</v>
      </c>
      <c r="C35" s="6">
        <f>(5/5)*$H35</f>
        <v>0</v>
      </c>
      <c r="D35" s="6">
        <f>(1.2/5)*$H35</f>
        <v>0</v>
      </c>
      <c r="E35" s="6">
        <f>(1.3/5)*$H35</f>
        <v>0</v>
      </c>
      <c r="F35" s="6">
        <f>(3/5)*$H35</f>
        <v>0</v>
      </c>
      <c r="G35" s="6">
        <f>(0.2/5)*$H35</f>
        <v>0</v>
      </c>
      <c r="H35" s="3"/>
    </row>
    <row r="36" spans="1:8" x14ac:dyDescent="0.3">
      <c r="A36" s="9" t="s">
        <v>17</v>
      </c>
      <c r="B36" s="7">
        <f>5*$H36</f>
        <v>0</v>
      </c>
      <c r="C36" s="7">
        <f>1*$H36</f>
        <v>0</v>
      </c>
      <c r="D36" s="7">
        <f>0*$H36</f>
        <v>0</v>
      </c>
      <c r="E36" s="7">
        <f>0*$H36</f>
        <v>0</v>
      </c>
      <c r="F36" s="7">
        <f>0*$H36</f>
        <v>0</v>
      </c>
      <c r="G36" s="7">
        <f>0*$H36</f>
        <v>0</v>
      </c>
      <c r="H36" s="4"/>
    </row>
    <row r="37" spans="1:8" x14ac:dyDescent="0.3">
      <c r="A37" s="8" t="s">
        <v>18</v>
      </c>
      <c r="B37" s="6">
        <f>10*$H37</f>
        <v>0</v>
      </c>
      <c r="C37" s="6">
        <f>2.3*$H37</f>
        <v>0</v>
      </c>
      <c r="D37" s="6">
        <f>0*$H37</f>
        <v>0</v>
      </c>
      <c r="E37" s="6">
        <f>0.5*$H37</f>
        <v>0</v>
      </c>
      <c r="F37" s="6">
        <f>0.3*$H37</f>
        <v>0</v>
      </c>
      <c r="G37" s="6">
        <f>0.1*$H37</f>
        <v>0</v>
      </c>
      <c r="H37" s="3"/>
    </row>
    <row r="38" spans="1:8" x14ac:dyDescent="0.3">
      <c r="A38" s="9" t="s">
        <v>19</v>
      </c>
      <c r="B38" s="7">
        <f>1.2*$H38</f>
        <v>2.4</v>
      </c>
      <c r="C38" s="7">
        <f>0.3*$H38</f>
        <v>0.6</v>
      </c>
      <c r="D38" s="7">
        <f>0*$H38</f>
        <v>0</v>
      </c>
      <c r="E38" s="7">
        <f>1*$H38</f>
        <v>2</v>
      </c>
      <c r="F38" s="7">
        <f>0*$H38</f>
        <v>0</v>
      </c>
      <c r="G38" s="7">
        <f>0*$H38</f>
        <v>0</v>
      </c>
      <c r="H38" s="4">
        <v>2</v>
      </c>
    </row>
    <row r="39" spans="1:8" x14ac:dyDescent="0.3">
      <c r="A39" s="8" t="s">
        <v>20</v>
      </c>
      <c r="B39" s="6">
        <f>6*$H39</f>
        <v>0</v>
      </c>
      <c r="C39" s="6">
        <f>1.3*$H39</f>
        <v>0</v>
      </c>
      <c r="D39" s="6">
        <f>0.1*$H39</f>
        <v>0</v>
      </c>
      <c r="E39" s="6">
        <f>0.2*$H39</f>
        <v>0</v>
      </c>
      <c r="F39" s="6">
        <f>0.3*$H39</f>
        <v>0</v>
      </c>
      <c r="G39" s="6">
        <f>0.1*$H39</f>
        <v>0</v>
      </c>
      <c r="H39" s="3"/>
    </row>
    <row r="40" spans="1:8" x14ac:dyDescent="0.3">
      <c r="A40" s="9" t="s">
        <v>21</v>
      </c>
      <c r="B40" s="7">
        <f>2.2*$H40</f>
        <v>0</v>
      </c>
      <c r="C40" s="7">
        <f>0.5*$H40</f>
        <v>0</v>
      </c>
      <c r="D40" s="7">
        <f>0.1*$H40</f>
        <v>0</v>
      </c>
      <c r="E40" s="7">
        <f>0.1*$H40</f>
        <v>0</v>
      </c>
      <c r="F40" s="7">
        <f>0.3*$H40</f>
        <v>0</v>
      </c>
      <c r="G40" s="7">
        <f>0*$H40</f>
        <v>0</v>
      </c>
      <c r="H40" s="4"/>
    </row>
    <row r="41" spans="1:8" x14ac:dyDescent="0.3">
      <c r="A41" s="8" t="s">
        <v>22</v>
      </c>
      <c r="B41" s="6">
        <f>0*$H41</f>
        <v>0</v>
      </c>
      <c r="C41" s="6">
        <f>0*$H41</f>
        <v>0</v>
      </c>
      <c r="D41" s="6">
        <f>0*$H41</f>
        <v>0</v>
      </c>
      <c r="E41" s="6">
        <f>0*$H41</f>
        <v>0</v>
      </c>
      <c r="F41" s="6">
        <f>0*$H41</f>
        <v>0</v>
      </c>
      <c r="G41" s="6">
        <f>0*$H41</f>
        <v>0</v>
      </c>
      <c r="H41" s="3"/>
    </row>
    <row r="42" spans="1:8" x14ac:dyDescent="0.3">
      <c r="A42" s="9" t="s">
        <v>23</v>
      </c>
      <c r="B42" s="7">
        <f>8.2*$H42</f>
        <v>0</v>
      </c>
      <c r="C42" s="7">
        <f>1.9*$H42</f>
        <v>0</v>
      </c>
      <c r="D42" s="7">
        <f>0*$H42</f>
        <v>0</v>
      </c>
      <c r="E42" s="7">
        <f>0.3*$H42</f>
        <v>0</v>
      </c>
      <c r="F42" s="7">
        <f>0.4*$H42</f>
        <v>0</v>
      </c>
      <c r="G42" s="7">
        <f>0.2*$H42</f>
        <v>0</v>
      </c>
      <c r="H42" s="4"/>
    </row>
    <row r="43" spans="1:8" x14ac:dyDescent="0.3">
      <c r="A43" s="8" t="s">
        <v>24</v>
      </c>
      <c r="B43" s="6">
        <f>2.7*$H43</f>
        <v>0</v>
      </c>
      <c r="C43" s="6">
        <f>0.7*$H43</f>
        <v>0</v>
      </c>
      <c r="D43" s="6">
        <f>0*$H43</f>
        <v>0</v>
      </c>
      <c r="E43" s="6">
        <f>0.1*$H43</f>
        <v>0</v>
      </c>
      <c r="F43" s="6">
        <f>0.4*$H43</f>
        <v>0</v>
      </c>
      <c r="G43" s="6">
        <f>0*$H43</f>
        <v>0</v>
      </c>
      <c r="H43" s="3"/>
    </row>
    <row r="44" spans="1:8" x14ac:dyDescent="0.3">
      <c r="A44" s="9" t="s">
        <v>25</v>
      </c>
      <c r="B44" s="7">
        <f>6.5*$H44</f>
        <v>0</v>
      </c>
      <c r="C44" s="7">
        <f>1.2*$H44</f>
        <v>0</v>
      </c>
      <c r="D44" s="7">
        <f>0.3*$H44</f>
        <v>0</v>
      </c>
      <c r="E44" s="7">
        <f>0.3*$H44</f>
        <v>0</v>
      </c>
      <c r="F44" s="7">
        <f>0.8*$H44</f>
        <v>0</v>
      </c>
      <c r="G44" s="7">
        <f>0.2*$H44</f>
        <v>0</v>
      </c>
      <c r="H44" s="4"/>
    </row>
    <row r="45" spans="1:8" x14ac:dyDescent="0.3">
      <c r="A45" s="8" t="s">
        <v>26</v>
      </c>
      <c r="B45" s="6">
        <f>1.5*$H45</f>
        <v>0</v>
      </c>
      <c r="C45" s="6">
        <f>0.3*$H45</f>
        <v>0</v>
      </c>
      <c r="D45" s="6">
        <f>0*$H45</f>
        <v>0</v>
      </c>
      <c r="E45" s="6">
        <f>0.1*$H45</f>
        <v>0</v>
      </c>
      <c r="F45" s="6">
        <f>0.1*$H45</f>
        <v>0</v>
      </c>
      <c r="G45" s="6">
        <f>0*$H45</f>
        <v>0</v>
      </c>
      <c r="H45" s="3"/>
    </row>
    <row r="46" spans="1:8" x14ac:dyDescent="0.3">
      <c r="A46" s="12" t="s">
        <v>27</v>
      </c>
      <c r="B46" s="13">
        <f>5.7*$H46</f>
        <v>0</v>
      </c>
      <c r="C46" s="13">
        <f>1*$H46</f>
        <v>0</v>
      </c>
      <c r="D46" s="13">
        <f>0.3*$H46</f>
        <v>0</v>
      </c>
      <c r="E46" s="13">
        <f>0.2*$H46</f>
        <v>0</v>
      </c>
      <c r="F46" s="13">
        <f>0.5*$H46</f>
        <v>0</v>
      </c>
      <c r="G46" s="13">
        <f>0.2*$H46</f>
        <v>0</v>
      </c>
      <c r="H46" s="14"/>
    </row>
    <row r="47" spans="1:8" x14ac:dyDescent="0.3">
      <c r="A47" s="9" t="s">
        <v>28</v>
      </c>
      <c r="B47" s="7">
        <f t="shared" ref="B47:G47" si="4">0*$H47</f>
        <v>0</v>
      </c>
      <c r="C47" s="7">
        <f t="shared" si="4"/>
        <v>0</v>
      </c>
      <c r="D47" s="7">
        <f t="shared" si="4"/>
        <v>0</v>
      </c>
      <c r="E47" s="7">
        <f t="shared" si="4"/>
        <v>0</v>
      </c>
      <c r="F47" s="7">
        <f t="shared" si="4"/>
        <v>0</v>
      </c>
      <c r="G47" s="7">
        <f t="shared" si="4"/>
        <v>0</v>
      </c>
      <c r="H47" s="4"/>
    </row>
    <row r="48" spans="1:8" x14ac:dyDescent="0.3">
      <c r="A48" s="9" t="s">
        <v>29</v>
      </c>
      <c r="B48" s="7">
        <f>2.5*$H48</f>
        <v>0</v>
      </c>
      <c r="C48" s="7">
        <f>0.6*$H48</f>
        <v>0</v>
      </c>
      <c r="D48" s="7">
        <f>0.1*$H48</f>
        <v>0</v>
      </c>
      <c r="E48" s="7">
        <f>0.1*$H48</f>
        <v>0</v>
      </c>
      <c r="F48" s="7">
        <f>0.3*$H48</f>
        <v>0</v>
      </c>
      <c r="G48" s="7">
        <f>0*$H48</f>
        <v>0</v>
      </c>
      <c r="H48" s="4"/>
    </row>
    <row r="49" spans="1:8" x14ac:dyDescent="0.3">
      <c r="A49" s="9" t="s">
        <v>31</v>
      </c>
      <c r="B49" s="7">
        <f>0*$H49</f>
        <v>0</v>
      </c>
      <c r="C49" s="7">
        <f>0*$H49</f>
        <v>0</v>
      </c>
      <c r="D49" s="7">
        <f>0*$H49</f>
        <v>0</v>
      </c>
      <c r="E49" s="7">
        <f>0*$H49</f>
        <v>0</v>
      </c>
      <c r="F49" s="7">
        <f>0*$H49</f>
        <v>0</v>
      </c>
      <c r="G49" s="7">
        <f>0*$H49</f>
        <v>0</v>
      </c>
      <c r="H49" s="4"/>
    </row>
    <row r="50" spans="1:8" x14ac:dyDescent="0.3">
      <c r="A50" s="9" t="s">
        <v>33</v>
      </c>
      <c r="B50" s="7">
        <f>7.1*$H50</f>
        <v>0</v>
      </c>
      <c r="C50" s="7">
        <f>1.6*$H50</f>
        <v>0</v>
      </c>
      <c r="D50" s="7">
        <f>0.1*$H50</f>
        <v>0</v>
      </c>
      <c r="E50" s="7">
        <f>0.3*$H50</f>
        <v>0</v>
      </c>
      <c r="F50" s="7">
        <f>0.6*$H50</f>
        <v>0</v>
      </c>
      <c r="G50" s="7">
        <f>0*$H50</f>
        <v>0</v>
      </c>
      <c r="H50" s="4"/>
    </row>
    <row r="51" spans="1:8" x14ac:dyDescent="0.3">
      <c r="A51" s="12" t="s">
        <v>34</v>
      </c>
      <c r="B51" s="13">
        <f>SUBTOTAL(109,BurgersSpice[Calories])</f>
        <v>14</v>
      </c>
      <c r="C51" s="13">
        <f>SUBTOTAL(109,BurgersSpice[Carbs])</f>
        <v>3.6</v>
      </c>
      <c r="D51" s="13">
        <f>SUBTOTAL(109,BurgersSpice[Fat])</f>
        <v>0.2</v>
      </c>
      <c r="E51" s="13">
        <f>SUBTOTAL(109,BurgersSpice[Protein])</f>
        <v>2.4</v>
      </c>
      <c r="F51" s="13">
        <f>SUBTOTAL(109,BurgersSpice[Fiber])</f>
        <v>1.2</v>
      </c>
      <c r="G51" s="13">
        <f>SUBTOTAL(109,BurgersSpice[Sugar])</f>
        <v>0</v>
      </c>
      <c r="H51" s="13">
        <f>SUBTOTAL(109,BurgersSpice[Serving by TSP])</f>
        <v>4</v>
      </c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Conversion</vt:lpstr>
      <vt:lpstr>Spice</vt:lpstr>
      <vt:lpstr>Index</vt:lpstr>
      <vt:lpstr>Log</vt:lpstr>
      <vt:lpstr>Mexican</vt:lpstr>
      <vt:lpstr>Pasta Sauce</vt:lpstr>
      <vt:lpstr>Pasta Dish</vt:lpstr>
      <vt:lpstr>Pizza</vt:lpstr>
      <vt:lpstr>Roman Chicken</vt:lpstr>
      <vt:lpstr>Buffalo Chicken</vt:lpstr>
      <vt:lpstr>Roast</vt:lpstr>
      <vt:lpstr>Chicken Casserole</vt:lpstr>
      <vt:lpstr>BBQ Pizza</vt:lpstr>
      <vt:lpstr>Fried Rice</vt:lpstr>
      <vt:lpstr>Sesame Chicken</vt:lpstr>
      <vt:lpstr>Char Siu</vt:lpstr>
      <vt:lpstr>Chow Mein</vt:lpstr>
      <vt:lpstr>Black Pepper Chicken</vt:lpstr>
      <vt:lpstr>General Tso</vt:lpstr>
      <vt:lpstr>Kung Poa</vt:lpstr>
      <vt:lpstr>Soba</vt:lpstr>
      <vt:lpstr>Salad</vt:lpstr>
      <vt:lpstr>Burgers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Chaudoin</dc:creator>
  <cp:keywords/>
  <dc:description/>
  <cp:lastModifiedBy>William Chaudoin</cp:lastModifiedBy>
  <cp:revision/>
  <dcterms:created xsi:type="dcterms:W3CDTF">2022-03-13T01:27:34Z</dcterms:created>
  <dcterms:modified xsi:type="dcterms:W3CDTF">2024-04-29T11:43:23Z</dcterms:modified>
  <cp:category/>
  <cp:contentStatus/>
</cp:coreProperties>
</file>